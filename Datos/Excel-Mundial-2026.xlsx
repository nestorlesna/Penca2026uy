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DATOS\DESARROLLOS\React\Penca2026uy\Datos\"/>
    </mc:Choice>
  </mc:AlternateContent>
  <xr:revisionPtr revIDLastSave="0" documentId="13_ncr:1_{DD7687E9-21AD-4458-94E3-7E5B7589CB70}" xr6:coauthVersionLast="47" xr6:coauthVersionMax="47" xr10:uidLastSave="{00000000-0000-0000-0000-000000000000}"/>
  <workbookProtection workbookAlgorithmName="SHA-512" workbookHashValue="WCz+3qGbJjdLEydQT7UYT9Pu68Qu7ovz2eMMUNXPJjhgeVxrVLhPPT4Ua90APvUhjLBeMabcyjZpa+Hp0GI+Yg==" workbookSaltValue="B9YWaurfpy21Vb5ipRw3QQ=="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Horarios" sheetId="32" state="veryHidden" r:id="rId5"/>
    <sheet name="Equipos" sheetId="6" state="veryHidden" r:id="rId6"/>
    <sheet name="Idiomas" sheetId="36" state="veryHidden" r:id="rId7"/>
    <sheet name="Combinaciones" sheetId="40" state="veryHidden" r:id="rId8"/>
    <sheet name="Credits" sheetId="34" r:id="rId9"/>
  </sheets>
  <definedNames>
    <definedName name="_xlnm._FilterDatabase" localSheetId="7" hidden="1">Combinaciones!$N$1:$W$496</definedName>
    <definedName name="_xlnm._FilterDatabase" localSheetId="4" hidden="1">Horarios!$Q$2:$Q$50</definedName>
    <definedName name="_xlnm._FilterDatabase" localSheetId="2" hidden="1">Pool!$A$1:$N$197</definedName>
    <definedName name="_xlnm._FilterDatabase" localSheetId="1" hidden="1">WORLDCUP!$BB$43:$CES$166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U8112" i="34" l="1"/>
  <c r="OV8112" i="34"/>
  <c r="OU8113" i="34"/>
  <c r="OV8113" i="34"/>
  <c r="OU8114" i="34"/>
  <c r="OV8114" i="34"/>
  <c r="OU8115" i="34"/>
  <c r="OV8115" i="34"/>
  <c r="OU8116" i="34"/>
  <c r="OV8116" i="34"/>
  <c r="OU8117" i="34"/>
  <c r="OV8117" i="34"/>
  <c r="OU8118" i="34"/>
  <c r="OV8118" i="34"/>
  <c r="OU8119" i="34"/>
  <c r="OV8119" i="34"/>
  <c r="OU8120" i="34"/>
  <c r="OV8120" i="34"/>
  <c r="OU8121" i="34"/>
  <c r="OV8121" i="34"/>
  <c r="OU8122" i="34"/>
  <c r="OV8122" i="34"/>
  <c r="OU8123" i="34"/>
  <c r="OV8123" i="34"/>
  <c r="OU8124" i="34"/>
  <c r="OV8124" i="34"/>
  <c r="OU8125" i="34"/>
  <c r="OV8125" i="34"/>
  <c r="OU8126" i="34"/>
  <c r="OV8126" i="34"/>
  <c r="OU8127" i="34"/>
  <c r="OV8127" i="34"/>
  <c r="OU8128" i="34"/>
  <c r="OV8128" i="34"/>
  <c r="OU8129" i="34"/>
  <c r="OV8129" i="34"/>
  <c r="OU8130" i="34"/>
  <c r="OV8130" i="34"/>
  <c r="OU8131" i="34"/>
  <c r="OV8131" i="34"/>
  <c r="OU8132" i="34"/>
  <c r="OV8132" i="34"/>
  <c r="OU8133" i="34"/>
  <c r="OV8133" i="34"/>
  <c r="OU8134" i="34"/>
  <c r="OV8134" i="34"/>
  <c r="OU8135" i="34"/>
  <c r="OV8135" i="34"/>
  <c r="OU8136" i="34"/>
  <c r="OV8136" i="34"/>
  <c r="OU8137" i="34"/>
  <c r="OV8137" i="34"/>
  <c r="OU8138" i="34"/>
  <c r="OV8138" i="34"/>
  <c r="OU8139" i="34"/>
  <c r="OV8139" i="34"/>
  <c r="OU8140" i="34"/>
  <c r="OV8140" i="34"/>
  <c r="OU8141" i="34"/>
  <c r="OV8141" i="34"/>
  <c r="OU8142" i="34"/>
  <c r="OV8142" i="34"/>
  <c r="OU8143" i="34"/>
  <c r="OV8143" i="34"/>
  <c r="OU8144" i="34"/>
  <c r="OV8144" i="34"/>
  <c r="OU8145" i="34"/>
  <c r="OV8145" i="34"/>
  <c r="OU8146" i="34"/>
  <c r="OV8146" i="34"/>
  <c r="OU8147" i="34"/>
  <c r="OV8147" i="34"/>
  <c r="OU8148" i="34"/>
  <c r="OV8148" i="34"/>
  <c r="OU8149" i="34"/>
  <c r="OV8149" i="34"/>
  <c r="OU8150" i="34"/>
  <c r="OV8150" i="34"/>
  <c r="OU8151" i="34"/>
  <c r="OV8151" i="34"/>
  <c r="OU8152" i="34"/>
  <c r="OV8152" i="34"/>
  <c r="OU8153" i="34"/>
  <c r="OV8153" i="34"/>
  <c r="OU8154" i="34"/>
  <c r="G241" i="36" s="1"/>
  <c r="OV8154" i="34"/>
  <c r="H241" i="36" s="1"/>
  <c r="OU8155" i="34"/>
  <c r="G242" i="36" s="1"/>
  <c r="OV8155" i="34"/>
  <c r="H242" i="36" s="1"/>
  <c r="OU8156" i="34"/>
  <c r="G243" i="36" s="1"/>
  <c r="OV8156" i="34"/>
  <c r="H243" i="36" s="1"/>
  <c r="OU8157" i="34"/>
  <c r="G244" i="36" s="1"/>
  <c r="OV8157" i="34"/>
  <c r="H244" i="36" s="1"/>
  <c r="OU8158" i="34"/>
  <c r="G245" i="36" s="1"/>
  <c r="OV8158" i="34"/>
  <c r="H245" i="36" s="1"/>
  <c r="OU8159" i="34"/>
  <c r="G246" i="36" s="1"/>
  <c r="OV8159" i="34"/>
  <c r="H246"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G201" i="36" l="1"/>
  <c r="B2" i="36"/>
  <c r="D72" i="36" s="1"/>
  <c r="AY3" i="3" s="1"/>
  <c r="H201" i="36"/>
  <c r="G203" i="36"/>
  <c r="H203" i="36"/>
  <c r="G202" i="36"/>
  <c r="H202" i="36"/>
  <c r="G204" i="36"/>
  <c r="H204" i="36"/>
  <c r="G205" i="36"/>
  <c r="H205" i="36"/>
  <c r="G216" i="36"/>
  <c r="H216" i="36"/>
  <c r="G215" i="36"/>
  <c r="H215" i="36"/>
  <c r="G217" i="36"/>
  <c r="H217" i="36"/>
  <c r="G220" i="36"/>
  <c r="H220" i="36"/>
  <c r="G218" i="36"/>
  <c r="H218" i="36"/>
  <c r="G219" i="36"/>
  <c r="H219" i="36"/>
  <c r="G221" i="36"/>
  <c r="H221" i="36"/>
  <c r="G222" i="36"/>
  <c r="H222" i="36"/>
  <c r="G224" i="36"/>
  <c r="H224" i="36"/>
  <c r="G223" i="36"/>
  <c r="H223" i="36"/>
  <c r="G225" i="36"/>
  <c r="H225" i="36"/>
  <c r="G228" i="36"/>
  <c r="H228" i="36"/>
  <c r="G226" i="36"/>
  <c r="H226" i="36"/>
  <c r="G227" i="36"/>
  <c r="H227" i="36"/>
  <c r="G229" i="36"/>
  <c r="H229" i="36"/>
  <c r="G230" i="36"/>
  <c r="H230" i="36"/>
  <c r="G232" i="36"/>
  <c r="H232" i="36"/>
  <c r="G231" i="36"/>
  <c r="H231" i="36"/>
  <c r="G233" i="36"/>
  <c r="H233" i="36"/>
  <c r="G234" i="36"/>
  <c r="H234" i="36"/>
  <c r="G236" i="36"/>
  <c r="H236" i="36"/>
  <c r="G235" i="36"/>
  <c r="H235" i="36"/>
  <c r="G237" i="36"/>
  <c r="H237" i="36"/>
  <c r="G238" i="36"/>
  <c r="H238" i="36"/>
  <c r="G240" i="36"/>
  <c r="H240" i="36"/>
  <c r="G239" i="36"/>
  <c r="H239" i="36"/>
  <c r="G200" i="36"/>
  <c r="H200" i="36"/>
  <c r="G199" i="36"/>
  <c r="H199" i="36"/>
  <c r="G206" i="36"/>
  <c r="H206" i="36"/>
  <c r="G209" i="36"/>
  <c r="H209" i="36"/>
  <c r="G207" i="36"/>
  <c r="H207" i="36"/>
  <c r="G208" i="36"/>
  <c r="H208" i="36"/>
  <c r="G210" i="36"/>
  <c r="H210" i="36"/>
  <c r="G211" i="36"/>
  <c r="H211" i="36"/>
  <c r="G213" i="36"/>
  <c r="H213" i="36"/>
  <c r="G212" i="36"/>
  <c r="H212" i="36"/>
  <c r="G214" i="36"/>
  <c r="H214" i="36"/>
  <c r="D20" i="36"/>
  <c r="AA3" i="3"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57" i="36"/>
  <c r="AQ5" i="3" s="1"/>
  <c r="AQ29" i="3" s="1"/>
  <c r="D58" i="36"/>
  <c r="AR5" i="3" s="1"/>
  <c r="D6" i="3"/>
  <c r="D9" i="3"/>
  <c r="D7" i="3"/>
  <c r="D8" i="3"/>
  <c r="D15" i="3"/>
  <c r="D17" i="3"/>
  <c r="D14" i="3"/>
  <c r="D16" i="3"/>
  <c r="D23" i="3"/>
  <c r="D25" i="3"/>
  <c r="D22" i="3"/>
  <c r="D24" i="3"/>
  <c r="AI6" i="3"/>
  <c r="AI7" i="3"/>
  <c r="AI8" i="3"/>
  <c r="AI9" i="3"/>
  <c r="D5" i="3"/>
  <c r="D12" i="3"/>
  <c r="D13" i="3"/>
  <c r="D21" i="3"/>
  <c r="D20" i="3"/>
  <c r="D255" i="36"/>
  <c r="D254" i="36"/>
  <c r="D12" i="36"/>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8"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AW25" i="45"/>
  <c r="AS31" i="45"/>
  <c r="AO37" i="45"/>
  <c r="AO13" i="45"/>
  <c r="Q48" i="45"/>
  <c r="P48" i="45"/>
  <c r="Q47" i="45"/>
  <c r="P47" i="45"/>
  <c r="Q46" i="45"/>
  <c r="P46" i="45"/>
  <c r="Q45" i="45"/>
  <c r="P45" i="45"/>
  <c r="Q44" i="45"/>
  <c r="P44" i="45"/>
  <c r="Q43" i="45"/>
  <c r="P43" i="45"/>
  <c r="E48" i="45"/>
  <c r="D48" i="45"/>
  <c r="E47" i="45"/>
  <c r="D47" i="45"/>
  <c r="E46" i="45"/>
  <c r="D46" i="45"/>
  <c r="E45" i="45"/>
  <c r="D45" i="45"/>
  <c r="E44" i="45"/>
  <c r="D44" i="45"/>
  <c r="E43" i="45"/>
  <c r="D43" i="45"/>
  <c r="AW26" i="45"/>
  <c r="AV26" i="45"/>
  <c r="AV25" i="45"/>
  <c r="AS32" i="45"/>
  <c r="AR32" i="45"/>
  <c r="AR31" i="45"/>
  <c r="AO38" i="45"/>
  <c r="AN38" i="45"/>
  <c r="AN37" i="45"/>
  <c r="AO14" i="45"/>
  <c r="AN14" i="45"/>
  <c r="AN13" i="45"/>
  <c r="AK44" i="45"/>
  <c r="AJ44" i="45"/>
  <c r="AK32" i="45"/>
  <c r="AJ32" i="45"/>
  <c r="AK20" i="45"/>
  <c r="AJ20" i="45"/>
  <c r="AK8" i="45"/>
  <c r="AJ8" i="45"/>
  <c r="AK43" i="45"/>
  <c r="AJ43" i="45"/>
  <c r="AK31" i="45"/>
  <c r="AJ31" i="45"/>
  <c r="AK19" i="45"/>
  <c r="AJ19" i="45"/>
  <c r="AK7" i="45"/>
  <c r="AJ7" i="45"/>
  <c r="AG47" i="45"/>
  <c r="AF47" i="45"/>
  <c r="AG41" i="45"/>
  <c r="AF41" i="45"/>
  <c r="AG35" i="45"/>
  <c r="AF35" i="45"/>
  <c r="AG29" i="45"/>
  <c r="AF29" i="45"/>
  <c r="AG23" i="45"/>
  <c r="AF23" i="45"/>
  <c r="AG17" i="45"/>
  <c r="AF17" i="45"/>
  <c r="AG11" i="45"/>
  <c r="AF11" i="45"/>
  <c r="AG46" i="45"/>
  <c r="AF46" i="45"/>
  <c r="AG40" i="45"/>
  <c r="AF40" i="45"/>
  <c r="AG34" i="45"/>
  <c r="AF34" i="45"/>
  <c r="AG28" i="45"/>
  <c r="AF28" i="45"/>
  <c r="AG22" i="45"/>
  <c r="AF22" i="45"/>
  <c r="AG16" i="45"/>
  <c r="AF16" i="45"/>
  <c r="AG10" i="45"/>
  <c r="AF10" i="45"/>
  <c r="AG5" i="45"/>
  <c r="AF5" i="45"/>
  <c r="AG4" i="45"/>
  <c r="AF4" i="45"/>
  <c r="AC49" i="45"/>
  <c r="AB49" i="45"/>
  <c r="AC46" i="45"/>
  <c r="AB46" i="45"/>
  <c r="AC43" i="45"/>
  <c r="AB43" i="45"/>
  <c r="AC40" i="45"/>
  <c r="AB40" i="45"/>
  <c r="AC37" i="45"/>
  <c r="AB37" i="45"/>
  <c r="AC34" i="45"/>
  <c r="AB34" i="45"/>
  <c r="AC31" i="45"/>
  <c r="AB31" i="45"/>
  <c r="AC28" i="45"/>
  <c r="AB28" i="45"/>
  <c r="AC25" i="45"/>
  <c r="AB25" i="45"/>
  <c r="AC22" i="45"/>
  <c r="AB22" i="45"/>
  <c r="AC19" i="45"/>
  <c r="AB19" i="45"/>
  <c r="AC16" i="45"/>
  <c r="AB16" i="45"/>
  <c r="AC13" i="45"/>
  <c r="AB13" i="45"/>
  <c r="AC10" i="45"/>
  <c r="AB10" i="45"/>
  <c r="AC7" i="45"/>
  <c r="AB7" i="45"/>
  <c r="AC4" i="45"/>
  <c r="AB4" i="45"/>
  <c r="AC48" i="45"/>
  <c r="AB48" i="45"/>
  <c r="AC45" i="45"/>
  <c r="AB45" i="45"/>
  <c r="AC42" i="45"/>
  <c r="AB42" i="45"/>
  <c r="AC39" i="45"/>
  <c r="AB39" i="45"/>
  <c r="AC36" i="45"/>
  <c r="AB36" i="45"/>
  <c r="AC33" i="45"/>
  <c r="AB33" i="45"/>
  <c r="AC30" i="45"/>
  <c r="AB30" i="45"/>
  <c r="AC27" i="45"/>
  <c r="AB27" i="45"/>
  <c r="AC24" i="45"/>
  <c r="AB24" i="45"/>
  <c r="AC21" i="45"/>
  <c r="AB21" i="45"/>
  <c r="AC18" i="45"/>
  <c r="AB18" i="45"/>
  <c r="AC15" i="45"/>
  <c r="AB15" i="45"/>
  <c r="AC12" i="45"/>
  <c r="AB12" i="45"/>
  <c r="AC9" i="45"/>
  <c r="AB9" i="45"/>
  <c r="AC6" i="45"/>
  <c r="AB6" i="45"/>
  <c r="AC3" i="45"/>
  <c r="AB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AGV64" i="30" a="1"/>
  <c r="AGV64" i="30"/>
  <c r="AGU64" i="30" a="1"/>
  <c r="AGU64" i="30"/>
  <c r="AGC64" i="30" a="1"/>
  <c r="AGC64" i="30"/>
  <c r="AGC63" i="30" a="1"/>
  <c r="AGC63" i="30"/>
  <c r="AGC62" i="30" a="1"/>
  <c r="AGC62" i="30"/>
  <c r="AGC61" i="30" a="1"/>
  <c r="AGC61" i="30"/>
  <c r="AGC60" i="30" a="1"/>
  <c r="AGC60" i="30"/>
  <c r="AGC59" i="30" a="1"/>
  <c r="AGC59" i="30"/>
  <c r="AGB64" i="30" a="1"/>
  <c r="AGB64" i="30"/>
  <c r="AGB63" i="30" a="1"/>
  <c r="AGB63" i="30"/>
  <c r="AGB62" i="30" a="1"/>
  <c r="AGB62" i="30"/>
  <c r="AGB61" i="30" a="1"/>
  <c r="AGB61" i="30"/>
  <c r="AGB60" i="30" a="1"/>
  <c r="AGB60" i="30"/>
  <c r="AGB59" i="30" a="1"/>
  <c r="AGB59" i="30"/>
  <c r="AGA59" i="30" a="1"/>
  <c r="AGA59" i="30"/>
  <c r="AGA60" i="30" a="1"/>
  <c r="AGA60" i="30"/>
  <c r="AGA61" i="30" a="1"/>
  <c r="AGA61" i="30"/>
  <c r="AGA62" i="30" a="1"/>
  <c r="AGA62" i="30"/>
  <c r="AGA63" i="30" a="1"/>
  <c r="AGA63" i="30"/>
  <c r="AGA64" i="30" a="1"/>
  <c r="AGA64" i="30"/>
  <c r="AFX62" i="30" a="1"/>
  <c r="AFX62" i="30"/>
  <c r="AFX63" i="30" a="1"/>
  <c r="AFX63" i="30"/>
  <c r="AFX64" i="30" a="1"/>
  <c r="AFX64" i="30"/>
  <c r="AFW64" i="30" a="1"/>
  <c r="AFW64" i="30"/>
  <c r="AFW63" i="30" a="1"/>
  <c r="AFW63" i="30"/>
  <c r="AFW62" i="30" a="1"/>
  <c r="AFW62" i="30"/>
  <c r="JW64" i="30" a="1"/>
  <c r="JW64" i="30"/>
  <c r="JW63" i="30" a="1"/>
  <c r="JW63" i="30"/>
  <c r="JW62" i="30" a="1"/>
  <c r="JW62" i="30"/>
  <c r="JW61" i="30" a="1"/>
  <c r="JW61" i="30"/>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68" i="36"/>
  <c r="D65" i="36"/>
  <c r="D11" i="36"/>
  <c r="B24" i="30" s="1"/>
  <c r="D189" i="36"/>
  <c r="B237" i="31" s="1"/>
  <c r="D121" i="36"/>
  <c r="D54" i="31" s="1"/>
  <c r="D123" i="36"/>
  <c r="B79" i="31" s="1"/>
  <c r="D26" i="36"/>
  <c r="AJ100" i="3" s="1"/>
  <c r="D101" i="36"/>
  <c r="D111" i="36"/>
  <c r="E163" i="31" s="1"/>
  <c r="D125" i="36"/>
  <c r="B163" i="31" s="1"/>
  <c r="D4" i="36"/>
  <c r="K6" i="30" s="1"/>
  <c r="D151" i="36"/>
  <c r="B94" i="31" s="1"/>
  <c r="D154" i="36"/>
  <c r="B97" i="31" s="1"/>
  <c r="D25" i="36"/>
  <c r="D79" i="36"/>
  <c r="B2" i="34" s="1"/>
  <c r="D102" i="36"/>
  <c r="C4" i="31" s="1"/>
  <c r="D113" i="36"/>
  <c r="E200" i="31" s="1"/>
  <c r="D131" i="36"/>
  <c r="B231" i="31" s="1"/>
  <c r="D137" i="36"/>
  <c r="B80" i="31" s="1"/>
  <c r="D149" i="36"/>
  <c r="B92" i="31" s="1"/>
  <c r="D141" i="36"/>
  <c r="B84" i="31" s="1"/>
  <c r="D105" i="36"/>
  <c r="E4" i="31" s="1"/>
  <c r="D115" i="36"/>
  <c r="E232" i="31" s="1"/>
  <c r="D133" i="36"/>
  <c r="B239" i="31" s="1"/>
  <c r="D160" i="36"/>
  <c r="B103" i="31" s="1"/>
  <c r="D148" i="36"/>
  <c r="B91" i="31" s="1"/>
  <c r="D142" i="36"/>
  <c r="B85" i="31" s="1"/>
  <c r="D99" i="36"/>
  <c r="C1" i="31" s="1"/>
  <c r="D106" i="36"/>
  <c r="E5" i="31" s="1"/>
  <c r="D116" i="36"/>
  <c r="E244" i="31" s="1"/>
  <c r="D76" i="36"/>
  <c r="B3" i="34" s="1"/>
  <c r="D157" i="36"/>
  <c r="B100" i="31" s="1"/>
  <c r="D147" i="36"/>
  <c r="B90" i="31" s="1"/>
  <c r="D100" i="36"/>
  <c r="D152" i="36"/>
  <c r="B95" i="31" s="1"/>
  <c r="D49" i="36"/>
  <c r="AL149" i="3" s="1"/>
  <c r="D107" i="36"/>
  <c r="E6" i="31" s="1"/>
  <c r="D117" i="36"/>
  <c r="E253" i="31" s="1"/>
  <c r="D77" i="36"/>
  <c r="B15" i="34" s="1"/>
  <c r="D156" i="36"/>
  <c r="B99" i="31" s="1"/>
  <c r="D146" i="36"/>
  <c r="B89" i="31" s="1"/>
  <c r="D109" i="36"/>
  <c r="E54" i="31" s="1"/>
  <c r="D140" i="36"/>
  <c r="B83" i="31" s="1"/>
  <c r="D110" i="36"/>
  <c r="E162" i="31" s="1"/>
  <c r="D50" i="36"/>
  <c r="AM149" i="3" s="1"/>
  <c r="D108" i="36"/>
  <c r="E30" i="31" s="1"/>
  <c r="D120" i="36"/>
  <c r="D30" i="31" s="1"/>
  <c r="D15" i="36"/>
  <c r="C7" i="30" s="1"/>
  <c r="D155" i="36"/>
  <c r="B98" i="31" s="1"/>
  <c r="D144" i="36"/>
  <c r="B87" i="31" s="1"/>
  <c r="D126" i="36"/>
  <c r="B181" i="31" s="1"/>
  <c r="D166" i="36"/>
  <c r="B109" i="31" s="1"/>
  <c r="D167" i="36"/>
  <c r="B110" i="31" s="1"/>
  <c r="D187" i="36"/>
  <c r="B210" i="31" s="1"/>
  <c r="B211" i="31" s="1"/>
  <c r="B212" i="31" s="1"/>
  <c r="B213" i="31" s="1"/>
  <c r="B214" i="31" s="1"/>
  <c r="B215" i="31" s="1"/>
  <c r="B216" i="31" s="1"/>
  <c r="B217" i="31" s="1"/>
  <c r="D119" i="36"/>
  <c r="D6" i="31" s="1"/>
  <c r="D135" i="36"/>
  <c r="B246" i="31" s="1"/>
  <c r="D136" i="36"/>
  <c r="B249" i="31" s="1"/>
  <c r="D153" i="36"/>
  <c r="B96" i="31" s="1"/>
  <c r="D145" i="36"/>
  <c r="B88" i="31" s="1"/>
  <c r="D5" i="36"/>
  <c r="D62" i="36"/>
  <c r="Z6" i="3" s="1"/>
  <c r="D48" i="36"/>
  <c r="AM148" i="3" s="1"/>
  <c r="D170" i="36"/>
  <c r="B113" i="31" s="1"/>
  <c r="D129" i="36"/>
  <c r="B219" i="31" s="1"/>
  <c r="D174" i="36"/>
  <c r="B117" i="31" s="1"/>
  <c r="D132" i="36"/>
  <c r="B235" i="31" s="1"/>
  <c r="D21" i="36"/>
  <c r="AC3" i="3" s="1"/>
  <c r="D31" i="36"/>
  <c r="W141" i="3" s="1"/>
  <c r="D175" i="36"/>
  <c r="B118" i="31" s="1"/>
  <c r="D103" i="36"/>
  <c r="E1" i="31" s="1"/>
  <c r="D112" i="36"/>
  <c r="E164" i="31" s="1"/>
  <c r="D78" i="36"/>
  <c r="B16" i="34" s="1"/>
  <c r="D158" i="36"/>
  <c r="B101" i="31" s="1"/>
  <c r="D150" i="36"/>
  <c r="B93" i="31" s="1"/>
  <c r="D139" i="36"/>
  <c r="B82" i="31" s="1"/>
  <c r="D143" i="36"/>
  <c r="B86" i="31" s="1"/>
  <c r="D32" i="36"/>
  <c r="W145" i="3" s="1"/>
  <c r="D178" i="36"/>
  <c r="B121" i="31" s="1"/>
  <c r="D138" i="36"/>
  <c r="B81" i="31" s="1"/>
  <c r="D104" i="36"/>
  <c r="E3" i="31" s="1"/>
  <c r="D182" i="36"/>
  <c r="B125" i="31" s="1"/>
  <c r="D42" i="36"/>
  <c r="W160" i="3" s="1"/>
  <c r="B258" i="31" s="1"/>
  <c r="D190" i="36"/>
  <c r="B240" i="31" s="1"/>
  <c r="B241" i="31" s="1"/>
  <c r="D51" i="36"/>
  <c r="AJ5" i="3" s="1"/>
  <c r="D162" i="36"/>
  <c r="B105" i="31" s="1"/>
  <c r="D183" i="36"/>
  <c r="B126" i="31" s="1"/>
  <c r="D63" i="36"/>
  <c r="Z8" i="3" s="1"/>
  <c r="D33" i="36"/>
  <c r="AA149" i="3" s="1"/>
  <c r="D163" i="36"/>
  <c r="B106" i="31" s="1"/>
  <c r="D171" i="36"/>
  <c r="B114" i="31" s="1"/>
  <c r="D179" i="36"/>
  <c r="B122" i="31" s="1"/>
  <c r="D186" i="36"/>
  <c r="B182" i="31" s="1"/>
  <c r="B183" i="31" s="1"/>
  <c r="B184" i="31" s="1"/>
  <c r="B185" i="31" s="1"/>
  <c r="B186" i="31" s="1"/>
  <c r="B187" i="31" s="1"/>
  <c r="B188" i="31" s="1"/>
  <c r="B189" i="31" s="1"/>
  <c r="B190" i="31" s="1"/>
  <c r="B191" i="31" s="1"/>
  <c r="B192" i="31" s="1"/>
  <c r="B193" i="31" s="1"/>
  <c r="B194" i="31" s="1"/>
  <c r="B195" i="31" s="1"/>
  <c r="B196" i="31" s="1"/>
  <c r="B197" i="31" s="1"/>
  <c r="D134" i="36"/>
  <c r="B243" i="31" s="1"/>
  <c r="D41" i="36"/>
  <c r="W159" i="3" s="1"/>
  <c r="B257" i="31" s="1"/>
  <c r="D23" i="36"/>
  <c r="AJ3" i="3" s="1"/>
  <c r="AJ84" i="3" s="1"/>
  <c r="D19" i="36"/>
  <c r="Z3" i="3" s="1"/>
  <c r="D185" i="36"/>
  <c r="B130" i="31" s="1"/>
  <c r="B131" i="31" s="1"/>
  <c r="B132" i="31" s="1"/>
  <c r="B133" i="31" s="1"/>
  <c r="B134" i="31" s="1"/>
  <c r="B135" i="31" s="1"/>
  <c r="B136" i="31" s="1"/>
  <c r="B137" i="31" s="1"/>
  <c r="B138" i="31" s="1"/>
  <c r="B139" i="31" s="1"/>
  <c r="B140" i="31" s="1"/>
  <c r="B141" i="31" s="1"/>
  <c r="B142" i="31" s="1"/>
  <c r="B143" i="31" s="1"/>
  <c r="B144" i="31" s="1"/>
  <c r="B145" i="31" s="1"/>
  <c r="D164" i="36"/>
  <c r="B107" i="31" s="1"/>
  <c r="D172" i="36"/>
  <c r="B115" i="31" s="1"/>
  <c r="D180" i="36"/>
  <c r="B123" i="31" s="1"/>
  <c r="D127" i="36"/>
  <c r="B199" i="31" s="1"/>
  <c r="D40" i="36"/>
  <c r="W158" i="3" s="1"/>
  <c r="B256" i="31" s="1"/>
  <c r="D44" i="36"/>
  <c r="D24" i="36"/>
  <c r="AV3" i="3" s="1"/>
  <c r="D16" i="36"/>
  <c r="D159" i="36"/>
  <c r="B102" i="31" s="1"/>
  <c r="D47" i="36"/>
  <c r="AL148" i="3" s="1"/>
  <c r="D165" i="36"/>
  <c r="B108" i="31" s="1"/>
  <c r="D173" i="36"/>
  <c r="B116" i="31" s="1"/>
  <c r="D181" i="36"/>
  <c r="B124" i="31" s="1"/>
  <c r="D128" i="36"/>
  <c r="B209" i="31" s="1"/>
  <c r="D37" i="36"/>
  <c r="W154" i="3" s="1"/>
  <c r="B253" i="31" s="1"/>
  <c r="D114" i="36"/>
  <c r="E220" i="31" s="1"/>
  <c r="D249" i="36"/>
  <c r="L2" i="32" s="1"/>
  <c r="D17" i="36"/>
  <c r="X3" i="3" s="1"/>
  <c r="X67" i="3" s="1"/>
  <c r="D168" i="36"/>
  <c r="B111" i="31" s="1"/>
  <c r="D176" i="36"/>
  <c r="B119" i="31" s="1"/>
  <c r="D184" i="36"/>
  <c r="B127" i="31" s="1"/>
  <c r="D130" i="36"/>
  <c r="B225" i="31" s="1"/>
  <c r="D39" i="36"/>
  <c r="W156" i="3" s="1"/>
  <c r="B255" i="31" s="1"/>
  <c r="D61" i="36"/>
  <c r="Z4" i="3" s="1"/>
  <c r="Z77" i="3" s="1"/>
  <c r="D18" i="36"/>
  <c r="Y3" i="3" s="1"/>
  <c r="Y119" i="3" s="1"/>
  <c r="D161" i="36"/>
  <c r="B104" i="31" s="1"/>
  <c r="D169" i="36"/>
  <c r="B112" i="31" s="1"/>
  <c r="D177" i="36"/>
  <c r="B120" i="31" s="1"/>
  <c r="D124" i="36"/>
  <c r="B129" i="31" s="1"/>
  <c r="D188" i="36"/>
  <c r="B229" i="31" s="1"/>
  <c r="D38" i="36"/>
  <c r="W155" i="3" s="1"/>
  <c r="B254" i="31" s="1"/>
  <c r="D67" i="36"/>
  <c r="AZ45" i="3" s="1"/>
  <c r="D262" i="36"/>
  <c r="D261" i="36"/>
  <c r="D260" i="36"/>
  <c r="D267" i="36"/>
  <c r="D266" i="36"/>
  <c r="D265" i="36"/>
  <c r="D263" i="36"/>
  <c r="D264" i="36"/>
  <c r="D43" i="36"/>
  <c r="D66" i="36"/>
  <c r="D46" i="36"/>
  <c r="C9" i="30" s="1"/>
  <c r="AO162" i="3"/>
  <c r="B236" i="31"/>
  <c r="AQ93" i="3"/>
  <c r="D259" i="36" l="1"/>
  <c r="D55" i="36"/>
  <c r="AO5" i="3" s="1"/>
  <c r="AO53" i="3" s="1"/>
  <c r="D122" i="36"/>
  <c r="B5" i="31" s="1"/>
  <c r="D36" i="36"/>
  <c r="W152" i="3" s="1"/>
  <c r="B252" i="31" s="1"/>
  <c r="D27" i="36"/>
  <c r="W99" i="3" s="1"/>
  <c r="D69" i="36"/>
  <c r="AA154" i="3"/>
  <c r="AA155" i="3"/>
  <c r="C254" i="31" s="1"/>
  <c r="AA156" i="3"/>
  <c r="AA158" i="3"/>
  <c r="C256" i="31" s="1"/>
  <c r="AA159" i="3"/>
  <c r="AA160" i="3"/>
  <c r="D252" i="36"/>
  <c r="D53" i="36"/>
  <c r="AM5" i="3" s="1"/>
  <c r="AM37" i="3" s="1"/>
  <c r="D268" i="36"/>
  <c r="AQ61" i="3"/>
  <c r="D28" i="36"/>
  <c r="W118" i="3" s="1"/>
  <c r="D256" i="36"/>
  <c r="D29" i="36"/>
  <c r="W129" i="3" s="1"/>
  <c r="D257" i="36"/>
  <c r="D35" i="36"/>
  <c r="W151" i="3" s="1"/>
  <c r="B251" i="31" s="1"/>
  <c r="D9" i="36"/>
  <c r="D59" i="36"/>
  <c r="AS5" i="3" s="1"/>
  <c r="AS93" i="3" s="1"/>
  <c r="D8" i="36"/>
  <c r="B3" i="30" s="1"/>
  <c r="D71" i="36"/>
  <c r="D70" i="36"/>
  <c r="D6" i="36"/>
  <c r="D84" i="36"/>
  <c r="L11" i="34" s="1"/>
  <c r="D92" i="36"/>
  <c r="L21" i="34" s="1"/>
  <c r="D85" i="36"/>
  <c r="L12" i="34" s="1"/>
  <c r="D93" i="36"/>
  <c r="L27" i="34" s="1"/>
  <c r="D86" i="36"/>
  <c r="L13" i="34" s="1"/>
  <c r="D87" i="36"/>
  <c r="L14" i="34" s="1"/>
  <c r="D88" i="36"/>
  <c r="L15" i="34" s="1"/>
  <c r="D89" i="36"/>
  <c r="D81" i="36"/>
  <c r="L4" i="34" s="1"/>
  <c r="D82" i="36"/>
  <c r="L5" i="34" s="1"/>
  <c r="D90" i="36"/>
  <c r="D83" i="36"/>
  <c r="L6" i="34" s="1"/>
  <c r="D91" i="36"/>
  <c r="L20" i="34" s="1"/>
  <c r="AZ21" i="3"/>
  <c r="AD3" i="3"/>
  <c r="AD11" i="3" s="1"/>
  <c r="AZ61" i="3"/>
  <c r="B227" i="31"/>
  <c r="AZ53" i="3"/>
  <c r="AZ37" i="3"/>
  <c r="AC91" i="3"/>
  <c r="AC35" i="3"/>
  <c r="AZ5" i="3"/>
  <c r="L23" i="30"/>
  <c r="Y75" i="3"/>
  <c r="AJ52" i="3"/>
  <c r="AC19" i="3"/>
  <c r="AC83" i="3"/>
  <c r="AJ44" i="3"/>
  <c r="C255" i="31"/>
  <c r="AC75" i="3"/>
  <c r="AC100" i="3"/>
  <c r="AC142" i="3"/>
  <c r="AC11" i="3"/>
  <c r="B228" i="31"/>
  <c r="AC27" i="3"/>
  <c r="AS29" i="3"/>
  <c r="BJ5" i="3"/>
  <c r="BJ57" i="3" s="1"/>
  <c r="AR77" i="3"/>
  <c r="AR85" i="3"/>
  <c r="AR21" i="3"/>
  <c r="AR13" i="3"/>
  <c r="AR53" i="3"/>
  <c r="AR45" i="3"/>
  <c r="AR101" i="3"/>
  <c r="AR37" i="3"/>
  <c r="AR93" i="3"/>
  <c r="AR61" i="3"/>
  <c r="AR69" i="3"/>
  <c r="AR29" i="3"/>
  <c r="BE5" i="3"/>
  <c r="BE57" i="3" s="1"/>
  <c r="AM93" i="3"/>
  <c r="AM101" i="3"/>
  <c r="AA51" i="3"/>
  <c r="AA130" i="3"/>
  <c r="AA146" i="3"/>
  <c r="AA142" i="3"/>
  <c r="AA137" i="3"/>
  <c r="AA119" i="3"/>
  <c r="AA100" i="3"/>
  <c r="Z32" i="3"/>
  <c r="Z96" i="3"/>
  <c r="Z80" i="3"/>
  <c r="Z16" i="3"/>
  <c r="Z64" i="3"/>
  <c r="Z33" i="3"/>
  <c r="Z88" i="3"/>
  <c r="Z41" i="3"/>
  <c r="Z65" i="3"/>
  <c r="Z97" i="3"/>
  <c r="Z24" i="3"/>
  <c r="Z40" i="3"/>
  <c r="Z57" i="3"/>
  <c r="Z48" i="3"/>
  <c r="Z81" i="3"/>
  <c r="Z73" i="3"/>
  <c r="Z56" i="3"/>
  <c r="Z9" i="3"/>
  <c r="Y137" i="3"/>
  <c r="Y130" i="3"/>
  <c r="AH154" i="3"/>
  <c r="D10" i="36"/>
  <c r="AA162" i="3" s="1"/>
  <c r="D7" i="36"/>
  <c r="C5" i="30" s="1"/>
  <c r="D54" i="36"/>
  <c r="AN5" i="3" s="1"/>
  <c r="D52" i="36"/>
  <c r="D30" i="36"/>
  <c r="W136" i="3" s="1"/>
  <c r="D118" i="36"/>
  <c r="D60" i="36"/>
  <c r="AT5" i="3" s="1"/>
  <c r="D80" i="36"/>
  <c r="C19" i="34" s="1"/>
  <c r="D22" i="36"/>
  <c r="AF3" i="3" s="1"/>
  <c r="AF19" i="3" s="1"/>
  <c r="AF35" i="3" s="1"/>
  <c r="AZ93" i="3"/>
  <c r="B226" i="31"/>
  <c r="AC119" i="3"/>
  <c r="X83" i="3"/>
  <c r="AC67" i="3"/>
  <c r="D34" i="36"/>
  <c r="W150" i="3" s="1"/>
  <c r="B250" i="31" s="1"/>
  <c r="D253" i="36"/>
  <c r="D258" i="36"/>
  <c r="D45" i="36"/>
  <c r="C10" i="30" s="1"/>
  <c r="C5" i="31" s="1"/>
  <c r="D56" i="36"/>
  <c r="AP5" i="3" s="1"/>
  <c r="AP53" i="3" s="1"/>
  <c r="AC43" i="3"/>
  <c r="AA83" i="3"/>
  <c r="AA67" i="3"/>
  <c r="AA19" i="3"/>
  <c r="AA35" i="3" s="1"/>
  <c r="AJ60" i="3"/>
  <c r="Y67" i="3"/>
  <c r="AC59" i="3"/>
  <c r="AC51" i="3"/>
  <c r="D212" i="36"/>
  <c r="D208" i="36"/>
  <c r="B6" i="6" s="1"/>
  <c r="D199" i="36"/>
  <c r="D243" i="36"/>
  <c r="D235" i="36"/>
  <c r="D231" i="36"/>
  <c r="D227" i="36"/>
  <c r="D223" i="36"/>
  <c r="D219" i="36"/>
  <c r="B14" i="6" s="1"/>
  <c r="D211" i="36"/>
  <c r="D209" i="36"/>
  <c r="D246" i="36"/>
  <c r="D244" i="36"/>
  <c r="D238" i="36"/>
  <c r="D234" i="36"/>
  <c r="D230" i="36"/>
  <c r="D228" i="36"/>
  <c r="B2" i="6" s="1"/>
  <c r="D222" i="36"/>
  <c r="D220" i="36"/>
  <c r="D205" i="36"/>
  <c r="D201" i="36"/>
  <c r="D215" i="36"/>
  <c r="D239" i="36"/>
  <c r="D202" i="36"/>
  <c r="D213" i="36"/>
  <c r="D207" i="36"/>
  <c r="D200" i="36"/>
  <c r="D242" i="36"/>
  <c r="D240" i="36"/>
  <c r="D236" i="36"/>
  <c r="D232" i="36"/>
  <c r="D226" i="36"/>
  <c r="D224" i="36"/>
  <c r="D218" i="36"/>
  <c r="D216" i="36"/>
  <c r="D203" i="36"/>
  <c r="AJ53" i="3"/>
  <c r="AJ85" i="3"/>
  <c r="AJ61" i="3"/>
  <c r="AJ101" i="3"/>
  <c r="AJ45" i="3"/>
  <c r="AJ69" i="3"/>
  <c r="AJ29" i="3"/>
  <c r="AJ21" i="3"/>
  <c r="AJ77" i="3"/>
  <c r="AJ13" i="3"/>
  <c r="AJ93" i="3"/>
  <c r="AJ37" i="3"/>
  <c r="C257" i="31"/>
  <c r="Z5" i="3"/>
  <c r="Z44" i="3"/>
  <c r="Z45" i="3"/>
  <c r="Z21" i="3"/>
  <c r="Z68" i="3"/>
  <c r="Z93" i="3"/>
  <c r="Z85" i="3"/>
  <c r="Z13" i="3"/>
  <c r="Z52" i="3"/>
  <c r="Z37" i="3"/>
  <c r="Z84" i="3"/>
  <c r="Z53" i="3"/>
  <c r="Z12" i="3"/>
  <c r="Z60" i="3"/>
  <c r="Z92" i="3"/>
  <c r="Z36" i="3"/>
  <c r="Z20" i="3"/>
  <c r="Z69" i="3"/>
  <c r="Z28" i="3"/>
  <c r="Z76" i="3"/>
  <c r="Z61" i="3"/>
  <c r="AQ13" i="3"/>
  <c r="AQ69" i="3"/>
  <c r="AQ77" i="3"/>
  <c r="AQ21" i="3"/>
  <c r="AQ101" i="3"/>
  <c r="AQ85" i="3"/>
  <c r="BI5" i="3"/>
  <c r="BI57" i="3" s="1"/>
  <c r="AQ53" i="3"/>
  <c r="AQ45" i="3"/>
  <c r="AQ37" i="3"/>
  <c r="Z54" i="3"/>
  <c r="Z55" i="3"/>
  <c r="Z22" i="3"/>
  <c r="Z95" i="3"/>
  <c r="Z70" i="3"/>
  <c r="Z38" i="3"/>
  <c r="Z23" i="3"/>
  <c r="Z78" i="3"/>
  <c r="Z86" i="3"/>
  <c r="Z15" i="3"/>
  <c r="Z7" i="3"/>
  <c r="Z14" i="3"/>
  <c r="Z63" i="3"/>
  <c r="Z62" i="3"/>
  <c r="Z87" i="3"/>
  <c r="Z30" i="3"/>
  <c r="Z94" i="3"/>
  <c r="Z47" i="3"/>
  <c r="Z31" i="3"/>
  <c r="Z46" i="3"/>
  <c r="Z39" i="3"/>
  <c r="Z71" i="3"/>
  <c r="Z79" i="3"/>
  <c r="Z29" i="3"/>
  <c r="X142" i="3"/>
  <c r="X130" i="3"/>
  <c r="X100" i="3"/>
  <c r="X119" i="3"/>
  <c r="X75" i="3"/>
  <c r="X146" i="3"/>
  <c r="X91" i="3"/>
  <c r="X19" i="3"/>
  <c r="X35" i="3" s="1"/>
  <c r="X11" i="3"/>
  <c r="X27" i="3" s="1"/>
  <c r="X43" i="3" s="1"/>
  <c r="X137" i="3"/>
  <c r="X59" i="3"/>
  <c r="X51" i="3"/>
  <c r="Z19" i="3"/>
  <c r="Z35" i="3" s="1"/>
  <c r="Z11" i="3"/>
  <c r="Z27" i="3" s="1"/>
  <c r="Z43" i="3" s="1"/>
  <c r="Z83" i="3"/>
  <c r="Z59" i="3"/>
  <c r="Z75" i="3"/>
  <c r="Z51" i="3"/>
  <c r="Z91" i="3"/>
  <c r="Z67" i="3"/>
  <c r="AJ92" i="3"/>
  <c r="AJ20" i="3"/>
  <c r="AJ68" i="3"/>
  <c r="AJ12" i="3"/>
  <c r="AJ36" i="3"/>
  <c r="AJ4" i="3"/>
  <c r="AJ76" i="3"/>
  <c r="AJ28" i="3"/>
  <c r="Y51" i="3"/>
  <c r="BC5" i="3"/>
  <c r="BC57" i="3" s="1"/>
  <c r="AZ85" i="3"/>
  <c r="AC130" i="3"/>
  <c r="AZ29" i="3"/>
  <c r="AZ77" i="3"/>
  <c r="Z25" i="3"/>
  <c r="Y59" i="3"/>
  <c r="Y11" i="3"/>
  <c r="Y27" i="3" s="1"/>
  <c r="Y43" i="3" s="1"/>
  <c r="B146" i="31"/>
  <c r="B147" i="31" s="1"/>
  <c r="B148" i="31" s="1"/>
  <c r="B149" i="31" s="1"/>
  <c r="B150" i="31" s="1"/>
  <c r="B151" i="31" s="1"/>
  <c r="B152" i="31" s="1"/>
  <c r="B153" i="31" s="1"/>
  <c r="B154" i="31" s="1"/>
  <c r="B155" i="31" s="1"/>
  <c r="B156" i="31" s="1"/>
  <c r="B157" i="31" s="1"/>
  <c r="B158" i="31" s="1"/>
  <c r="B159" i="31" s="1"/>
  <c r="B160" i="31" s="1"/>
  <c r="B161" i="31" s="1"/>
  <c r="Z49" i="3"/>
  <c r="AA91" i="3"/>
  <c r="Z17" i="3"/>
  <c r="Z89" i="3"/>
  <c r="Z72" i="3"/>
  <c r="Y100" i="3"/>
  <c r="Y142" i="3"/>
  <c r="Y146" i="3"/>
  <c r="AA75" i="3"/>
  <c r="AA11" i="3"/>
  <c r="AA27" i="3" s="1"/>
  <c r="AA43" i="3" s="1"/>
  <c r="AZ69" i="3"/>
  <c r="Y83" i="3"/>
  <c r="Y19" i="3"/>
  <c r="Y35" i="3" s="1"/>
  <c r="AA59" i="3"/>
  <c r="AZ13" i="3"/>
  <c r="Y91" i="3"/>
  <c r="D214" i="36"/>
  <c r="D210" i="36"/>
  <c r="B45" i="6" s="1"/>
  <c r="D206" i="36"/>
  <c r="D245" i="36"/>
  <c r="D241" i="36"/>
  <c r="D237" i="36"/>
  <c r="D233" i="36"/>
  <c r="D229" i="36"/>
  <c r="D225" i="36"/>
  <c r="D221" i="36"/>
  <c r="D217" i="36"/>
  <c r="D204" i="36"/>
  <c r="AO21" i="3" l="1"/>
  <c r="AO29" i="3"/>
  <c r="AO93" i="3"/>
  <c r="BG5" i="3"/>
  <c r="BG57" i="3" s="1"/>
  <c r="AO101" i="3"/>
  <c r="AO85" i="3"/>
  <c r="AO13" i="3"/>
  <c r="AO69" i="3"/>
  <c r="AO61" i="3"/>
  <c r="B34" i="34"/>
  <c r="AO37" i="3"/>
  <c r="AS53" i="3"/>
  <c r="AM61" i="3"/>
  <c r="AM69" i="3"/>
  <c r="AM29" i="3"/>
  <c r="AM21" i="3"/>
  <c r="AM77" i="3"/>
  <c r="AM13" i="3"/>
  <c r="AO45" i="3"/>
  <c r="AO77" i="3"/>
  <c r="AM85" i="3"/>
  <c r="AM53" i="3"/>
  <c r="AS21" i="3"/>
  <c r="AP37" i="3"/>
  <c r="AM45" i="3"/>
  <c r="B21" i="6"/>
  <c r="B49" i="6"/>
  <c r="AL1" i="3"/>
  <c r="K3" i="45"/>
  <c r="K11" i="45" s="1"/>
  <c r="K19" i="45" s="1"/>
  <c r="K27" i="45" s="1"/>
  <c r="K35" i="45" s="1"/>
  <c r="K43" i="45" s="1"/>
  <c r="W3" i="45" s="1"/>
  <c r="W11" i="45" s="1"/>
  <c r="W19" i="45" s="1"/>
  <c r="W27" i="45" s="1"/>
  <c r="W35" i="45" s="1"/>
  <c r="W43" i="45" s="1"/>
  <c r="AS13" i="3"/>
  <c r="AS45" i="3"/>
  <c r="AS85" i="3"/>
  <c r="B29" i="6"/>
  <c r="B42" i="6"/>
  <c r="B46" i="6"/>
  <c r="A93" i="3" s="1"/>
  <c r="AA92" i="3" s="1"/>
  <c r="AS61" i="3"/>
  <c r="AS69" i="3"/>
  <c r="AS101" i="3"/>
  <c r="AS77" i="3"/>
  <c r="AS37" i="3"/>
  <c r="BK5" i="3"/>
  <c r="BK57" i="3" s="1"/>
  <c r="B10" i="6"/>
  <c r="BD14" i="3" s="1"/>
  <c r="B11" i="6"/>
  <c r="A22" i="3" s="1"/>
  <c r="B25" i="6"/>
  <c r="A48" i="3" s="1"/>
  <c r="AA49" i="3" s="1"/>
  <c r="AX18" i="45"/>
  <c r="W1" i="3"/>
  <c r="B32" i="6"/>
  <c r="B34" i="6"/>
  <c r="A69" i="3" s="1"/>
  <c r="B33" i="6"/>
  <c r="A64" i="3" s="1"/>
  <c r="AA63" i="3" s="1"/>
  <c r="B20" i="6"/>
  <c r="B37" i="6"/>
  <c r="A72" i="3" s="1"/>
  <c r="B3" i="6"/>
  <c r="BD7" i="3" s="1"/>
  <c r="B22" i="6"/>
  <c r="B4" i="6"/>
  <c r="BD8" i="3" s="1"/>
  <c r="B8" i="6"/>
  <c r="A15" i="3" s="1"/>
  <c r="AF17" i="3" s="1"/>
  <c r="B41" i="6"/>
  <c r="A80" i="3" s="1"/>
  <c r="B24" i="6"/>
  <c r="BD28" i="3" s="1"/>
  <c r="B5" i="6"/>
  <c r="BD9" i="3" s="1"/>
  <c r="B18" i="6"/>
  <c r="B7" i="6"/>
  <c r="B36" i="6"/>
  <c r="B43" i="6"/>
  <c r="B38" i="6"/>
  <c r="B12" i="6"/>
  <c r="B48" i="6"/>
  <c r="A95" i="3" s="1"/>
  <c r="AA93" i="3" s="1"/>
  <c r="B31" i="6"/>
  <c r="A62" i="3" s="1"/>
  <c r="B19" i="6"/>
  <c r="B17" i="6"/>
  <c r="B27" i="6"/>
  <c r="B35" i="6"/>
  <c r="B40" i="6"/>
  <c r="B44" i="6"/>
  <c r="B39" i="6"/>
  <c r="B47" i="6"/>
  <c r="BD51" i="3" s="1"/>
  <c r="B9" i="6"/>
  <c r="BD13" i="3" s="1"/>
  <c r="B16" i="6"/>
  <c r="B13" i="6"/>
  <c r="B15" i="6"/>
  <c r="B26" i="6"/>
  <c r="B28" i="6"/>
  <c r="B30" i="6"/>
  <c r="B23" i="6"/>
  <c r="AD27" i="3"/>
  <c r="K32" i="6"/>
  <c r="K43" i="6"/>
  <c r="K35" i="6"/>
  <c r="AB11" i="32"/>
  <c r="K25" i="6"/>
  <c r="AB12" i="32"/>
  <c r="K24" i="6"/>
  <c r="K17" i="6"/>
  <c r="K26" i="6"/>
  <c r="K16" i="6"/>
  <c r="AB48" i="32"/>
  <c r="K40" i="6"/>
  <c r="K46" i="6"/>
  <c r="AP101" i="3"/>
  <c r="AD91" i="3"/>
  <c r="AD119" i="3"/>
  <c r="AD130" i="3"/>
  <c r="AD75" i="3"/>
  <c r="AD19" i="3"/>
  <c r="AD142" i="3"/>
  <c r="AD51" i="3"/>
  <c r="AG156" i="3"/>
  <c r="AD43" i="3"/>
  <c r="AF51" i="3"/>
  <c r="AF119" i="3"/>
  <c r="AP29" i="3"/>
  <c r="AF83" i="3"/>
  <c r="AD83" i="3"/>
  <c r="AD59" i="3"/>
  <c r="AP61" i="3"/>
  <c r="AD100" i="3"/>
  <c r="AD67" i="3"/>
  <c r="AF67" i="3"/>
  <c r="AF137" i="3"/>
  <c r="AD35" i="3"/>
  <c r="BH5" i="3"/>
  <c r="BH57" i="3" s="1"/>
  <c r="AG159" i="3"/>
  <c r="AF142" i="3"/>
  <c r="AG155" i="3"/>
  <c r="AG158" i="3"/>
  <c r="AP93" i="3"/>
  <c r="AF91" i="3"/>
  <c r="AP77" i="3"/>
  <c r="AF75" i="3"/>
  <c r="AP13" i="3"/>
  <c r="AF130" i="3"/>
  <c r="AF11" i="3"/>
  <c r="AF27" i="3" s="1"/>
  <c r="AF43" i="3" s="1"/>
  <c r="AF59" i="3"/>
  <c r="A5" i="3"/>
  <c r="AF8" i="3" s="1"/>
  <c r="K8" i="6"/>
  <c r="AB47" i="32"/>
  <c r="AB50" i="32"/>
  <c r="K49" i="6"/>
  <c r="AB39" i="32"/>
  <c r="K38" i="6"/>
  <c r="K47" i="6"/>
  <c r="AB9" i="32"/>
  <c r="K37" i="6"/>
  <c r="E16" i="30"/>
  <c r="B3" i="31"/>
  <c r="E17" i="30"/>
  <c r="AL5" i="3"/>
  <c r="BD5" i="3"/>
  <c r="BD57" i="3" s="1"/>
  <c r="AP85" i="3"/>
  <c r="AP21" i="3"/>
  <c r="AP69" i="3"/>
  <c r="AP45" i="3"/>
  <c r="AF146" i="3"/>
  <c r="AF100" i="3"/>
  <c r="BL5" i="3"/>
  <c r="BL57" i="3" s="1"/>
  <c r="AT69" i="3"/>
  <c r="AT85" i="3"/>
  <c r="J3" i="45"/>
  <c r="J11" i="45" s="1"/>
  <c r="J19" i="45" s="1"/>
  <c r="J27" i="45" s="1"/>
  <c r="J35" i="45" s="1"/>
  <c r="J43" i="45" s="1"/>
  <c r="V3" i="45" s="1"/>
  <c r="V11" i="45" s="1"/>
  <c r="V19" i="45" s="1"/>
  <c r="V27" i="45" s="1"/>
  <c r="V35" i="45" s="1"/>
  <c r="V43" i="45" s="1"/>
  <c r="AT61" i="3"/>
  <c r="AT45" i="3"/>
  <c r="AT29" i="3"/>
  <c r="AT37" i="3"/>
  <c r="AT93" i="3"/>
  <c r="AT53" i="3"/>
  <c r="AT13" i="3"/>
  <c r="AT21" i="3"/>
  <c r="AT101" i="3"/>
  <c r="AT77" i="3"/>
  <c r="BF5" i="3"/>
  <c r="BF57" i="3" s="1"/>
  <c r="AN69" i="3"/>
  <c r="AN93" i="3"/>
  <c r="AN101" i="3"/>
  <c r="AN45" i="3"/>
  <c r="AN77" i="3"/>
  <c r="AN13" i="3"/>
  <c r="AN37" i="3"/>
  <c r="AN53" i="3"/>
  <c r="AN29" i="3"/>
  <c r="AN21" i="3"/>
  <c r="AN61" i="3"/>
  <c r="AN85" i="3"/>
  <c r="K14" i="6"/>
  <c r="K15" i="6"/>
  <c r="AB6" i="32"/>
  <c r="AB3" i="32"/>
  <c r="K11" i="6"/>
  <c r="AB34" i="32"/>
  <c r="AB13" i="32"/>
  <c r="K2" i="6"/>
  <c r="AB24" i="32"/>
  <c r="K23" i="6"/>
  <c r="K12" i="6"/>
  <c r="AB15" i="32"/>
  <c r="AB16" i="32"/>
  <c r="K10" i="6"/>
  <c r="AB32" i="32"/>
  <c r="K31" i="6"/>
  <c r="A29" i="3"/>
  <c r="AB40" i="32"/>
  <c r="K18" i="6"/>
  <c r="AB19" i="32"/>
  <c r="AB10" i="32"/>
  <c r="K39" i="6"/>
  <c r="K27" i="6"/>
  <c r="K33" i="6"/>
  <c r="K30" i="6"/>
  <c r="K9" i="6"/>
  <c r="AB43" i="32"/>
  <c r="AB27" i="32"/>
  <c r="AB31" i="32"/>
  <c r="K41" i="6"/>
  <c r="AB38" i="32"/>
  <c r="K42" i="6"/>
  <c r="AB23" i="32"/>
  <c r="K22" i="6"/>
  <c r="AB26" i="32"/>
  <c r="K4" i="6"/>
  <c r="AB45" i="32"/>
  <c r="K34" i="6"/>
  <c r="AB35" i="32"/>
  <c r="AB5" i="32"/>
  <c r="K7" i="6"/>
  <c r="AB42" i="32"/>
  <c r="K5" i="6"/>
  <c r="AB30" i="32"/>
  <c r="K44" i="6"/>
  <c r="AB36" i="32"/>
  <c r="K29" i="6"/>
  <c r="AB17" i="32"/>
  <c r="AB8" i="32"/>
  <c r="AB20" i="32"/>
  <c r="K3" i="6"/>
  <c r="K19" i="6"/>
  <c r="AB41" i="32"/>
  <c r="AB28" i="32"/>
  <c r="AB44" i="32"/>
  <c r="AB46" i="32"/>
  <c r="K45" i="6"/>
  <c r="AB14" i="32"/>
  <c r="AB22" i="32"/>
  <c r="AB33" i="32"/>
  <c r="AB37" i="32"/>
  <c r="K6" i="6"/>
  <c r="AB18" i="32"/>
  <c r="K36" i="6"/>
  <c r="K13" i="6"/>
  <c r="BD49" i="3"/>
  <c r="K21" i="6"/>
  <c r="AB25" i="32"/>
  <c r="AB4" i="32"/>
  <c r="AB7" i="32"/>
  <c r="K28" i="6"/>
  <c r="AB49" i="32"/>
  <c r="K48" i="6"/>
  <c r="AB29" i="32"/>
  <c r="AG154" i="3"/>
  <c r="C253" i="31"/>
  <c r="AG160" i="3"/>
  <c r="C258" i="31"/>
  <c r="K20" i="6"/>
  <c r="AB21" i="32"/>
  <c r="R52" i="32" l="1"/>
  <c r="R60" i="32"/>
  <c r="R68" i="32"/>
  <c r="R76" i="32"/>
  <c r="R84" i="32"/>
  <c r="R67" i="32"/>
  <c r="R53" i="32"/>
  <c r="R61" i="32"/>
  <c r="R69" i="32"/>
  <c r="R77" i="32"/>
  <c r="R85" i="32"/>
  <c r="R74" i="32"/>
  <c r="R54" i="32"/>
  <c r="R62" i="32"/>
  <c r="R70" i="32"/>
  <c r="R78" i="32"/>
  <c r="R86" i="32"/>
  <c r="R55" i="32"/>
  <c r="R71" i="32"/>
  <c r="R79" i="32"/>
  <c r="R66" i="32"/>
  <c r="R63" i="32"/>
  <c r="R58" i="32"/>
  <c r="R59" i="32"/>
  <c r="R75" i="32"/>
  <c r="R83" i="32"/>
  <c r="R56" i="32"/>
  <c r="R64" i="32"/>
  <c r="R72" i="32"/>
  <c r="R80" i="32"/>
  <c r="R82" i="32"/>
  <c r="R51" i="32"/>
  <c r="R57" i="32"/>
  <c r="R65" i="32"/>
  <c r="R73" i="32"/>
  <c r="R81" i="32"/>
  <c r="S55" i="32"/>
  <c r="S63" i="32"/>
  <c r="S71" i="32"/>
  <c r="S79" i="32"/>
  <c r="S56" i="32"/>
  <c r="S64" i="32"/>
  <c r="S72" i="32"/>
  <c r="S80" i="32"/>
  <c r="S57" i="32"/>
  <c r="S65" i="32"/>
  <c r="S73" i="32"/>
  <c r="S81" i="32"/>
  <c r="S58" i="32"/>
  <c r="S66" i="32"/>
  <c r="S74" i="32"/>
  <c r="S82" i="32"/>
  <c r="S51" i="32"/>
  <c r="S59" i="32"/>
  <c r="S67" i="32"/>
  <c r="S75" i="32"/>
  <c r="S83" i="32"/>
  <c r="S52" i="32"/>
  <c r="S60" i="32"/>
  <c r="S68" i="32"/>
  <c r="S76" i="32"/>
  <c r="S84" i="32"/>
  <c r="S53" i="32"/>
  <c r="S61" i="32"/>
  <c r="S69" i="32"/>
  <c r="S77" i="32"/>
  <c r="S85" i="32"/>
  <c r="S54" i="32"/>
  <c r="S62" i="32"/>
  <c r="S70" i="32"/>
  <c r="S78" i="32"/>
  <c r="S86" i="32"/>
  <c r="T57" i="32"/>
  <c r="T65" i="32"/>
  <c r="T73" i="32"/>
  <c r="T81" i="32"/>
  <c r="T55" i="32"/>
  <c r="T58" i="32"/>
  <c r="T66" i="32"/>
  <c r="T74" i="32"/>
  <c r="T82" i="32"/>
  <c r="T51" i="32"/>
  <c r="T59" i="32"/>
  <c r="T67" i="32"/>
  <c r="T75" i="32"/>
  <c r="T83" i="32"/>
  <c r="T79" i="32"/>
  <c r="T64" i="32"/>
  <c r="T52" i="32"/>
  <c r="T60" i="32"/>
  <c r="T68" i="32"/>
  <c r="T76" i="32"/>
  <c r="T84" i="32"/>
  <c r="T71" i="32"/>
  <c r="T80" i="32"/>
  <c r="T53" i="32"/>
  <c r="T61" i="32"/>
  <c r="T69" i="32"/>
  <c r="T77" i="32"/>
  <c r="T85" i="32"/>
  <c r="T63" i="32"/>
  <c r="T54" i="32"/>
  <c r="T62" i="32"/>
  <c r="T70" i="32"/>
  <c r="T78" i="32"/>
  <c r="T86" i="32"/>
  <c r="T56" i="32"/>
  <c r="T72" i="32"/>
  <c r="AA79" i="3"/>
  <c r="AA81" i="3"/>
  <c r="AY81" i="3"/>
  <c r="AF76" i="3"/>
  <c r="AA70" i="3"/>
  <c r="AF72" i="3"/>
  <c r="AA71" i="3"/>
  <c r="AA72" i="3"/>
  <c r="AY73" i="3"/>
  <c r="AF69" i="3"/>
  <c r="AA68" i="3"/>
  <c r="AA64" i="3"/>
  <c r="AB64" i="3" s="1"/>
  <c r="AF63" i="3"/>
  <c r="AY49" i="3"/>
  <c r="AA46" i="3"/>
  <c r="AF22" i="3"/>
  <c r="AA25" i="3"/>
  <c r="AF20" i="3"/>
  <c r="O43" i="45"/>
  <c r="A21" i="3"/>
  <c r="AF24" i="3" s="1"/>
  <c r="BD50" i="3"/>
  <c r="BC50" i="3" s="1"/>
  <c r="BD29" i="3"/>
  <c r="BC29" i="3" s="1"/>
  <c r="BD38" i="3"/>
  <c r="BC38" i="3" s="1"/>
  <c r="A6" i="3"/>
  <c r="BC8" i="3"/>
  <c r="BD41" i="3"/>
  <c r="BC41" i="3" s="1"/>
  <c r="BD45" i="3"/>
  <c r="BC45" i="3" s="1"/>
  <c r="BD12" i="3"/>
  <c r="BC12" i="3" s="1"/>
  <c r="A7" i="3"/>
  <c r="AF7" i="3" s="1"/>
  <c r="A32" i="3"/>
  <c r="A16" i="3"/>
  <c r="BD27" i="3"/>
  <c r="BC27" i="3" s="1"/>
  <c r="A94" i="3"/>
  <c r="BD34" i="3"/>
  <c r="BC34" i="3" s="1"/>
  <c r="A87" i="3"/>
  <c r="BD16" i="3"/>
  <c r="BC16" i="3" s="1"/>
  <c r="A77" i="3"/>
  <c r="AF81" i="3" s="1"/>
  <c r="BD44" i="3"/>
  <c r="BC44" i="3" s="1"/>
  <c r="A70" i="3"/>
  <c r="A53" i="3"/>
  <c r="AA52" i="3" s="1"/>
  <c r="BD39" i="3"/>
  <c r="BC39" i="3" s="1"/>
  <c r="A86" i="3"/>
  <c r="BD31" i="3"/>
  <c r="BC31" i="3" s="1"/>
  <c r="A79" i="3"/>
  <c r="BD21" i="3"/>
  <c r="BC21" i="3" s="1"/>
  <c r="A46" i="3"/>
  <c r="AA48" i="3" s="1"/>
  <c r="BD48" i="3"/>
  <c r="BC48" i="3" s="1"/>
  <c r="BD42" i="3"/>
  <c r="BC42" i="3" s="1"/>
  <c r="A23" i="3"/>
  <c r="AF25" i="3" s="1"/>
  <c r="A61" i="3"/>
  <c r="AF45" i="3"/>
  <c r="AF96" i="3"/>
  <c r="AY94" i="3"/>
  <c r="AA94" i="3"/>
  <c r="BC7" i="3"/>
  <c r="AY6" i="3"/>
  <c r="AA4" i="3"/>
  <c r="A55" i="3"/>
  <c r="AF56" i="3" s="1"/>
  <c r="BD10" i="3"/>
  <c r="BC10" i="3" s="1"/>
  <c r="A13" i="3"/>
  <c r="AF16" i="3" s="1"/>
  <c r="BD26" i="3"/>
  <c r="BC26" i="3" s="1"/>
  <c r="BC9" i="3"/>
  <c r="BD15" i="3"/>
  <c r="BC15" i="3" s="1"/>
  <c r="AY23" i="3"/>
  <c r="AA7" i="3"/>
  <c r="BD6" i="3"/>
  <c r="BC6" i="3" s="1"/>
  <c r="A54" i="3"/>
  <c r="BD30" i="3"/>
  <c r="BC30" i="3" s="1"/>
  <c r="BD40" i="3"/>
  <c r="BC40" i="3" s="1"/>
  <c r="BD47" i="3"/>
  <c r="BC47" i="3" s="1"/>
  <c r="A71" i="3"/>
  <c r="BD43" i="3"/>
  <c r="BC43" i="3" s="1"/>
  <c r="AL29" i="3"/>
  <c r="AY29" i="3" s="1"/>
  <c r="H3" i="45"/>
  <c r="H11" i="45" s="1"/>
  <c r="H19" i="45" s="1"/>
  <c r="H27" i="45" s="1"/>
  <c r="H35" i="45" s="1"/>
  <c r="H43" i="45" s="1"/>
  <c r="T3" i="45" s="1"/>
  <c r="T11" i="45" s="1"/>
  <c r="T19" i="45" s="1"/>
  <c r="T27" i="45" s="1"/>
  <c r="T35" i="45" s="1"/>
  <c r="T43" i="45" s="1"/>
  <c r="AL101" i="3"/>
  <c r="AY5" i="3"/>
  <c r="AL53" i="3"/>
  <c r="AY53" i="3" s="1"/>
  <c r="AL93" i="3"/>
  <c r="AY93" i="3" s="1"/>
  <c r="AL85" i="3"/>
  <c r="AY85" i="3" s="1"/>
  <c r="AL77" i="3"/>
  <c r="AY77" i="3" s="1"/>
  <c r="AL21" i="3"/>
  <c r="AY21" i="3" s="1"/>
  <c r="AL45" i="3"/>
  <c r="AY45" i="3" s="1"/>
  <c r="AL69" i="3"/>
  <c r="AY69" i="3" s="1"/>
  <c r="AL61" i="3"/>
  <c r="AY61" i="3" s="1"/>
  <c r="AL13" i="3"/>
  <c r="AY13" i="3" s="1"/>
  <c r="AL37" i="3"/>
  <c r="AY37" i="3" s="1"/>
  <c r="BD19" i="3"/>
  <c r="BC19" i="3" s="1"/>
  <c r="BD18" i="3"/>
  <c r="BC18" i="3" s="1"/>
  <c r="AF97" i="3"/>
  <c r="A78" i="3"/>
  <c r="AA80" i="3" s="1"/>
  <c r="A31" i="3"/>
  <c r="AY32" i="3" s="1"/>
  <c r="BD23" i="3"/>
  <c r="BC23" i="3" s="1"/>
  <c r="AF94" i="3"/>
  <c r="A38" i="3"/>
  <c r="A30" i="3"/>
  <c r="AY96" i="3"/>
  <c r="A85" i="3"/>
  <c r="A56" i="3"/>
  <c r="AA55" i="3" s="1"/>
  <c r="A39" i="3"/>
  <c r="AF41" i="3" s="1"/>
  <c r="BD46" i="3"/>
  <c r="BC46" i="3" s="1"/>
  <c r="BD52" i="3"/>
  <c r="BC52" i="3" s="1"/>
  <c r="BD20" i="3"/>
  <c r="BC20" i="3" s="1"/>
  <c r="BD32" i="3"/>
  <c r="BC32" i="3" s="1"/>
  <c r="BD33" i="3"/>
  <c r="BC33" i="3" s="1"/>
  <c r="BD22" i="3"/>
  <c r="BC22" i="3" s="1"/>
  <c r="BD11" i="3"/>
  <c r="BC11" i="3" s="1"/>
  <c r="BD24" i="3"/>
  <c r="BC24" i="3" s="1"/>
  <c r="A14" i="3"/>
  <c r="AF14" i="3" s="1"/>
  <c r="A45" i="3"/>
  <c r="AF49" i="3" s="1"/>
  <c r="BC13" i="3"/>
  <c r="AF60" i="3"/>
  <c r="AY63" i="3"/>
  <c r="A8" i="3"/>
  <c r="BD35" i="3"/>
  <c r="BC35" i="3" s="1"/>
  <c r="BC14" i="3"/>
  <c r="A37" i="3"/>
  <c r="A63" i="3"/>
  <c r="A24" i="3"/>
  <c r="BD25" i="3"/>
  <c r="BC25" i="3" s="1"/>
  <c r="A88" i="3"/>
  <c r="A40" i="3"/>
  <c r="AA40" i="3" s="1"/>
  <c r="BD37" i="3"/>
  <c r="BC37" i="3" s="1"/>
  <c r="A47" i="3"/>
  <c r="AF48" i="3" s="1"/>
  <c r="BC28" i="3"/>
  <c r="BC49" i="3"/>
  <c r="AI41" i="32"/>
  <c r="BD36" i="3"/>
  <c r="BC36" i="3" s="1"/>
  <c r="AB92" i="3"/>
  <c r="BC51" i="3"/>
  <c r="BD17" i="3"/>
  <c r="BC17" i="3" s="1"/>
  <c r="AI45" i="32"/>
  <c r="AI49" i="32"/>
  <c r="AI18" i="32"/>
  <c r="AI9" i="32"/>
  <c r="AI48" i="32"/>
  <c r="AI27" i="32"/>
  <c r="AI43" i="32"/>
  <c r="AI26" i="32"/>
  <c r="AI37" i="32"/>
  <c r="AI44" i="32"/>
  <c r="AI28" i="32"/>
  <c r="AI17" i="32"/>
  <c r="AI5" i="32"/>
  <c r="AI21" i="32"/>
  <c r="AI32" i="32"/>
  <c r="AI38" i="32"/>
  <c r="AI33" i="32"/>
  <c r="AI7" i="32"/>
  <c r="AI20" i="32"/>
  <c r="AI10" i="32"/>
  <c r="AI22" i="32"/>
  <c r="AI39" i="32"/>
  <c r="AI24" i="32"/>
  <c r="AI4" i="32"/>
  <c r="AI42" i="32"/>
  <c r="AI34" i="32"/>
  <c r="AI36" i="32"/>
  <c r="AI50" i="32"/>
  <c r="AI12" i="32"/>
  <c r="AI35" i="32"/>
  <c r="AI23" i="32"/>
  <c r="AI8" i="32"/>
  <c r="AI31" i="32"/>
  <c r="AI16" i="32"/>
  <c r="AI19" i="32"/>
  <c r="AI29" i="32"/>
  <c r="AI14" i="32"/>
  <c r="AI13" i="32"/>
  <c r="AI46" i="32"/>
  <c r="AI30" i="32"/>
  <c r="AI47" i="32"/>
  <c r="AI3" i="32"/>
  <c r="AI15" i="32"/>
  <c r="AI25" i="32"/>
  <c r="AI40" i="32"/>
  <c r="AI6" i="32"/>
  <c r="AI11" i="32"/>
  <c r="A96" i="3"/>
  <c r="BD53" i="3"/>
  <c r="BC53" i="3" s="1"/>
  <c r="AE8" i="3"/>
  <c r="AY70" i="3"/>
  <c r="AA28" i="3"/>
  <c r="AA31" i="3"/>
  <c r="AF32" i="3"/>
  <c r="AY30" i="3"/>
  <c r="AA65" i="3"/>
  <c r="AY65" i="3"/>
  <c r="AF61" i="3"/>
  <c r="AF15" i="3"/>
  <c r="AA13" i="3"/>
  <c r="AY16" i="3"/>
  <c r="AB93" i="3"/>
  <c r="O44" i="45"/>
  <c r="AA96" i="3" l="1"/>
  <c r="O47" i="45" s="1"/>
  <c r="AA95" i="3"/>
  <c r="AA97" i="3"/>
  <c r="AB97" i="3" s="1"/>
  <c r="AF95" i="3"/>
  <c r="AF86" i="3"/>
  <c r="AF89" i="3"/>
  <c r="AA86" i="3"/>
  <c r="AF88" i="3"/>
  <c r="AF87" i="3"/>
  <c r="AE87" i="3" s="1"/>
  <c r="AA89" i="3"/>
  <c r="AA87" i="3"/>
  <c r="AA88" i="3"/>
  <c r="AY89" i="3"/>
  <c r="AF85" i="3"/>
  <c r="AF84" i="3"/>
  <c r="AA85" i="3"/>
  <c r="AA84" i="3"/>
  <c r="AF78" i="3"/>
  <c r="AE78" i="3" s="1"/>
  <c r="AF80" i="3"/>
  <c r="AF79" i="3"/>
  <c r="AA78" i="3"/>
  <c r="AF77" i="3"/>
  <c r="AY78" i="3"/>
  <c r="AA77" i="3"/>
  <c r="AA76" i="3"/>
  <c r="AF70" i="3"/>
  <c r="AF73" i="3"/>
  <c r="AF71" i="3"/>
  <c r="AA73" i="3"/>
  <c r="AB73" i="3" s="1"/>
  <c r="AF68" i="3"/>
  <c r="AE68" i="3" s="1"/>
  <c r="O15" i="45"/>
  <c r="AA69" i="3"/>
  <c r="B23" i="31" s="1"/>
  <c r="AF64" i="3"/>
  <c r="AF62" i="3"/>
  <c r="AA60" i="3"/>
  <c r="AA62" i="3"/>
  <c r="AF55" i="3"/>
  <c r="AA44" i="3"/>
  <c r="AA47" i="3"/>
  <c r="AA45" i="3"/>
  <c r="AF47" i="3"/>
  <c r="AF44" i="3"/>
  <c r="AF46" i="3"/>
  <c r="AA38" i="3"/>
  <c r="AF40" i="3"/>
  <c r="AF39" i="3"/>
  <c r="AA41" i="3"/>
  <c r="AF37" i="3"/>
  <c r="AA39" i="3"/>
  <c r="AA37" i="3"/>
  <c r="AF38" i="3"/>
  <c r="AY39" i="3"/>
  <c r="AF36" i="3"/>
  <c r="AA36" i="3"/>
  <c r="AB36" i="3" s="1"/>
  <c r="AF28" i="3"/>
  <c r="AF30" i="3"/>
  <c r="AE30" i="3" s="1"/>
  <c r="AA30" i="3"/>
  <c r="AA22" i="3"/>
  <c r="AA24" i="3"/>
  <c r="AF21" i="3"/>
  <c r="AF23" i="3"/>
  <c r="AA21" i="3"/>
  <c r="F24" i="45"/>
  <c r="AA20" i="3"/>
  <c r="AA16" i="3"/>
  <c r="AA14" i="3"/>
  <c r="AF6" i="3"/>
  <c r="AA9" i="3"/>
  <c r="C8" i="45" s="1"/>
  <c r="AA6" i="3"/>
  <c r="AA8" i="3"/>
  <c r="AF5" i="3"/>
  <c r="AF4" i="3"/>
  <c r="AY22" i="3"/>
  <c r="R20" i="45"/>
  <c r="F44" i="45"/>
  <c r="AE20" i="3"/>
  <c r="AE56" i="3"/>
  <c r="AA23" i="3"/>
  <c r="AE60" i="3"/>
  <c r="R47" i="45"/>
  <c r="AB96" i="3"/>
  <c r="C47" i="45"/>
  <c r="O45" i="45"/>
  <c r="O31" i="45"/>
  <c r="AB71" i="3"/>
  <c r="AB52" i="3"/>
  <c r="AB7" i="3"/>
  <c r="C3" i="45"/>
  <c r="AY7" i="3"/>
  <c r="AY33" i="3"/>
  <c r="AY47" i="3"/>
  <c r="AA32" i="3"/>
  <c r="AY71" i="3"/>
  <c r="AE69" i="3"/>
  <c r="AY8" i="3"/>
  <c r="AA5" i="3"/>
  <c r="AY17" i="3"/>
  <c r="AY95" i="3"/>
  <c r="AF9" i="3"/>
  <c r="AF29" i="3"/>
  <c r="AY87" i="3"/>
  <c r="AF13" i="3"/>
  <c r="AF65" i="3"/>
  <c r="AY88" i="3"/>
  <c r="AY62" i="3"/>
  <c r="AY80" i="3"/>
  <c r="AF57" i="3"/>
  <c r="O3" i="45"/>
  <c r="AA54" i="3"/>
  <c r="AY54" i="3"/>
  <c r="AF92" i="3"/>
  <c r="AY24" i="3"/>
  <c r="AB48" i="3"/>
  <c r="AE96" i="3"/>
  <c r="AE45" i="3"/>
  <c r="AB80" i="3"/>
  <c r="B52" i="31"/>
  <c r="AB94" i="3"/>
  <c r="AA17" i="3"/>
  <c r="AY9" i="3"/>
  <c r="AB4" i="3"/>
  <c r="R7" i="45"/>
  <c r="AA53" i="3"/>
  <c r="AY56" i="3"/>
  <c r="AF54" i="3"/>
  <c r="AA12" i="3"/>
  <c r="AY14" i="3"/>
  <c r="AA15" i="3"/>
  <c r="AF52" i="3"/>
  <c r="AA56" i="3"/>
  <c r="C6" i="45"/>
  <c r="AY55" i="3"/>
  <c r="R48" i="45"/>
  <c r="AY72" i="3"/>
  <c r="AE97" i="3"/>
  <c r="O32" i="45"/>
  <c r="AB81" i="3"/>
  <c r="AY79" i="3"/>
  <c r="AA29" i="3"/>
  <c r="AF31" i="3"/>
  <c r="AF33" i="3"/>
  <c r="AY86" i="3"/>
  <c r="AF53" i="3"/>
  <c r="R11" i="45"/>
  <c r="AY57" i="3"/>
  <c r="AA57" i="3"/>
  <c r="AF12" i="3"/>
  <c r="AY40" i="3"/>
  <c r="AA33" i="3"/>
  <c r="AY31" i="3"/>
  <c r="AY15" i="3"/>
  <c r="R45" i="45"/>
  <c r="AE94" i="3"/>
  <c r="AY46" i="3"/>
  <c r="AY25" i="3"/>
  <c r="AY38" i="3"/>
  <c r="F40" i="45"/>
  <c r="B31" i="31"/>
  <c r="AY64" i="3"/>
  <c r="AA61" i="3"/>
  <c r="AY41" i="3"/>
  <c r="AY48" i="3"/>
  <c r="F19" i="45"/>
  <c r="Q36" i="32"/>
  <c r="T36" i="32" s="1"/>
  <c r="Q16" i="32"/>
  <c r="Q48" i="32"/>
  <c r="R48" i="32" s="1"/>
  <c r="AF93" i="3"/>
  <c r="Q10" i="32"/>
  <c r="Q8" i="32"/>
  <c r="T8" i="32" s="1"/>
  <c r="Q30" i="32"/>
  <c r="Q49" i="32"/>
  <c r="R49" i="32" s="1"/>
  <c r="Q11" i="32"/>
  <c r="Q25" i="32"/>
  <c r="Q50" i="32"/>
  <c r="R50" i="32" s="1"/>
  <c r="AY97" i="3"/>
  <c r="Q22" i="32"/>
  <c r="Q34" i="32"/>
  <c r="T34" i="32" s="1"/>
  <c r="Q40" i="32"/>
  <c r="T40" i="32" s="1"/>
  <c r="Q44" i="32"/>
  <c r="Q47" i="32"/>
  <c r="R47" i="32" s="1"/>
  <c r="Q3" i="32"/>
  <c r="X3" i="32" s="1"/>
  <c r="Q37" i="32"/>
  <c r="T37" i="32" s="1"/>
  <c r="Q6" i="32"/>
  <c r="T6" i="32" s="1"/>
  <c r="Q41" i="32"/>
  <c r="T41" i="32" s="1"/>
  <c r="Q32" i="32"/>
  <c r="T32" i="32" s="1"/>
  <c r="Q15" i="32"/>
  <c r="T15" i="32" s="1"/>
  <c r="Q4" i="32"/>
  <c r="R4" i="32" s="1"/>
  <c r="Q31" i="32"/>
  <c r="T31" i="32" s="1"/>
  <c r="Q35" i="32"/>
  <c r="T35" i="32" s="1"/>
  <c r="Q29" i="32"/>
  <c r="Q12" i="32"/>
  <c r="Q33" i="32"/>
  <c r="T33" i="32" s="1"/>
  <c r="Q14" i="32"/>
  <c r="Q45" i="32"/>
  <c r="Q23" i="32"/>
  <c r="Q38" i="32"/>
  <c r="T38" i="32" s="1"/>
  <c r="Q18" i="32"/>
  <c r="Q21" i="32"/>
  <c r="Q39" i="32"/>
  <c r="T39" i="32" s="1"/>
  <c r="Q42" i="32"/>
  <c r="T42" i="32" s="1"/>
  <c r="Q27" i="32"/>
  <c r="T27" i="32" s="1"/>
  <c r="Q46" i="32"/>
  <c r="Q7" i="32"/>
  <c r="BG8" i="45" s="1"/>
  <c r="Q5" i="32"/>
  <c r="R5" i="32" s="1"/>
  <c r="Q17" i="32"/>
  <c r="T17" i="32" s="1"/>
  <c r="Q9" i="32"/>
  <c r="Q24" i="32"/>
  <c r="Q19" i="32"/>
  <c r="T19" i="32" s="1"/>
  <c r="Q13" i="32"/>
  <c r="Q20" i="32"/>
  <c r="Q26" i="32"/>
  <c r="Q43" i="32"/>
  <c r="T43" i="32" s="1"/>
  <c r="Q28" i="32"/>
  <c r="F7" i="45"/>
  <c r="F16" i="45"/>
  <c r="AE17" i="3"/>
  <c r="O22" i="45"/>
  <c r="AE32" i="3"/>
  <c r="F31" i="45"/>
  <c r="AB31" i="3"/>
  <c r="C30" i="45"/>
  <c r="C27" i="45"/>
  <c r="AB28" i="3"/>
  <c r="AE16" i="3"/>
  <c r="F15" i="45"/>
  <c r="AB13" i="3"/>
  <c r="C12" i="45"/>
  <c r="F14" i="45"/>
  <c r="AE15" i="3"/>
  <c r="O6" i="45"/>
  <c r="AB55" i="3"/>
  <c r="AE61" i="3"/>
  <c r="R12" i="45"/>
  <c r="O16" i="45"/>
  <c r="AB65" i="3"/>
  <c r="T44" i="32" l="1"/>
  <c r="R44" i="32"/>
  <c r="T46" i="32"/>
  <c r="R46" i="32"/>
  <c r="T45" i="32"/>
  <c r="R45" i="32"/>
  <c r="T50" i="32"/>
  <c r="S50" i="32"/>
  <c r="T48" i="32"/>
  <c r="S48" i="32"/>
  <c r="T47" i="32"/>
  <c r="S47" i="32"/>
  <c r="T49" i="32"/>
  <c r="S49" i="32"/>
  <c r="BG25" i="45"/>
  <c r="T24" i="32"/>
  <c r="BG13" i="45"/>
  <c r="T12" i="32"/>
  <c r="S9" i="32"/>
  <c r="T9" i="32"/>
  <c r="X21" i="32"/>
  <c r="T21" i="32"/>
  <c r="S29" i="32"/>
  <c r="T29" i="32"/>
  <c r="BG19" i="45"/>
  <c r="T18" i="32"/>
  <c r="BG26" i="45"/>
  <c r="T25" i="32"/>
  <c r="BG17" i="45"/>
  <c r="T16" i="32"/>
  <c r="X11" i="32"/>
  <c r="T11" i="32"/>
  <c r="S26" i="32"/>
  <c r="T26" i="32"/>
  <c r="BG24" i="45"/>
  <c r="T23" i="32"/>
  <c r="X28" i="32"/>
  <c r="T28" i="32"/>
  <c r="S20" i="32"/>
  <c r="T20" i="32"/>
  <c r="X30" i="32"/>
  <c r="T30" i="32"/>
  <c r="BG14" i="45"/>
  <c r="T13" i="32"/>
  <c r="BG15" i="45"/>
  <c r="T14" i="32"/>
  <c r="S22" i="32"/>
  <c r="T22" i="32"/>
  <c r="BG11" i="45"/>
  <c r="T10" i="32"/>
  <c r="BG38" i="45"/>
  <c r="BG36" i="45"/>
  <c r="BG37" i="45"/>
  <c r="S44" i="32"/>
  <c r="BG39" i="45"/>
  <c r="BG35" i="45"/>
  <c r="R42" i="32"/>
  <c r="BG34" i="45"/>
  <c r="BG51" i="45"/>
  <c r="R38" i="45"/>
  <c r="B77" i="31"/>
  <c r="O48" i="45"/>
  <c r="B76" i="31"/>
  <c r="AE77" i="3"/>
  <c r="AE62" i="3"/>
  <c r="R13" i="45"/>
  <c r="B16" i="31"/>
  <c r="C43" i="45"/>
  <c r="B44" i="31"/>
  <c r="AB62" i="3"/>
  <c r="B20" i="31"/>
  <c r="AB60" i="3"/>
  <c r="B43" i="31"/>
  <c r="B12" i="31"/>
  <c r="O13" i="45"/>
  <c r="R15" i="45"/>
  <c r="AE71" i="3"/>
  <c r="B68" i="31"/>
  <c r="AE73" i="3"/>
  <c r="C44" i="45"/>
  <c r="AB87" i="3"/>
  <c r="B47" i="31"/>
  <c r="O39" i="45"/>
  <c r="R24" i="45"/>
  <c r="AB88" i="3"/>
  <c r="B17" i="31"/>
  <c r="AB45" i="3"/>
  <c r="B51" i="31"/>
  <c r="R29" i="45"/>
  <c r="AE70" i="3"/>
  <c r="AB77" i="3"/>
  <c r="O38" i="45"/>
  <c r="O11" i="45"/>
  <c r="R21" i="45"/>
  <c r="O28" i="45"/>
  <c r="B25" i="31"/>
  <c r="AE55" i="3"/>
  <c r="R28" i="45"/>
  <c r="AE44" i="3"/>
  <c r="O24" i="45"/>
  <c r="AE64" i="3"/>
  <c r="R22" i="45"/>
  <c r="B71" i="31"/>
  <c r="F43" i="45"/>
  <c r="R19" i="45"/>
  <c r="F35" i="45"/>
  <c r="AE47" i="3"/>
  <c r="R6" i="45"/>
  <c r="F46" i="45"/>
  <c r="AB69" i="3"/>
  <c r="O20" i="45"/>
  <c r="AE28" i="3"/>
  <c r="F27" i="45"/>
  <c r="C35" i="45"/>
  <c r="AB44" i="3"/>
  <c r="F29" i="45"/>
  <c r="B14" i="31"/>
  <c r="AE41" i="3"/>
  <c r="AE36" i="3"/>
  <c r="AB22" i="3"/>
  <c r="C21" i="45"/>
  <c r="AE21" i="3"/>
  <c r="F20" i="45"/>
  <c r="AE23" i="3"/>
  <c r="F22" i="45"/>
  <c r="AB24" i="3"/>
  <c r="C23" i="45"/>
  <c r="AB16" i="3"/>
  <c r="AE25" i="3"/>
  <c r="AB9" i="3"/>
  <c r="AB8" i="3"/>
  <c r="C22" i="45"/>
  <c r="B35" i="31"/>
  <c r="C20" i="45"/>
  <c r="B64" i="31"/>
  <c r="AE57" i="3"/>
  <c r="R35" i="45"/>
  <c r="AE33" i="3"/>
  <c r="F28" i="45"/>
  <c r="AE12" i="3"/>
  <c r="AE76" i="3"/>
  <c r="B18" i="31"/>
  <c r="AE24" i="3"/>
  <c r="AB21" i="3"/>
  <c r="AE40" i="3"/>
  <c r="AE31" i="3"/>
  <c r="B11" i="31"/>
  <c r="R30" i="45"/>
  <c r="AE88" i="3"/>
  <c r="AE63" i="3"/>
  <c r="AE54" i="3"/>
  <c r="AE38" i="3"/>
  <c r="AE72" i="3"/>
  <c r="AE89" i="3"/>
  <c r="R36" i="45"/>
  <c r="AB23" i="3"/>
  <c r="B34" i="31"/>
  <c r="F38" i="45"/>
  <c r="F13" i="45"/>
  <c r="AE5" i="3"/>
  <c r="F12" i="45"/>
  <c r="R4" i="45"/>
  <c r="AE9" i="3"/>
  <c r="B29" i="31"/>
  <c r="AE46" i="3"/>
  <c r="F5" i="45"/>
  <c r="R43" i="45"/>
  <c r="AE80" i="3"/>
  <c r="AE65" i="3"/>
  <c r="R32" i="45"/>
  <c r="B6" i="31"/>
  <c r="AB61" i="3"/>
  <c r="O40" i="45"/>
  <c r="AB57" i="3"/>
  <c r="C36" i="45"/>
  <c r="O19" i="45"/>
  <c r="C46" i="45"/>
  <c r="O30" i="45"/>
  <c r="O37" i="45"/>
  <c r="AB49" i="3"/>
  <c r="B63" i="31"/>
  <c r="AB46" i="3"/>
  <c r="O36" i="45"/>
  <c r="O46" i="45"/>
  <c r="AB70" i="3"/>
  <c r="C37" i="45"/>
  <c r="AB84" i="3"/>
  <c r="AB39" i="3"/>
  <c r="B66" i="31"/>
  <c r="O14" i="45"/>
  <c r="O5" i="45"/>
  <c r="AB72" i="3"/>
  <c r="O29" i="45"/>
  <c r="AB53" i="3"/>
  <c r="AB76" i="3"/>
  <c r="C13" i="45"/>
  <c r="B59" i="31"/>
  <c r="C29" i="45"/>
  <c r="AB33" i="3"/>
  <c r="C31" i="45"/>
  <c r="C5" i="45"/>
  <c r="AB15" i="3"/>
  <c r="AB12" i="3"/>
  <c r="C19" i="45"/>
  <c r="AB5" i="3"/>
  <c r="F4" i="45"/>
  <c r="B13" i="31"/>
  <c r="AB6" i="3"/>
  <c r="O23" i="45"/>
  <c r="B55" i="31"/>
  <c r="C48" i="45"/>
  <c r="B46" i="31"/>
  <c r="B65" i="31"/>
  <c r="B60" i="31"/>
  <c r="AB32" i="3"/>
  <c r="B69" i="31"/>
  <c r="C4" i="45"/>
  <c r="F8" i="45"/>
  <c r="B7" i="31"/>
  <c r="AB86" i="3"/>
  <c r="O21" i="45"/>
  <c r="AE29" i="3"/>
  <c r="B73" i="31"/>
  <c r="AB95" i="3"/>
  <c r="AE81" i="3"/>
  <c r="B50" i="31"/>
  <c r="R39" i="45"/>
  <c r="R8" i="45"/>
  <c r="B74" i="31"/>
  <c r="O27" i="45"/>
  <c r="B9" i="31"/>
  <c r="AE85" i="3"/>
  <c r="AB63" i="3"/>
  <c r="AB54" i="3"/>
  <c r="O35" i="45"/>
  <c r="R16" i="45"/>
  <c r="AB47" i="3"/>
  <c r="B72" i="31"/>
  <c r="B49" i="31"/>
  <c r="AB79" i="3"/>
  <c r="AB20" i="3"/>
  <c r="B53" i="31"/>
  <c r="AE13" i="3"/>
  <c r="R31" i="45"/>
  <c r="F23" i="45"/>
  <c r="AE79" i="3"/>
  <c r="AE14" i="3"/>
  <c r="B41" i="31"/>
  <c r="B28" i="31"/>
  <c r="AE92" i="3"/>
  <c r="B58" i="31"/>
  <c r="B10" i="31"/>
  <c r="R5" i="45"/>
  <c r="B30" i="31"/>
  <c r="B32" i="31"/>
  <c r="AB14" i="3"/>
  <c r="B42" i="31"/>
  <c r="AE6" i="3"/>
  <c r="O4" i="45"/>
  <c r="B33" i="31"/>
  <c r="C16" i="45"/>
  <c r="B57" i="31"/>
  <c r="AB17" i="3"/>
  <c r="C14" i="45"/>
  <c r="AB56" i="3"/>
  <c r="O7" i="45"/>
  <c r="C11" i="45"/>
  <c r="AE52" i="3"/>
  <c r="R3" i="45"/>
  <c r="AB68" i="3"/>
  <c r="B22" i="31"/>
  <c r="R23" i="45"/>
  <c r="B70" i="31"/>
  <c r="R40" i="45"/>
  <c r="AB29" i="3"/>
  <c r="C28" i="45"/>
  <c r="B37" i="31"/>
  <c r="F30" i="45"/>
  <c r="AB78" i="3"/>
  <c r="R27" i="45"/>
  <c r="B24" i="31"/>
  <c r="F32" i="45"/>
  <c r="B48" i="31"/>
  <c r="B27" i="31"/>
  <c r="B19" i="31"/>
  <c r="AB85" i="3"/>
  <c r="AE53" i="3"/>
  <c r="AE48" i="3"/>
  <c r="B67" i="31"/>
  <c r="F47" i="45"/>
  <c r="O8" i="45"/>
  <c r="B36" i="31"/>
  <c r="AB37" i="3"/>
  <c r="AB30" i="3"/>
  <c r="B62" i="31"/>
  <c r="B8" i="31"/>
  <c r="F11" i="45"/>
  <c r="F39" i="45"/>
  <c r="B61" i="31"/>
  <c r="C32" i="45"/>
  <c r="AE39" i="3"/>
  <c r="C38" i="45"/>
  <c r="B39" i="31"/>
  <c r="F6" i="45"/>
  <c r="B15" i="31"/>
  <c r="C15" i="45"/>
  <c r="B56" i="31"/>
  <c r="AB40" i="3"/>
  <c r="AE37" i="3"/>
  <c r="C39" i="45"/>
  <c r="F36" i="45"/>
  <c r="C45" i="45"/>
  <c r="AB38" i="3"/>
  <c r="AE7" i="3"/>
  <c r="R37" i="45"/>
  <c r="AE86" i="3"/>
  <c r="F3" i="45"/>
  <c r="AE4" i="3"/>
  <c r="B54" i="31"/>
  <c r="C7" i="45"/>
  <c r="F37" i="45"/>
  <c r="AB89" i="3"/>
  <c r="B75" i="31"/>
  <c r="B21" i="31"/>
  <c r="AE22" i="3"/>
  <c r="F21" i="45"/>
  <c r="O12" i="45"/>
  <c r="B38" i="31"/>
  <c r="B45" i="31"/>
  <c r="B40" i="31"/>
  <c r="C40" i="45"/>
  <c r="AE84" i="3"/>
  <c r="F45" i="45"/>
  <c r="B26" i="31"/>
  <c r="R14" i="45"/>
  <c r="AB41" i="3"/>
  <c r="C24" i="45"/>
  <c r="AB25" i="3"/>
  <c r="BG45" i="45"/>
  <c r="BG12" i="45"/>
  <c r="R33" i="32"/>
  <c r="R23" i="32"/>
  <c r="X23" i="32"/>
  <c r="X26" i="32"/>
  <c r="S23" i="32"/>
  <c r="BG48" i="45"/>
  <c r="BG50" i="45"/>
  <c r="S25" i="32"/>
  <c r="BJ48" i="3"/>
  <c r="BG27" i="45"/>
  <c r="S16" i="32"/>
  <c r="BJ8" i="3"/>
  <c r="BG6" i="45"/>
  <c r="BI16" i="3"/>
  <c r="R25" i="32"/>
  <c r="BJ20" i="3"/>
  <c r="S11" i="32"/>
  <c r="BG18" i="45"/>
  <c r="F48" i="45"/>
  <c r="AE49" i="3"/>
  <c r="BK11" i="3"/>
  <c r="T4" i="32"/>
  <c r="R36" i="32"/>
  <c r="R27" i="32"/>
  <c r="X13" i="32"/>
  <c r="R34" i="32"/>
  <c r="S33" i="32"/>
  <c r="X22" i="32"/>
  <c r="X4" i="32"/>
  <c r="X14" i="32"/>
  <c r="BG23" i="45"/>
  <c r="X33" i="32"/>
  <c r="S41" i="32"/>
  <c r="BG9" i="45"/>
  <c r="BG16" i="45"/>
  <c r="R15" i="32"/>
  <c r="R40" i="32"/>
  <c r="S27" i="32"/>
  <c r="BG33" i="45"/>
  <c r="R32" i="32"/>
  <c r="X49" i="32"/>
  <c r="X45" i="32"/>
  <c r="S15" i="32"/>
  <c r="X41" i="32"/>
  <c r="R41" i="32"/>
  <c r="S40" i="32"/>
  <c r="R22" i="32"/>
  <c r="BG31" i="45"/>
  <c r="X8" i="32"/>
  <c r="S8" i="32"/>
  <c r="R30" i="32"/>
  <c r="X15" i="32"/>
  <c r="X34" i="32"/>
  <c r="X27" i="32"/>
  <c r="BG46" i="45"/>
  <c r="R14" i="32"/>
  <c r="R13" i="32"/>
  <c r="S36" i="32"/>
  <c r="S32" i="32"/>
  <c r="S34" i="32"/>
  <c r="S45" i="32"/>
  <c r="BG28" i="45"/>
  <c r="S14" i="32"/>
  <c r="BG42" i="45"/>
  <c r="S13" i="32"/>
  <c r="X40" i="32"/>
  <c r="X36" i="32"/>
  <c r="R8" i="32"/>
  <c r="X19" i="32"/>
  <c r="BG20" i="45"/>
  <c r="BG43" i="45"/>
  <c r="S42" i="32"/>
  <c r="R26" i="32"/>
  <c r="S4" i="32"/>
  <c r="X44" i="32"/>
  <c r="X7" i="32"/>
  <c r="X42" i="32"/>
  <c r="S19" i="32"/>
  <c r="R19" i="32"/>
  <c r="BG30" i="3"/>
  <c r="BI20" i="3"/>
  <c r="X50" i="32"/>
  <c r="X18" i="32"/>
  <c r="S17" i="32"/>
  <c r="X9" i="32"/>
  <c r="BH21" i="3"/>
  <c r="BJ16" i="3"/>
  <c r="R37" i="32"/>
  <c r="R21" i="32"/>
  <c r="R28" i="32"/>
  <c r="X16" i="32"/>
  <c r="BG29" i="45"/>
  <c r="BI39" i="3"/>
  <c r="BG22" i="45"/>
  <c r="X25" i="32"/>
  <c r="R16" i="32"/>
  <c r="S38" i="32"/>
  <c r="X38" i="32"/>
  <c r="BG32" i="45"/>
  <c r="X31" i="32"/>
  <c r="S31" i="32"/>
  <c r="R38" i="32"/>
  <c r="X47" i="32"/>
  <c r="R31" i="32"/>
  <c r="T5" i="32"/>
  <c r="BH50" i="3"/>
  <c r="BG49" i="3"/>
  <c r="T3" i="32"/>
  <c r="R35" i="32"/>
  <c r="BG4" i="45"/>
  <c r="X29" i="32"/>
  <c r="BH46" i="3"/>
  <c r="BI48" i="3"/>
  <c r="BK15" i="3"/>
  <c r="S3" i="32"/>
  <c r="BG23" i="3"/>
  <c r="BH31" i="3"/>
  <c r="R9" i="32"/>
  <c r="X48" i="32"/>
  <c r="BG49" i="45"/>
  <c r="S28" i="32"/>
  <c r="BG28" i="3"/>
  <c r="BJ52" i="3"/>
  <c r="BJ38" i="3"/>
  <c r="BH51" i="3"/>
  <c r="BH23" i="3"/>
  <c r="BJ29" i="3"/>
  <c r="BI9" i="3"/>
  <c r="BJ35" i="3"/>
  <c r="BH32" i="3"/>
  <c r="R18" i="32"/>
  <c r="S35" i="32"/>
  <c r="BJ6" i="3"/>
  <c r="BK6" i="3"/>
  <c r="BJ18" i="3"/>
  <c r="BI42" i="3"/>
  <c r="R3" i="32"/>
  <c r="BK16" i="3"/>
  <c r="BH16" i="3"/>
  <c r="BH53" i="3"/>
  <c r="BK22" i="3"/>
  <c r="BI19" i="3"/>
  <c r="BI24" i="3"/>
  <c r="X37" i="32"/>
  <c r="S21" i="32"/>
  <c r="R17" i="32"/>
  <c r="X17" i="32"/>
  <c r="BK45" i="3"/>
  <c r="BK18" i="3"/>
  <c r="BJ31" i="3"/>
  <c r="BI41" i="3"/>
  <c r="BI17" i="3"/>
  <c r="BG6" i="3"/>
  <c r="BH18" i="3"/>
  <c r="BI25" i="3"/>
  <c r="BK9" i="3"/>
  <c r="BJ43" i="3"/>
  <c r="BJ7" i="3"/>
  <c r="S37" i="32"/>
  <c r="BG19" i="3"/>
  <c r="BG10" i="45"/>
  <c r="S18" i="32"/>
  <c r="X35" i="32"/>
  <c r="BI45" i="3"/>
  <c r="BG14" i="3"/>
  <c r="BJ47" i="3"/>
  <c r="BH20" i="3"/>
  <c r="BG53" i="3"/>
  <c r="BI32" i="3"/>
  <c r="BK37" i="3"/>
  <c r="BH30" i="3"/>
  <c r="BJ36" i="3"/>
  <c r="BI15" i="3"/>
  <c r="BI12" i="3"/>
  <c r="BI8" i="3"/>
  <c r="R39" i="32"/>
  <c r="BK42" i="3"/>
  <c r="BK8" i="3"/>
  <c r="BI14" i="3"/>
  <c r="BK48" i="3"/>
  <c r="BG31" i="3"/>
  <c r="BK50" i="3"/>
  <c r="BK43" i="3"/>
  <c r="BK27" i="3"/>
  <c r="BG27" i="3"/>
  <c r="BH49" i="3"/>
  <c r="R12" i="32"/>
  <c r="BH35" i="3"/>
  <c r="BH7" i="3"/>
  <c r="BJ34" i="3"/>
  <c r="BI35" i="3"/>
  <c r="BI53" i="3"/>
  <c r="BH26" i="3"/>
  <c r="BH25" i="3"/>
  <c r="BK26" i="3"/>
  <c r="BK21" i="3"/>
  <c r="BJ19" i="3"/>
  <c r="BG47" i="3"/>
  <c r="BJ37" i="3"/>
  <c r="BJ27" i="3"/>
  <c r="BJ23" i="3"/>
  <c r="BI49" i="3"/>
  <c r="BG44" i="3"/>
  <c r="BJ30" i="3"/>
  <c r="BG7" i="45"/>
  <c r="BI18" i="3"/>
  <c r="BG36" i="3"/>
  <c r="BG24" i="3"/>
  <c r="BG11" i="3"/>
  <c r="BJ10" i="3"/>
  <c r="BJ17" i="3"/>
  <c r="BG12" i="3"/>
  <c r="BK31" i="3"/>
  <c r="BK49" i="3"/>
  <c r="BI50" i="3"/>
  <c r="BI51" i="3"/>
  <c r="BK13" i="3"/>
  <c r="BI34" i="3"/>
  <c r="BK14" i="3"/>
  <c r="BH12" i="3"/>
  <c r="BK51" i="3"/>
  <c r="S12" i="32"/>
  <c r="BJ53" i="3"/>
  <c r="BH42" i="3"/>
  <c r="BG35" i="3"/>
  <c r="BK29" i="3"/>
  <c r="BG16" i="3"/>
  <c r="BI26" i="3"/>
  <c r="BH11" i="3"/>
  <c r="BJ49" i="3"/>
  <c r="BI7" i="3"/>
  <c r="BG33" i="3"/>
  <c r="BH15" i="3"/>
  <c r="BI10" i="3"/>
  <c r="BI6" i="3"/>
  <c r="X24" i="32"/>
  <c r="R10" i="32"/>
  <c r="AE95" i="3"/>
  <c r="BI44" i="3"/>
  <c r="BJ14" i="3"/>
  <c r="BG20" i="3"/>
  <c r="BJ41" i="3"/>
  <c r="BH52" i="3"/>
  <c r="BG39" i="3"/>
  <c r="BJ51" i="3"/>
  <c r="BH36" i="3"/>
  <c r="BI37" i="3"/>
  <c r="BK46" i="3"/>
  <c r="BJ28" i="3"/>
  <c r="BI31" i="3"/>
  <c r="BG26" i="3"/>
  <c r="BG50" i="3"/>
  <c r="BH28" i="3"/>
  <c r="BK53" i="3"/>
  <c r="BJ12" i="3"/>
  <c r="BI47" i="3"/>
  <c r="BK30" i="3"/>
  <c r="BG8" i="3"/>
  <c r="BG45" i="3"/>
  <c r="X39" i="32"/>
  <c r="BK17" i="3"/>
  <c r="BG40" i="45"/>
  <c r="R46" i="45"/>
  <c r="BK35" i="3"/>
  <c r="BK23" i="3"/>
  <c r="BH48" i="3"/>
  <c r="BK34" i="3"/>
  <c r="BH41" i="3"/>
  <c r="BK7" i="3"/>
  <c r="BH43" i="3"/>
  <c r="BK36" i="3"/>
  <c r="BG7" i="3"/>
  <c r="BI46" i="3"/>
  <c r="BJ11" i="3"/>
  <c r="BI13" i="3"/>
  <c r="BG38" i="3"/>
  <c r="BG17" i="3"/>
  <c r="BG43" i="3"/>
  <c r="BH34" i="3"/>
  <c r="BJ44" i="3"/>
  <c r="BH40" i="3"/>
  <c r="BH19" i="3"/>
  <c r="BJ40" i="3"/>
  <c r="BK52" i="3"/>
  <c r="BK24" i="3"/>
  <c r="S39" i="32"/>
  <c r="BK38" i="3"/>
  <c r="BH24" i="3"/>
  <c r="X6" i="32"/>
  <c r="BG22" i="3"/>
  <c r="BJ21" i="3"/>
  <c r="BH39" i="3"/>
  <c r="BI21" i="3"/>
  <c r="BK40" i="3"/>
  <c r="BH14" i="3"/>
  <c r="BI33" i="3"/>
  <c r="BG52" i="3"/>
  <c r="BJ26" i="3"/>
  <c r="BH38" i="3"/>
  <c r="BG51" i="3"/>
  <c r="BI27" i="3"/>
  <c r="BG25" i="3"/>
  <c r="BK12" i="3"/>
  <c r="BJ45" i="3"/>
  <c r="BG29" i="3"/>
  <c r="BI23" i="3"/>
  <c r="BG10" i="3"/>
  <c r="BG32" i="3"/>
  <c r="BJ46" i="3"/>
  <c r="BK44" i="3"/>
  <c r="BI29" i="3"/>
  <c r="BG40" i="3"/>
  <c r="BK47" i="3"/>
  <c r="BG48" i="3"/>
  <c r="BE48" i="3" s="1"/>
  <c r="BH13" i="3"/>
  <c r="BH47" i="3"/>
  <c r="S10" i="32"/>
  <c r="BG30" i="45"/>
  <c r="BI30" i="3"/>
  <c r="BG15" i="3"/>
  <c r="BH45" i="3"/>
  <c r="BG18" i="3"/>
  <c r="BI52" i="3"/>
  <c r="BG9" i="3"/>
  <c r="BH22" i="3"/>
  <c r="BH17" i="3"/>
  <c r="BH6" i="3"/>
  <c r="BJ9" i="3"/>
  <c r="BI11" i="3"/>
  <c r="BI38" i="3"/>
  <c r="BI28" i="3"/>
  <c r="BH37" i="3"/>
  <c r="BK32" i="3"/>
  <c r="R24" i="32"/>
  <c r="BJ33" i="3"/>
  <c r="BK25" i="3"/>
  <c r="BH9" i="3"/>
  <c r="BI36" i="3"/>
  <c r="BG34" i="3"/>
  <c r="BH44" i="3"/>
  <c r="BJ32" i="3"/>
  <c r="BK41" i="3"/>
  <c r="BK19" i="3"/>
  <c r="AE93" i="3"/>
  <c r="BJ22" i="3"/>
  <c r="BJ50" i="3"/>
  <c r="BJ24" i="3"/>
  <c r="BJ39" i="3"/>
  <c r="BG13" i="3"/>
  <c r="BG42" i="3"/>
  <c r="BI22" i="3"/>
  <c r="BG46" i="3"/>
  <c r="BE46" i="3" s="1"/>
  <c r="BI43" i="3"/>
  <c r="BK39" i="3"/>
  <c r="BJ25" i="3"/>
  <c r="BK20" i="3"/>
  <c r="BK33" i="3"/>
  <c r="BG37" i="3"/>
  <c r="BK10" i="3"/>
  <c r="BH27" i="3"/>
  <c r="BH10" i="3"/>
  <c r="BI40" i="3"/>
  <c r="BG41" i="3"/>
  <c r="BJ15" i="3"/>
  <c r="BH33" i="3"/>
  <c r="BK28" i="3"/>
  <c r="BJ13" i="3"/>
  <c r="BH29" i="3"/>
  <c r="BH8" i="3"/>
  <c r="BJ42" i="3"/>
  <c r="BG21" i="3"/>
  <c r="S6" i="32"/>
  <c r="R20" i="32"/>
  <c r="X12" i="32"/>
  <c r="X10" i="32"/>
  <c r="R44" i="45"/>
  <c r="X32" i="32"/>
  <c r="S30" i="32"/>
  <c r="BG5" i="45"/>
  <c r="X20" i="32"/>
  <c r="T7" i="32"/>
  <c r="R11" i="32"/>
  <c r="R7" i="32"/>
  <c r="S7" i="32"/>
  <c r="S43" i="32"/>
  <c r="X5" i="32"/>
  <c r="S5" i="32"/>
  <c r="BG21" i="45"/>
  <c r="S46" i="32"/>
  <c r="BG41" i="45"/>
  <c r="X46" i="32"/>
  <c r="BG47" i="45"/>
  <c r="S24" i="32"/>
  <c r="X43" i="32"/>
  <c r="R29" i="32"/>
  <c r="R6" i="32"/>
  <c r="BG44" i="45"/>
  <c r="R43" i="32"/>
  <c r="BE7" i="3" l="1"/>
  <c r="BP7" i="3" s="1"/>
  <c r="BE43" i="3"/>
  <c r="BP43" i="3" s="1"/>
  <c r="BE15" i="3"/>
  <c r="BP15" i="3" s="1"/>
  <c r="BE51" i="3"/>
  <c r="BP51" i="3" s="1"/>
  <c r="BE52" i="3"/>
  <c r="BP52" i="3" s="1"/>
  <c r="BE20" i="3"/>
  <c r="BP20" i="3" s="1"/>
  <c r="BE32" i="3"/>
  <c r="BP32" i="3" s="1"/>
  <c r="BE31" i="3"/>
  <c r="BP31" i="3" s="1"/>
  <c r="BE21" i="3"/>
  <c r="BP21" i="3" s="1"/>
  <c r="BE16" i="3"/>
  <c r="BP16" i="3" s="1"/>
  <c r="BE42" i="3"/>
  <c r="BP42" i="3" s="1"/>
  <c r="BE18" i="3"/>
  <c r="BP18" i="3" s="1"/>
  <c r="BE25" i="3"/>
  <c r="BP25" i="3" s="1"/>
  <c r="BE40" i="3"/>
  <c r="BP40" i="3" s="1"/>
  <c r="BE53" i="3"/>
  <c r="BP53" i="3" s="1"/>
  <c r="BE50" i="3"/>
  <c r="BP50" i="3" s="1"/>
  <c r="BE34" i="3"/>
  <c r="BP34" i="3" s="1"/>
  <c r="BE26" i="3"/>
  <c r="BP26" i="3" s="1"/>
  <c r="BE35" i="3"/>
  <c r="BP35" i="3" s="1"/>
  <c r="BE9" i="3"/>
  <c r="BP9" i="3" s="1"/>
  <c r="BE38" i="3"/>
  <c r="BP38" i="3" s="1"/>
  <c r="BE36" i="3"/>
  <c r="BP36" i="3" s="1"/>
  <c r="BE23" i="3"/>
  <c r="BP23" i="3" s="1"/>
  <c r="BE29" i="3"/>
  <c r="BP29" i="3" s="1"/>
  <c r="BE8" i="3"/>
  <c r="BP8" i="3" s="1"/>
  <c r="BE12" i="3"/>
  <c r="BP12" i="3" s="1"/>
  <c r="BE14" i="3"/>
  <c r="BP14" i="3" s="1"/>
  <c r="BE44" i="3"/>
  <c r="BP44" i="3" s="1"/>
  <c r="BE49" i="3"/>
  <c r="BP49" i="3" s="1"/>
  <c r="BE30" i="3"/>
  <c r="BP30" i="3" s="1"/>
  <c r="BE37" i="3"/>
  <c r="BP37" i="3" s="1"/>
  <c r="BE11" i="3"/>
  <c r="BP11" i="3" s="1"/>
  <c r="BE27" i="3"/>
  <c r="BP27" i="3" s="1"/>
  <c r="BE13" i="3"/>
  <c r="BP13" i="3" s="1"/>
  <c r="BE17" i="3"/>
  <c r="BP17" i="3" s="1"/>
  <c r="BE33" i="3"/>
  <c r="BP33" i="3" s="1"/>
  <c r="BE24" i="3"/>
  <c r="BP24" i="3" s="1"/>
  <c r="BE41" i="3"/>
  <c r="BP41" i="3" s="1"/>
  <c r="BE10" i="3"/>
  <c r="BP10" i="3" s="1"/>
  <c r="BE39" i="3"/>
  <c r="BP39" i="3" s="1"/>
  <c r="BE47" i="3"/>
  <c r="BP47" i="3" s="1"/>
  <c r="BE19" i="3"/>
  <c r="BP19" i="3" s="1"/>
  <c r="BE28" i="3"/>
  <c r="BP28" i="3" s="1"/>
  <c r="BE22" i="3"/>
  <c r="BP22" i="3" s="1"/>
  <c r="BE45" i="3"/>
  <c r="BP45" i="3" s="1"/>
  <c r="BE6" i="3"/>
  <c r="BP6" i="3" s="1"/>
  <c r="N2" i="32"/>
  <c r="C3" i="32"/>
  <c r="BL36" i="3"/>
  <c r="BL30" i="3"/>
  <c r="BL47" i="3"/>
  <c r="M2" i="32"/>
  <c r="BP48" i="3"/>
  <c r="BL20" i="3"/>
  <c r="BL14" i="3"/>
  <c r="BL50" i="3"/>
  <c r="BL11" i="3"/>
  <c r="BL22" i="3"/>
  <c r="BL8" i="3"/>
  <c r="BL32" i="3"/>
  <c r="BL15" i="3"/>
  <c r="BL41" i="3"/>
  <c r="BL19" i="3"/>
  <c r="BL29" i="3"/>
  <c r="BF32" i="3"/>
  <c r="BL13" i="3"/>
  <c r="BL10" i="3"/>
  <c r="BF14" i="3"/>
  <c r="BL35" i="3"/>
  <c r="BF12" i="3"/>
  <c r="BF31" i="3"/>
  <c r="BL16" i="3"/>
  <c r="BF20" i="3"/>
  <c r="BL48" i="3"/>
  <c r="BF18" i="3"/>
  <c r="BF6" i="3"/>
  <c r="BF30" i="3"/>
  <c r="BL12" i="3"/>
  <c r="BL38" i="3"/>
  <c r="BF16" i="3"/>
  <c r="BL6" i="3"/>
  <c r="BF8" i="3"/>
  <c r="BF19" i="3"/>
  <c r="BF22" i="3"/>
  <c r="BL52" i="3"/>
  <c r="BL21" i="3"/>
  <c r="BL34" i="3"/>
  <c r="BL51" i="3"/>
  <c r="BL31" i="3"/>
  <c r="BL43" i="3"/>
  <c r="BF23" i="3"/>
  <c r="BL45" i="3"/>
  <c r="BL7" i="3"/>
  <c r="BF24" i="3"/>
  <c r="BL18" i="3"/>
  <c r="BF50" i="3"/>
  <c r="BL27" i="3"/>
  <c r="BF53" i="3"/>
  <c r="BP46" i="3"/>
  <c r="BF40" i="3"/>
  <c r="BF21" i="3"/>
  <c r="BF41" i="3"/>
  <c r="BL24" i="3"/>
  <c r="BL42" i="3"/>
  <c r="BF48" i="3"/>
  <c r="BF49" i="3"/>
  <c r="BF45" i="3"/>
  <c r="BL9" i="3"/>
  <c r="BF46" i="3"/>
  <c r="BL49" i="3"/>
  <c r="BL37" i="3"/>
  <c r="BL39" i="3"/>
  <c r="BL25" i="3"/>
  <c r="BF37" i="3"/>
  <c r="BF9" i="3"/>
  <c r="BF38" i="3"/>
  <c r="BF7" i="3"/>
  <c r="BL33" i="3"/>
  <c r="BF51" i="3"/>
  <c r="BF34" i="3"/>
  <c r="BL17" i="3"/>
  <c r="BL26" i="3"/>
  <c r="BL28" i="3"/>
  <c r="BF42" i="3"/>
  <c r="BL44" i="3"/>
  <c r="BL40" i="3"/>
  <c r="BF15" i="3"/>
  <c r="BF29" i="3"/>
  <c r="BF28" i="3"/>
  <c r="BF13" i="3"/>
  <c r="BL46" i="3"/>
  <c r="BL53" i="3"/>
  <c r="BF36" i="3"/>
  <c r="BF33" i="3"/>
  <c r="BF35" i="3"/>
  <c r="BF11" i="3"/>
  <c r="BL23" i="3"/>
  <c r="BF26" i="3"/>
  <c r="BF39" i="3"/>
  <c r="BF17" i="3"/>
  <c r="BF44" i="3"/>
  <c r="BF10" i="3"/>
  <c r="BF43" i="3"/>
  <c r="BF52" i="3"/>
  <c r="BF47" i="3"/>
  <c r="BF27" i="3"/>
  <c r="BF25" i="3"/>
  <c r="AH25" i="32" l="1"/>
  <c r="AF12" i="32"/>
  <c r="AG12" i="32" s="1"/>
  <c r="W83" i="32"/>
  <c r="AH80" i="32"/>
  <c r="W69" i="32"/>
  <c r="AH24" i="32"/>
  <c r="AH82" i="32"/>
  <c r="AH59" i="32"/>
  <c r="W85" i="32"/>
  <c r="AF36" i="32"/>
  <c r="AH77" i="32"/>
  <c r="W77" i="32"/>
  <c r="W61" i="32"/>
  <c r="AH54" i="32"/>
  <c r="W62" i="32"/>
  <c r="AH78" i="32"/>
  <c r="AF42" i="32"/>
  <c r="W86" i="32"/>
  <c r="AH47" i="32"/>
  <c r="AH43" i="32"/>
  <c r="W49" i="32" s="1"/>
  <c r="AF61" i="32"/>
  <c r="AH44" i="32"/>
  <c r="W50" i="32" s="1"/>
  <c r="AH20" i="32"/>
  <c r="AF20" i="32"/>
  <c r="AG20" i="32" s="1"/>
  <c r="AH71" i="32"/>
  <c r="AF58" i="32"/>
  <c r="W81" i="32"/>
  <c r="AF7" i="32"/>
  <c r="AG7" i="32" s="1"/>
  <c r="AH6" i="32"/>
  <c r="AH52" i="32"/>
  <c r="AF5" i="32"/>
  <c r="AG5" i="32" s="1"/>
  <c r="AH36" i="32"/>
  <c r="AF67" i="32"/>
  <c r="AF8" i="32"/>
  <c r="AG8" i="32" s="1"/>
  <c r="AH32" i="32"/>
  <c r="AF52" i="32"/>
  <c r="AF6" i="32"/>
  <c r="AG6" i="32" s="1"/>
  <c r="AF3" i="32"/>
  <c r="AG3" i="32" s="1"/>
  <c r="AH40" i="32"/>
  <c r="AF63" i="32"/>
  <c r="AF44" i="32"/>
  <c r="AF41" i="32"/>
  <c r="AF71" i="32"/>
  <c r="AF84" i="32"/>
  <c r="AF22" i="32"/>
  <c r="AG22" i="32" s="1"/>
  <c r="AH73" i="32"/>
  <c r="AH22" i="32"/>
  <c r="AH38" i="32"/>
  <c r="AH48" i="32"/>
  <c r="AF51" i="32"/>
  <c r="W72" i="32"/>
  <c r="AF70" i="32"/>
  <c r="AF9" i="32"/>
  <c r="AG9" i="32" s="1"/>
  <c r="AH8" i="32"/>
  <c r="AF85" i="32"/>
  <c r="AH39" i="32"/>
  <c r="AF75" i="32"/>
  <c r="AF79" i="32"/>
  <c r="AH14" i="32"/>
  <c r="AF55" i="32"/>
  <c r="AH29" i="32"/>
  <c r="AH53" i="32"/>
  <c r="AF81" i="32"/>
  <c r="AH81" i="32"/>
  <c r="AH13" i="32"/>
  <c r="AF24" i="32"/>
  <c r="AG24" i="32" s="1"/>
  <c r="AF50" i="32"/>
  <c r="AF4" i="32"/>
  <c r="AG4" i="32" s="1"/>
  <c r="AF48" i="32"/>
  <c r="W51" i="32"/>
  <c r="AH42" i="32"/>
  <c r="AF72" i="32"/>
  <c r="AH45" i="32"/>
  <c r="W65" i="32"/>
  <c r="AH74" i="32"/>
  <c r="AF86" i="32"/>
  <c r="AH18" i="32"/>
  <c r="AF33" i="32"/>
  <c r="W84" i="32"/>
  <c r="AH51" i="32"/>
  <c r="AH21" i="32"/>
  <c r="AF14" i="32"/>
  <c r="AG14" i="32" s="1"/>
  <c r="AH16" i="32"/>
  <c r="W82" i="32"/>
  <c r="W73" i="32"/>
  <c r="AH65" i="32"/>
  <c r="AF25" i="32"/>
  <c r="AG25" i="32" s="1"/>
  <c r="AH23" i="32"/>
  <c r="AF29" i="32"/>
  <c r="AG29" i="32" s="1"/>
  <c r="AF66" i="32"/>
  <c r="AF80" i="32"/>
  <c r="AH12" i="32"/>
  <c r="AH15" i="32"/>
  <c r="AH79" i="32"/>
  <c r="AF73" i="32"/>
  <c r="AF49" i="32"/>
  <c r="AH67" i="32"/>
  <c r="W75" i="32"/>
  <c r="AH46" i="32"/>
  <c r="AF77" i="32"/>
  <c r="AF18" i="32"/>
  <c r="AG18" i="32" s="1"/>
  <c r="AH68" i="32"/>
  <c r="AF17" i="32"/>
  <c r="AG17" i="32" s="1"/>
  <c r="AF69" i="32"/>
  <c r="AF39" i="32"/>
  <c r="AH10" i="32"/>
  <c r="AF78" i="32"/>
  <c r="AH72" i="32"/>
  <c r="AF28" i="32"/>
  <c r="AG28" i="32" s="1"/>
  <c r="W54" i="32"/>
  <c r="AH60" i="32"/>
  <c r="AF43" i="32"/>
  <c r="AH41" i="32"/>
  <c r="AF54" i="32"/>
  <c r="AH3" i="32"/>
  <c r="AF65" i="32"/>
  <c r="W66" i="32"/>
  <c r="W70" i="32"/>
  <c r="AF83" i="32"/>
  <c r="AH56" i="32"/>
  <c r="AH85" i="32"/>
  <c r="AH28" i="32"/>
  <c r="AF35" i="32"/>
  <c r="AF53" i="32"/>
  <c r="AF38" i="32"/>
  <c r="AH30" i="32"/>
  <c r="W74" i="32"/>
  <c r="AF47" i="32"/>
  <c r="AF16" i="32"/>
  <c r="AG16" i="32" s="1"/>
  <c r="AH62" i="32"/>
  <c r="W78" i="32"/>
  <c r="AH26" i="32"/>
  <c r="W58" i="32"/>
  <c r="W53" i="32"/>
  <c r="AH37" i="32"/>
  <c r="W55" i="32"/>
  <c r="AH35" i="32"/>
  <c r="AH4" i="32"/>
  <c r="AH49" i="32"/>
  <c r="AF37" i="32"/>
  <c r="AH17" i="32"/>
  <c r="AF57" i="32"/>
  <c r="AF30" i="32"/>
  <c r="AG30" i="32" s="1"/>
  <c r="AH86" i="32"/>
  <c r="AH19" i="32"/>
  <c r="AH84" i="32"/>
  <c r="AH63" i="32"/>
  <c r="AF27" i="32"/>
  <c r="AG27" i="32" s="1"/>
  <c r="AH27" i="32"/>
  <c r="AF40" i="32"/>
  <c r="AF74" i="32"/>
  <c r="AF45" i="32"/>
  <c r="AF19" i="32"/>
  <c r="AG19" i="32" s="1"/>
  <c r="W80" i="32"/>
  <c r="AH50" i="32"/>
  <c r="AH33" i="32"/>
  <c r="W63" i="32"/>
  <c r="AF56" i="32"/>
  <c r="AF13" i="32"/>
  <c r="AG13" i="32" s="1"/>
  <c r="AH5" i="32"/>
  <c r="AH9" i="32"/>
  <c r="AF64" i="32"/>
  <c r="W76" i="32"/>
  <c r="AH58" i="32"/>
  <c r="AF15" i="32"/>
  <c r="AF23" i="32"/>
  <c r="AG23" i="32" s="1"/>
  <c r="W68" i="32"/>
  <c r="AH69" i="32"/>
  <c r="AF31" i="32"/>
  <c r="AG31" i="32" s="1"/>
  <c r="W64" i="32"/>
  <c r="AH34" i="32"/>
  <c r="W57" i="32"/>
  <c r="W56" i="32"/>
  <c r="AH75" i="32"/>
  <c r="AF76" i="32"/>
  <c r="AH64" i="32"/>
  <c r="AF68" i="32"/>
  <c r="AF21" i="32"/>
  <c r="AG21" i="32" s="1"/>
  <c r="AH55" i="32"/>
  <c r="AH83" i="32"/>
  <c r="AH66" i="32"/>
  <c r="AH70" i="32"/>
  <c r="AF60" i="32"/>
  <c r="AF11" i="32"/>
  <c r="AG11" i="32" s="1"/>
  <c r="AH31" i="32"/>
  <c r="AH76" i="32"/>
  <c r="AF62" i="32"/>
  <c r="AF82" i="32"/>
  <c r="AF46" i="32"/>
  <c r="W71" i="32"/>
  <c r="W59" i="32"/>
  <c r="AF59" i="32"/>
  <c r="AF34" i="32"/>
  <c r="AF26" i="32"/>
  <c r="AG26" i="32" s="1"/>
  <c r="AF10" i="32"/>
  <c r="AG10" i="32" s="1"/>
  <c r="AH61" i="32"/>
  <c r="AH11" i="32"/>
  <c r="W67" i="32"/>
  <c r="AF32" i="32"/>
  <c r="AG32" i="32" s="1"/>
  <c r="AH57" i="32"/>
  <c r="W79" i="32"/>
  <c r="W52" i="32"/>
  <c r="W60" i="32"/>
  <c r="AH7" i="32"/>
  <c r="DI32" i="3"/>
  <c r="DI21" i="3"/>
  <c r="H104" i="3"/>
  <c r="DI22" i="3"/>
  <c r="DI50" i="3"/>
  <c r="DI9" i="3"/>
  <c r="DI49" i="3"/>
  <c r="DI53" i="3"/>
  <c r="DI51" i="3"/>
  <c r="DI33" i="3"/>
  <c r="DI48" i="3"/>
  <c r="DI19" i="3"/>
  <c r="DI31" i="3"/>
  <c r="H112" i="3"/>
  <c r="DI11" i="3"/>
  <c r="DI38" i="3"/>
  <c r="DI18" i="3"/>
  <c r="DI52" i="3"/>
  <c r="H107" i="3"/>
  <c r="DI15" i="3"/>
  <c r="DI20" i="3"/>
  <c r="DI30" i="3"/>
  <c r="DI46" i="3"/>
  <c r="H111" i="3"/>
  <c r="DI47" i="3"/>
  <c r="DI6" i="3"/>
  <c r="DI8" i="3"/>
  <c r="DI17" i="3"/>
  <c r="DI7" i="3"/>
  <c r="H101" i="3"/>
  <c r="BQ31" i="3"/>
  <c r="DI14" i="3"/>
  <c r="DI16" i="3"/>
  <c r="DI42" i="3"/>
  <c r="DI34" i="3"/>
  <c r="H103" i="3"/>
  <c r="DI26" i="3"/>
  <c r="DI24" i="3"/>
  <c r="DI29" i="3"/>
  <c r="DI27" i="3"/>
  <c r="BQ19" i="3"/>
  <c r="BQ34" i="3"/>
  <c r="BQ37" i="3"/>
  <c r="H108" i="3"/>
  <c r="BQ20" i="3"/>
  <c r="BQ43" i="3"/>
  <c r="BQ6" i="3"/>
  <c r="DI36" i="3"/>
  <c r="DI40" i="3"/>
  <c r="DI35" i="3"/>
  <c r="H105" i="3"/>
  <c r="BQ11" i="3"/>
  <c r="BQ12" i="3"/>
  <c r="BQ32" i="3"/>
  <c r="H106" i="3"/>
  <c r="DI37" i="3"/>
  <c r="DI39" i="3"/>
  <c r="DI10" i="3"/>
  <c r="H102" i="3"/>
  <c r="DI44" i="3"/>
  <c r="DI25" i="3"/>
  <c r="H109" i="3"/>
  <c r="BQ7" i="3"/>
  <c r="BQ10" i="3"/>
  <c r="BQ51" i="3"/>
  <c r="BQ24" i="3"/>
  <c r="BQ29" i="3"/>
  <c r="DI28" i="3"/>
  <c r="DI12" i="3"/>
  <c r="DI23" i="3"/>
  <c r="BQ13" i="3"/>
  <c r="BQ38" i="3"/>
  <c r="BQ30" i="3"/>
  <c r="BQ47" i="3"/>
  <c r="BQ44" i="3"/>
  <c r="BQ21" i="3"/>
  <c r="BQ40" i="3"/>
  <c r="BQ41" i="3"/>
  <c r="BQ28" i="3"/>
  <c r="BQ16" i="3"/>
  <c r="BQ52" i="3"/>
  <c r="BQ39" i="3"/>
  <c r="BQ15" i="3"/>
  <c r="BQ50" i="3"/>
  <c r="DI13" i="3"/>
  <c r="BQ48" i="3"/>
  <c r="BQ22" i="3"/>
  <c r="BQ53" i="3"/>
  <c r="BQ14" i="3"/>
  <c r="BQ18" i="3"/>
  <c r="DI45" i="3"/>
  <c r="BQ46" i="3"/>
  <c r="H110" i="3"/>
  <c r="BQ45" i="3"/>
  <c r="BQ9" i="3"/>
  <c r="DI43" i="3"/>
  <c r="BQ33" i="3"/>
  <c r="BQ25" i="3"/>
  <c r="BQ35" i="3"/>
  <c r="BQ36" i="3"/>
  <c r="DI41" i="3"/>
  <c r="BQ17" i="3"/>
  <c r="BQ27" i="3"/>
  <c r="BQ42" i="3"/>
  <c r="BQ8" i="3"/>
  <c r="BQ23" i="3"/>
  <c r="BQ26" i="3"/>
  <c r="BQ49" i="3"/>
  <c r="U35" i="32" l="1"/>
  <c r="U47" i="32"/>
  <c r="V14" i="32"/>
  <c r="AG59" i="32"/>
  <c r="V59" i="32" s="1"/>
  <c r="U59" i="32"/>
  <c r="AG69" i="32"/>
  <c r="V69" i="32" s="1"/>
  <c r="U69" i="32"/>
  <c r="AG49" i="32"/>
  <c r="U42" i="32"/>
  <c r="AG72" i="32"/>
  <c r="V72" i="32" s="1"/>
  <c r="U72" i="32"/>
  <c r="AG46" i="32"/>
  <c r="U39" i="32"/>
  <c r="AG82" i="32"/>
  <c r="V82" i="32" s="1"/>
  <c r="U82" i="32"/>
  <c r="AG37" i="32"/>
  <c r="V31" i="32" s="1"/>
  <c r="U37" i="32"/>
  <c r="AG53" i="32"/>
  <c r="V53" i="32" s="1"/>
  <c r="U53" i="32"/>
  <c r="AG65" i="32"/>
  <c r="V65" i="32" s="1"/>
  <c r="U65" i="32"/>
  <c r="AG77" i="32"/>
  <c r="V77" i="32" s="1"/>
  <c r="U77" i="32"/>
  <c r="AG86" i="32"/>
  <c r="V86" i="32" s="1"/>
  <c r="U86" i="32"/>
  <c r="AG55" i="32"/>
  <c r="V55" i="32" s="1"/>
  <c r="U55" i="32"/>
  <c r="AG70" i="32"/>
  <c r="V70" i="32" s="1"/>
  <c r="U70" i="32"/>
  <c r="AG84" i="32"/>
  <c r="V84" i="32" s="1"/>
  <c r="U84" i="32"/>
  <c r="AG52" i="32"/>
  <c r="V52" i="32" s="1"/>
  <c r="U52" i="32"/>
  <c r="AG45" i="32"/>
  <c r="U38" i="32"/>
  <c r="AG47" i="32"/>
  <c r="V40" i="32" s="1"/>
  <c r="U40" i="32"/>
  <c r="AG43" i="32"/>
  <c r="V49" i="32" s="1"/>
  <c r="U49" i="32"/>
  <c r="AG76" i="32"/>
  <c r="V76" i="32" s="1"/>
  <c r="U76" i="32"/>
  <c r="AG56" i="32"/>
  <c r="V56" i="32" s="1"/>
  <c r="U56" i="32"/>
  <c r="AG40" i="32"/>
  <c r="U46" i="32"/>
  <c r="AG57" i="32"/>
  <c r="V57" i="32" s="1"/>
  <c r="U57" i="32"/>
  <c r="AG33" i="32"/>
  <c r="V33" i="32" s="1"/>
  <c r="U33" i="32"/>
  <c r="AG38" i="32"/>
  <c r="U44" i="32"/>
  <c r="AG48" i="32"/>
  <c r="V41" i="32" s="1"/>
  <c r="U41" i="32"/>
  <c r="AG61" i="32"/>
  <c r="V61" i="32" s="1"/>
  <c r="U61" i="32"/>
  <c r="AG62" i="32"/>
  <c r="V62" i="32" s="1"/>
  <c r="U62" i="32"/>
  <c r="AG78" i="32"/>
  <c r="V78" i="32" s="1"/>
  <c r="U78" i="32"/>
  <c r="AG80" i="32"/>
  <c r="V80" i="32" s="1"/>
  <c r="U80" i="32"/>
  <c r="AG50" i="32"/>
  <c r="U43" i="32"/>
  <c r="AG71" i="32"/>
  <c r="V71" i="32" s="1"/>
  <c r="U71" i="32"/>
  <c r="AG74" i="32"/>
  <c r="V74" i="32" s="1"/>
  <c r="U74" i="32"/>
  <c r="AG83" i="32"/>
  <c r="V83" i="32" s="1"/>
  <c r="U83" i="32"/>
  <c r="AG81" i="32"/>
  <c r="V81" i="32" s="1"/>
  <c r="U81" i="32"/>
  <c r="AG85" i="32"/>
  <c r="V85" i="32" s="1"/>
  <c r="U85" i="32"/>
  <c r="AG64" i="32"/>
  <c r="V64" i="32" s="1"/>
  <c r="U64" i="32"/>
  <c r="AG54" i="32"/>
  <c r="V54" i="32" s="1"/>
  <c r="U54" i="32"/>
  <c r="AG66" i="32"/>
  <c r="V66" i="32" s="1"/>
  <c r="U66" i="32"/>
  <c r="AG79" i="32"/>
  <c r="V79" i="32" s="1"/>
  <c r="U79" i="32"/>
  <c r="AG51" i="32"/>
  <c r="V51" i="32" s="1"/>
  <c r="U51" i="32"/>
  <c r="AG58" i="32"/>
  <c r="V58" i="32" s="1"/>
  <c r="U58" i="32"/>
  <c r="AG36" i="32"/>
  <c r="V30" i="32" s="1"/>
  <c r="U36" i="32"/>
  <c r="AG63" i="32"/>
  <c r="V63" i="32" s="1"/>
  <c r="U63" i="32"/>
  <c r="AG60" i="32"/>
  <c r="V60" i="32" s="1"/>
  <c r="U60" i="32"/>
  <c r="AG73" i="32"/>
  <c r="V73" i="32" s="1"/>
  <c r="U73" i="32"/>
  <c r="AG34" i="32"/>
  <c r="V34" i="32" s="1"/>
  <c r="U34" i="32"/>
  <c r="AG68" i="32"/>
  <c r="V68" i="32" s="1"/>
  <c r="U68" i="32"/>
  <c r="V7" i="32"/>
  <c r="AG39" i="32"/>
  <c r="U45" i="32"/>
  <c r="AG75" i="32"/>
  <c r="V75" i="32" s="1"/>
  <c r="U75" i="32"/>
  <c r="AG44" i="32"/>
  <c r="V50" i="32" s="1"/>
  <c r="U50" i="32"/>
  <c r="AG67" i="32"/>
  <c r="V67" i="32" s="1"/>
  <c r="U67" i="32"/>
  <c r="AG42" i="32"/>
  <c r="V48" i="32" s="1"/>
  <c r="U48" i="32"/>
  <c r="W7" i="32"/>
  <c r="W4" i="32"/>
  <c r="W28" i="32"/>
  <c r="W25" i="32"/>
  <c r="W12" i="32"/>
  <c r="W38" i="32"/>
  <c r="V25" i="32"/>
  <c r="V4" i="32"/>
  <c r="V10" i="32"/>
  <c r="W34" i="32"/>
  <c r="W20" i="32"/>
  <c r="W17" i="32"/>
  <c r="W23" i="32"/>
  <c r="V23" i="32"/>
  <c r="W31" i="32"/>
  <c r="W29" i="32"/>
  <c r="U21" i="32"/>
  <c r="W37" i="32"/>
  <c r="W41" i="32"/>
  <c r="W45" i="32"/>
  <c r="W47" i="32"/>
  <c r="W43" i="32"/>
  <c r="W5" i="32"/>
  <c r="V9" i="32"/>
  <c r="W15" i="32"/>
  <c r="W32" i="32"/>
  <c r="W18" i="32"/>
  <c r="W9" i="32"/>
  <c r="V24" i="32"/>
  <c r="W14" i="32"/>
  <c r="W44" i="32"/>
  <c r="W35" i="32"/>
  <c r="W3" i="32"/>
  <c r="W36" i="32"/>
  <c r="V6" i="32"/>
  <c r="W40" i="32"/>
  <c r="V12" i="32"/>
  <c r="V19" i="32"/>
  <c r="W22" i="32"/>
  <c r="V26" i="32"/>
  <c r="W26" i="32"/>
  <c r="W30" i="32"/>
  <c r="W46" i="32"/>
  <c r="W11" i="32"/>
  <c r="W10" i="32"/>
  <c r="W16" i="32"/>
  <c r="W48" i="32"/>
  <c r="V5" i="32"/>
  <c r="V21" i="32"/>
  <c r="W39" i="32"/>
  <c r="W33" i="32"/>
  <c r="W13" i="32"/>
  <c r="W42" i="32"/>
  <c r="W21" i="32"/>
  <c r="W19" i="32"/>
  <c r="W24" i="32"/>
  <c r="V13" i="32"/>
  <c r="U16" i="32"/>
  <c r="W27" i="32"/>
  <c r="V18" i="32"/>
  <c r="W8" i="32"/>
  <c r="W6" i="32"/>
  <c r="U5" i="32"/>
  <c r="U13" i="32"/>
  <c r="U6" i="32"/>
  <c r="U27" i="32"/>
  <c r="U28" i="32"/>
  <c r="U24" i="32"/>
  <c r="U26" i="32"/>
  <c r="U19" i="32"/>
  <c r="U3" i="32"/>
  <c r="U14" i="32"/>
  <c r="AG15" i="32"/>
  <c r="V11" i="32" s="1"/>
  <c r="U10" i="32"/>
  <c r="U12" i="32"/>
  <c r="U17" i="32"/>
  <c r="U22" i="32"/>
  <c r="U7" i="32"/>
  <c r="AG35" i="32"/>
  <c r="U8" i="32"/>
  <c r="U31" i="32"/>
  <c r="U32" i="32"/>
  <c r="U25" i="32"/>
  <c r="AG41" i="32"/>
  <c r="U15" i="32"/>
  <c r="U30" i="32"/>
  <c r="U29" i="32"/>
  <c r="V29" i="32"/>
  <c r="U18" i="32"/>
  <c r="U4" i="32"/>
  <c r="U20" i="32"/>
  <c r="U9" i="32"/>
  <c r="U23" i="32"/>
  <c r="U11" i="32"/>
  <c r="V17" i="32"/>
  <c r="V20" i="32"/>
  <c r="V28" i="32"/>
  <c r="V3" i="32"/>
  <c r="V22" i="32"/>
  <c r="BR44" i="3"/>
  <c r="H113" i="3"/>
  <c r="BR23" i="3"/>
  <c r="BR34" i="3"/>
  <c r="BR52" i="3"/>
  <c r="BR31" i="3"/>
  <c r="E56" i="3" s="1"/>
  <c r="BR38" i="3"/>
  <c r="BR37" i="3"/>
  <c r="F61" i="3" s="1"/>
  <c r="BR53" i="3"/>
  <c r="BR29" i="3"/>
  <c r="F45" i="3" s="1"/>
  <c r="BR48" i="3"/>
  <c r="BR41" i="3"/>
  <c r="BR11" i="3"/>
  <c r="BR32" i="3"/>
  <c r="F56" i="3" s="1"/>
  <c r="BR28" i="3"/>
  <c r="BR40" i="3"/>
  <c r="BR35" i="3"/>
  <c r="E64" i="3" s="1"/>
  <c r="BR6" i="3"/>
  <c r="BR20" i="3"/>
  <c r="BR27" i="3"/>
  <c r="BR45" i="3"/>
  <c r="BR21" i="3"/>
  <c r="BR49" i="3"/>
  <c r="BR10" i="3"/>
  <c r="E15" i="3" s="1"/>
  <c r="BR46" i="3"/>
  <c r="BR26" i="3"/>
  <c r="BR18" i="3"/>
  <c r="E28" i="3" s="1"/>
  <c r="BR39" i="3"/>
  <c r="BR25" i="3"/>
  <c r="BR47" i="3"/>
  <c r="BR42" i="3"/>
  <c r="BR36" i="3"/>
  <c r="BR33" i="3"/>
  <c r="E57" i="3" s="1"/>
  <c r="BR14" i="3"/>
  <c r="E23" i="3" s="1"/>
  <c r="BR16" i="3"/>
  <c r="F23" i="3" s="1"/>
  <c r="BR51" i="3"/>
  <c r="BR22" i="3"/>
  <c r="BR50" i="3"/>
  <c r="E94" i="3" s="1"/>
  <c r="BR7" i="3"/>
  <c r="BR17" i="3"/>
  <c r="BR30" i="3"/>
  <c r="E54" i="3" s="1"/>
  <c r="BR9" i="3"/>
  <c r="BR13" i="3"/>
  <c r="BR19" i="3"/>
  <c r="E33" i="3" s="1"/>
  <c r="BR8" i="3"/>
  <c r="BR15" i="3"/>
  <c r="BR12" i="3"/>
  <c r="E13" i="3" s="1"/>
  <c r="BR43" i="3"/>
  <c r="BR24" i="3"/>
  <c r="F39" i="3" s="1"/>
  <c r="E87" i="3" l="1"/>
  <c r="E81" i="3"/>
  <c r="V39" i="32"/>
  <c r="V42" i="32"/>
  <c r="V27" i="32"/>
  <c r="V8" i="32"/>
  <c r="V47" i="32"/>
  <c r="F95" i="3"/>
  <c r="F84" i="3"/>
  <c r="E77" i="3"/>
  <c r="E41" i="3"/>
  <c r="F77" i="3"/>
  <c r="E68" i="3"/>
  <c r="E63" i="3"/>
  <c r="E47" i="3"/>
  <c r="F49" i="3"/>
  <c r="E40" i="3"/>
  <c r="F30" i="3"/>
  <c r="E25" i="3"/>
  <c r="E22" i="3"/>
  <c r="E6" i="3"/>
  <c r="F8" i="3"/>
  <c r="E65" i="3"/>
  <c r="V44" i="32"/>
  <c r="V35" i="32"/>
  <c r="V36" i="32"/>
  <c r="V37" i="32"/>
  <c r="F47" i="3"/>
  <c r="E48" i="3"/>
  <c r="F48" i="3"/>
  <c r="V15" i="32"/>
  <c r="V38" i="32"/>
  <c r="E46" i="3"/>
  <c r="E38" i="3"/>
  <c r="F79" i="3"/>
  <c r="F70" i="3"/>
  <c r="F16" i="3"/>
  <c r="E17" i="3"/>
  <c r="E16" i="3"/>
  <c r="F25" i="3"/>
  <c r="E8" i="3"/>
  <c r="F65" i="3"/>
  <c r="E73" i="3"/>
  <c r="F33" i="3"/>
  <c r="F73" i="3"/>
  <c r="E71" i="3"/>
  <c r="F86" i="3"/>
  <c r="E49" i="3"/>
  <c r="F81" i="3"/>
  <c r="F24" i="3"/>
  <c r="F32" i="3"/>
  <c r="F89" i="3"/>
  <c r="E89" i="3"/>
  <c r="F94" i="3"/>
  <c r="F57" i="3"/>
  <c r="F41" i="3"/>
  <c r="E14" i="3"/>
  <c r="F97" i="3"/>
  <c r="BS51" i="3" s="1"/>
  <c r="E70" i="3"/>
  <c r="E97" i="3"/>
  <c r="BU52" i="3" s="1"/>
  <c r="E31" i="3"/>
  <c r="F17" i="3"/>
  <c r="F9" i="3"/>
  <c r="BU6" i="3"/>
  <c r="C46" i="32"/>
  <c r="C111" i="32"/>
  <c r="C15" i="32"/>
  <c r="C30" i="32"/>
  <c r="C138" i="32"/>
  <c r="Y138" i="3" s="1"/>
  <c r="C65" i="32"/>
  <c r="C69" i="32"/>
  <c r="C115" i="32"/>
  <c r="C22" i="32"/>
  <c r="C103" i="32"/>
  <c r="C88" i="32"/>
  <c r="C39" i="32"/>
  <c r="C102" i="32"/>
  <c r="Y102" i="3" s="1"/>
  <c r="C116" i="32"/>
  <c r="C70" i="32"/>
  <c r="C80" i="32"/>
  <c r="C5" i="32"/>
  <c r="C133" i="32"/>
  <c r="C28" i="32"/>
  <c r="C14" i="32"/>
  <c r="C134" i="32"/>
  <c r="C7" i="32"/>
  <c r="C104" i="32"/>
  <c r="C89" i="32"/>
  <c r="C60" i="32"/>
  <c r="C97" i="32"/>
  <c r="C106" i="32"/>
  <c r="C36" i="32"/>
  <c r="C110" i="32"/>
  <c r="C78" i="32"/>
  <c r="C44" i="32"/>
  <c r="C108" i="32"/>
  <c r="Y108" i="3" s="1"/>
  <c r="C84" i="32"/>
  <c r="C79" i="32"/>
  <c r="C126" i="32"/>
  <c r="C17" i="32"/>
  <c r="C37" i="32"/>
  <c r="C105" i="32"/>
  <c r="C107" i="32"/>
  <c r="C96" i="32"/>
  <c r="C71" i="32"/>
  <c r="C73" i="32"/>
  <c r="C123" i="32"/>
  <c r="C55" i="32"/>
  <c r="C53" i="32"/>
  <c r="C64" i="32"/>
  <c r="C49" i="32"/>
  <c r="C20" i="32"/>
  <c r="C16" i="32"/>
  <c r="C86" i="32"/>
  <c r="C31" i="32"/>
  <c r="C68" i="32"/>
  <c r="C92" i="32"/>
  <c r="C54" i="32"/>
  <c r="C87" i="32"/>
  <c r="C85" i="32"/>
  <c r="C101" i="32"/>
  <c r="C47" i="32"/>
  <c r="C120" i="32"/>
  <c r="C8" i="32"/>
  <c r="C52" i="32"/>
  <c r="C62" i="32"/>
  <c r="C25" i="32"/>
  <c r="C6" i="32"/>
  <c r="C81" i="32"/>
  <c r="C56" i="32"/>
  <c r="C61" i="32"/>
  <c r="C24" i="32"/>
  <c r="C48" i="32"/>
  <c r="C94" i="32"/>
  <c r="C147" i="32"/>
  <c r="C95" i="32"/>
  <c r="C21" i="32"/>
  <c r="C13" i="32"/>
  <c r="C125" i="32"/>
  <c r="C124" i="32"/>
  <c r="C12" i="32"/>
  <c r="C114" i="32"/>
  <c r="C109" i="32"/>
  <c r="C72" i="32"/>
  <c r="C127" i="32"/>
  <c r="C77" i="32"/>
  <c r="C41" i="32"/>
  <c r="C4" i="32"/>
  <c r="C131" i="32"/>
  <c r="C132" i="32"/>
  <c r="C143" i="32"/>
  <c r="C45" i="32"/>
  <c r="C121" i="32"/>
  <c r="C40" i="32"/>
  <c r="C33" i="32"/>
  <c r="C23" i="32"/>
  <c r="C112" i="32"/>
  <c r="C32" i="32"/>
  <c r="C76" i="32"/>
  <c r="C122" i="32"/>
  <c r="C38" i="32"/>
  <c r="C63" i="32"/>
  <c r="C57" i="32"/>
  <c r="C93" i="32"/>
  <c r="C139" i="32"/>
  <c r="C9" i="32"/>
  <c r="C29" i="32"/>
  <c r="C113" i="32"/>
  <c r="V32" i="32"/>
  <c r="V45" i="32"/>
  <c r="V43" i="32"/>
  <c r="V16" i="32"/>
  <c r="V46" i="32"/>
  <c r="AY101" i="3"/>
  <c r="AK99" i="3"/>
  <c r="F14" i="3"/>
  <c r="F15" i="3"/>
  <c r="F37" i="3"/>
  <c r="F12" i="3"/>
  <c r="E12" i="3"/>
  <c r="BU11" i="3" s="1"/>
  <c r="E4" i="3"/>
  <c r="F13" i="3"/>
  <c r="BS12" i="3" s="1"/>
  <c r="E44" i="3"/>
  <c r="E84" i="3"/>
  <c r="F92" i="3"/>
  <c r="F69" i="3"/>
  <c r="E20" i="3"/>
  <c r="BU14" i="3"/>
  <c r="F68" i="3"/>
  <c r="F88" i="3"/>
  <c r="F44" i="3"/>
  <c r="F4" i="3"/>
  <c r="F31" i="3"/>
  <c r="E72" i="3"/>
  <c r="BS13" i="3"/>
  <c r="BU34" i="3"/>
  <c r="F87" i="3"/>
  <c r="E37" i="3"/>
  <c r="E29" i="3"/>
  <c r="E21" i="3"/>
  <c r="E60" i="3"/>
  <c r="E80" i="3"/>
  <c r="BU42" i="3" s="1"/>
  <c r="E93" i="3"/>
  <c r="E92" i="3"/>
  <c r="BU51" i="3" s="1"/>
  <c r="E86" i="3"/>
  <c r="E53" i="3"/>
  <c r="F7" i="3"/>
  <c r="F28" i="3"/>
  <c r="F46" i="3"/>
  <c r="E39" i="3"/>
  <c r="BU24" i="3" s="1"/>
  <c r="F96" i="3"/>
  <c r="F38" i="3"/>
  <c r="BU22" i="3" s="1"/>
  <c r="E69" i="3"/>
  <c r="E5" i="3"/>
  <c r="F54" i="3"/>
  <c r="BT30" i="3" s="1"/>
  <c r="F85" i="3"/>
  <c r="F5" i="3"/>
  <c r="F6" i="3"/>
  <c r="BS7" i="3" s="1"/>
  <c r="F29" i="3"/>
  <c r="BS20" i="3" s="1"/>
  <c r="E88" i="3"/>
  <c r="E55" i="3"/>
  <c r="F36" i="3"/>
  <c r="F52" i="3"/>
  <c r="BU30" i="3" s="1"/>
  <c r="BT32" i="3"/>
  <c r="E32" i="3"/>
  <c r="BU18" i="3" s="1"/>
  <c r="E9" i="3"/>
  <c r="F78" i="3"/>
  <c r="E30" i="3"/>
  <c r="F21" i="3"/>
  <c r="BU19" i="3"/>
  <c r="F62" i="3"/>
  <c r="F63" i="3"/>
  <c r="E85" i="3"/>
  <c r="E36" i="3"/>
  <c r="F55" i="3"/>
  <c r="BS31" i="3" s="1"/>
  <c r="E96" i="3"/>
  <c r="BU50" i="3" s="1"/>
  <c r="F20" i="3"/>
  <c r="BS16" i="3" s="1"/>
  <c r="F60" i="3"/>
  <c r="E52" i="3"/>
  <c r="BU31" i="3" s="1"/>
  <c r="E62" i="3"/>
  <c r="BT36" i="3" s="1"/>
  <c r="F93" i="3"/>
  <c r="BS52" i="3" s="1"/>
  <c r="F40" i="3"/>
  <c r="F53" i="3"/>
  <c r="BS32" i="3" s="1"/>
  <c r="F22" i="3"/>
  <c r="BU12" i="3"/>
  <c r="E79" i="3"/>
  <c r="F80" i="3"/>
  <c r="BS45" i="3" s="1"/>
  <c r="BU36" i="3"/>
  <c r="BS36" i="3"/>
  <c r="E7" i="3"/>
  <c r="E45" i="3"/>
  <c r="BU29" i="3" s="1"/>
  <c r="F76" i="3"/>
  <c r="BS44" i="3" s="1"/>
  <c r="F72" i="3"/>
  <c r="F64" i="3"/>
  <c r="F71" i="3"/>
  <c r="E76" i="3"/>
  <c r="E78" i="3"/>
  <c r="E61" i="3"/>
  <c r="BU10" i="3"/>
  <c r="E24" i="3"/>
  <c r="BS19" i="3"/>
  <c r="E95" i="3"/>
  <c r="BS11" i="3"/>
  <c r="BU47" i="3" l="1"/>
  <c r="BS48" i="3"/>
  <c r="BU38" i="3"/>
  <c r="BU28" i="3"/>
  <c r="BS17" i="3"/>
  <c r="BU16" i="3"/>
  <c r="BS53" i="3"/>
  <c r="BU48" i="3"/>
  <c r="BU46" i="3"/>
  <c r="BS49" i="3"/>
  <c r="BU45" i="3"/>
  <c r="BU43" i="3"/>
  <c r="BS43" i="3"/>
  <c r="BU44" i="3"/>
  <c r="BU35" i="3"/>
  <c r="BU40" i="3"/>
  <c r="BS41" i="3"/>
  <c r="BS28" i="3"/>
  <c r="BT22" i="3"/>
  <c r="BS10" i="3"/>
  <c r="BU13" i="3"/>
  <c r="BS9" i="3"/>
  <c r="BS8" i="3"/>
  <c r="BU39" i="3"/>
  <c r="BS40" i="3"/>
  <c r="BU41" i="3"/>
  <c r="BT27" i="3"/>
  <c r="BT29" i="3"/>
  <c r="BU23" i="3"/>
  <c r="BS22" i="3"/>
  <c r="BV36" i="3"/>
  <c r="BS24" i="3"/>
  <c r="BT19" i="3"/>
  <c r="BV19" i="3" s="1"/>
  <c r="BT14" i="3"/>
  <c r="BU17" i="3"/>
  <c r="BS14" i="3"/>
  <c r="BU15" i="3"/>
  <c r="BT46" i="3"/>
  <c r="BU7" i="3"/>
  <c r="BT33" i="3"/>
  <c r="BT10" i="3"/>
  <c r="BS6" i="3"/>
  <c r="BT28" i="3"/>
  <c r="BT17" i="3"/>
  <c r="BV17" i="3" s="1"/>
  <c r="BT40" i="3"/>
  <c r="BT43" i="3"/>
  <c r="BT42" i="3"/>
  <c r="BT25" i="3"/>
  <c r="BT45" i="3"/>
  <c r="BV45" i="3" s="1"/>
  <c r="BT47" i="3"/>
  <c r="BT50" i="3"/>
  <c r="X102" i="3"/>
  <c r="BT35" i="3"/>
  <c r="BT49" i="3"/>
  <c r="BV49" i="3" s="1"/>
  <c r="BT53" i="3"/>
  <c r="BV53" i="3" s="1"/>
  <c r="BT44" i="3"/>
  <c r="BV44" i="3" s="1"/>
  <c r="BT51" i="3"/>
  <c r="BV51" i="3" s="1"/>
  <c r="BT37" i="3"/>
  <c r="BT52" i="3"/>
  <c r="BV52" i="3" s="1"/>
  <c r="BU9" i="3"/>
  <c r="BT24" i="3"/>
  <c r="BT26" i="3"/>
  <c r="BT7" i="3"/>
  <c r="BV7" i="3" s="1"/>
  <c r="BT34" i="3"/>
  <c r="BT13" i="3"/>
  <c r="BV13" i="3" s="1"/>
  <c r="BT48" i="3"/>
  <c r="BV48" i="3" s="1"/>
  <c r="BT38" i="3"/>
  <c r="BT23" i="3"/>
  <c r="BT39" i="3"/>
  <c r="BT41" i="3"/>
  <c r="BT31" i="3"/>
  <c r="BV31" i="3" s="1"/>
  <c r="BT15" i="3"/>
  <c r="Y38" i="3"/>
  <c r="Y121" i="3"/>
  <c r="X127" i="3"/>
  <c r="X21" i="3"/>
  <c r="X81" i="3"/>
  <c r="Y101" i="3"/>
  <c r="Y16" i="3"/>
  <c r="Y71" i="3"/>
  <c r="X84" i="3"/>
  <c r="Y60" i="3"/>
  <c r="Y5" i="3"/>
  <c r="X22" i="3"/>
  <c r="Y46" i="3"/>
  <c r="X113" i="3"/>
  <c r="Y122" i="3"/>
  <c r="X45" i="3"/>
  <c r="Y72" i="3"/>
  <c r="Y95" i="3"/>
  <c r="Y6" i="3"/>
  <c r="X85" i="3"/>
  <c r="Y20" i="3"/>
  <c r="X96" i="3"/>
  <c r="X108" i="3"/>
  <c r="Y89" i="3"/>
  <c r="Y80" i="3"/>
  <c r="X115" i="3"/>
  <c r="Y93" i="3"/>
  <c r="X23" i="3"/>
  <c r="X4" i="3"/>
  <c r="Y124" i="3"/>
  <c r="Y24" i="3"/>
  <c r="X8" i="3"/>
  <c r="Y68" i="3"/>
  <c r="X55" i="3"/>
  <c r="X17" i="3"/>
  <c r="X36" i="3"/>
  <c r="X14" i="3"/>
  <c r="Y39" i="3"/>
  <c r="X30" i="3"/>
  <c r="Y29" i="3"/>
  <c r="X76" i="3"/>
  <c r="X143" i="3"/>
  <c r="Y109" i="3"/>
  <c r="Y147" i="3"/>
  <c r="Y25" i="3"/>
  <c r="X87" i="3"/>
  <c r="Y49" i="3"/>
  <c r="Y107" i="3"/>
  <c r="Y44" i="3"/>
  <c r="Y104" i="3"/>
  <c r="Y70" i="3"/>
  <c r="X69" i="3"/>
  <c r="X9" i="3"/>
  <c r="X32" i="3"/>
  <c r="Y132" i="3"/>
  <c r="X114" i="3"/>
  <c r="X94" i="3"/>
  <c r="X62" i="3"/>
  <c r="Y54" i="3"/>
  <c r="X64" i="3"/>
  <c r="Y105" i="3"/>
  <c r="Y78" i="3"/>
  <c r="X7" i="3"/>
  <c r="Y116" i="3"/>
  <c r="Y65" i="3"/>
  <c r="X139" i="3"/>
  <c r="Y112" i="3"/>
  <c r="X131" i="3"/>
  <c r="Y12" i="3"/>
  <c r="Y48" i="3"/>
  <c r="Y52" i="3"/>
  <c r="Y92" i="3"/>
  <c r="Y53" i="3"/>
  <c r="Y37" i="3"/>
  <c r="X110" i="3"/>
  <c r="X134" i="3"/>
  <c r="X138" i="3"/>
  <c r="X57" i="3"/>
  <c r="Y33" i="3"/>
  <c r="Y41" i="3"/>
  <c r="Y125" i="3"/>
  <c r="X61" i="3"/>
  <c r="X120" i="3"/>
  <c r="X31" i="3"/>
  <c r="Y123" i="3"/>
  <c r="X126" i="3"/>
  <c r="X106" i="3"/>
  <c r="X28" i="3"/>
  <c r="Y88" i="3"/>
  <c r="X15" i="3"/>
  <c r="Y63" i="3"/>
  <c r="X40" i="3"/>
  <c r="Y77" i="3"/>
  <c r="X13" i="3"/>
  <c r="X56" i="3"/>
  <c r="Y47" i="3"/>
  <c r="Y86" i="3"/>
  <c r="Y73" i="3"/>
  <c r="Y79" i="3"/>
  <c r="X97" i="3"/>
  <c r="Y133" i="3"/>
  <c r="X103" i="3"/>
  <c r="X111" i="3"/>
  <c r="X112" i="3"/>
  <c r="Y134" i="3"/>
  <c r="X38" i="3"/>
  <c r="Y127" i="3"/>
  <c r="BU25" i="3"/>
  <c r="Y28" i="3"/>
  <c r="Y126" i="3"/>
  <c r="X39" i="3"/>
  <c r="X86" i="3"/>
  <c r="BS42" i="3"/>
  <c r="X133" i="3"/>
  <c r="X79" i="3"/>
  <c r="Y111" i="3"/>
  <c r="X73" i="3"/>
  <c r="Y56" i="3"/>
  <c r="Y97" i="3"/>
  <c r="BU26" i="3"/>
  <c r="BS27" i="3"/>
  <c r="Y36" i="3"/>
  <c r="Y106" i="3"/>
  <c r="Y103" i="3"/>
  <c r="Y30" i="3"/>
  <c r="Y14" i="3"/>
  <c r="Y55" i="3"/>
  <c r="Y15" i="3"/>
  <c r="Y17" i="3"/>
  <c r="Y139" i="3"/>
  <c r="X49" i="3"/>
  <c r="X109" i="3"/>
  <c r="X78" i="3"/>
  <c r="X48" i="3"/>
  <c r="Y64" i="3"/>
  <c r="BS50" i="3"/>
  <c r="Y31" i="3"/>
  <c r="Y69" i="3"/>
  <c r="BT21" i="3"/>
  <c r="BS35" i="3"/>
  <c r="X104" i="3"/>
  <c r="X70" i="3"/>
  <c r="X107" i="3"/>
  <c r="X44" i="3"/>
  <c r="BS15" i="3"/>
  <c r="X60" i="3"/>
  <c r="X5" i="3"/>
  <c r="X16" i="3"/>
  <c r="Y81" i="3"/>
  <c r="Y22" i="3"/>
  <c r="X121" i="3"/>
  <c r="Y21" i="3"/>
  <c r="X46" i="3"/>
  <c r="X101" i="3"/>
  <c r="X71" i="3"/>
  <c r="BS47" i="3"/>
  <c r="X54" i="3"/>
  <c r="Y62" i="3"/>
  <c r="X123" i="3"/>
  <c r="X132" i="3"/>
  <c r="Y32" i="3"/>
  <c r="X105" i="3"/>
  <c r="X65" i="3"/>
  <c r="X116" i="3"/>
  <c r="BS39" i="3"/>
  <c r="Y7" i="3"/>
  <c r="Y94" i="3"/>
  <c r="Y9" i="3"/>
  <c r="BU37" i="3"/>
  <c r="BT12" i="3"/>
  <c r="BV12" i="3" s="1"/>
  <c r="BT11" i="3"/>
  <c r="BV11" i="3" s="1"/>
  <c r="BT20" i="3"/>
  <c r="BV20" i="3" s="1"/>
  <c r="BS21" i="3"/>
  <c r="BU20" i="3"/>
  <c r="BU27" i="3"/>
  <c r="BS30" i="3"/>
  <c r="BV30" i="3" s="1"/>
  <c r="Y84" i="3"/>
  <c r="BS46" i="3"/>
  <c r="BT8" i="3"/>
  <c r="BT6" i="3"/>
  <c r="BT9" i="3"/>
  <c r="X88" i="3"/>
  <c r="BS18" i="3"/>
  <c r="BU33" i="3"/>
  <c r="BU49" i="3"/>
  <c r="BU8" i="3"/>
  <c r="X77" i="3"/>
  <c r="X68" i="3"/>
  <c r="X92" i="3"/>
  <c r="Y110" i="3"/>
  <c r="X53" i="3"/>
  <c r="X52" i="3"/>
  <c r="X12" i="3"/>
  <c r="Y131" i="3"/>
  <c r="X37" i="3"/>
  <c r="Y76" i="3"/>
  <c r="X147" i="3"/>
  <c r="X25" i="3"/>
  <c r="X29" i="3"/>
  <c r="Y87" i="3"/>
  <c r="Y143" i="3"/>
  <c r="X122" i="3"/>
  <c r="Y45" i="3"/>
  <c r="X95" i="3"/>
  <c r="X72" i="3"/>
  <c r="Y85" i="3"/>
  <c r="X89" i="3"/>
  <c r="X6" i="3"/>
  <c r="X20" i="3"/>
  <c r="Y115" i="3"/>
  <c r="X80" i="3"/>
  <c r="Y113" i="3"/>
  <c r="Y96" i="3"/>
  <c r="Y114" i="3"/>
  <c r="Y13" i="3"/>
  <c r="X63" i="3"/>
  <c r="X47" i="3"/>
  <c r="Y61" i="3"/>
  <c r="Y40" i="3"/>
  <c r="Y57" i="3"/>
  <c r="X24" i="3"/>
  <c r="Y8" i="3"/>
  <c r="X125" i="3"/>
  <c r="Y4" i="3"/>
  <c r="X124" i="3"/>
  <c r="Y23" i="3"/>
  <c r="X93" i="3"/>
  <c r="Y120" i="3"/>
  <c r="X41" i="3"/>
  <c r="X33" i="3"/>
  <c r="BS26" i="3"/>
  <c r="BS25" i="3"/>
  <c r="BT18" i="3"/>
  <c r="BT16" i="3"/>
  <c r="BV16" i="3" s="1"/>
  <c r="BS37" i="3"/>
  <c r="BV32" i="3"/>
  <c r="BS33" i="3"/>
  <c r="BU32" i="3"/>
  <c r="BS29" i="3"/>
  <c r="BS38" i="3"/>
  <c r="BU21" i="3"/>
  <c r="BU53" i="3"/>
  <c r="BS23" i="3"/>
  <c r="BS34" i="3"/>
  <c r="BV43" i="3" l="1"/>
  <c r="BV22" i="3"/>
  <c r="BV10" i="3"/>
  <c r="BV41" i="3"/>
  <c r="BV28" i="3"/>
  <c r="BV9" i="3"/>
  <c r="BV8" i="3"/>
  <c r="BV29" i="3"/>
  <c r="BV27" i="3"/>
  <c r="BV40" i="3"/>
  <c r="BV24" i="3"/>
  <c r="BV14" i="3"/>
  <c r="BV46" i="3"/>
  <c r="BV33" i="3"/>
  <c r="BV6" i="3"/>
  <c r="BV39" i="3"/>
  <c r="BV26" i="3"/>
  <c r="BV42" i="3"/>
  <c r="BV25" i="3"/>
  <c r="BV15" i="3"/>
  <c r="BV38" i="3"/>
  <c r="BV34" i="3"/>
  <c r="BV37" i="3"/>
  <c r="BV47" i="3"/>
  <c r="BV35" i="3"/>
  <c r="BV50" i="3"/>
  <c r="BV23" i="3"/>
  <c r="BV21" i="3"/>
  <c r="BV18" i="3"/>
  <c r="BW30" i="3" l="1"/>
  <c r="BW27" i="3"/>
  <c r="BW41" i="3"/>
  <c r="BW50" i="3"/>
  <c r="BW46" i="3"/>
  <c r="BW31" i="3"/>
  <c r="BW25" i="3"/>
  <c r="BW6" i="3"/>
  <c r="BW22" i="3"/>
  <c r="BW20" i="3"/>
  <c r="BW39" i="3"/>
  <c r="BW15" i="3"/>
  <c r="BW21" i="3"/>
  <c r="BW38" i="3"/>
  <c r="BW34" i="3"/>
  <c r="BW45" i="3"/>
  <c r="BW14" i="3"/>
  <c r="BW51" i="3"/>
  <c r="BW12" i="3"/>
  <c r="BW40" i="3"/>
  <c r="BW19" i="3"/>
  <c r="BW28" i="3"/>
  <c r="BW47" i="3"/>
  <c r="BW37" i="3"/>
  <c r="BW24" i="3"/>
  <c r="BW8" i="3"/>
  <c r="BW44" i="3"/>
  <c r="BW11" i="3"/>
  <c r="BW17" i="3"/>
  <c r="BW9" i="3"/>
  <c r="BW43" i="3"/>
  <c r="BW52" i="3"/>
  <c r="BW42" i="3"/>
  <c r="BW7" i="3"/>
  <c r="BW26" i="3"/>
  <c r="BW35" i="3"/>
  <c r="BW13" i="3"/>
  <c r="BW49" i="3"/>
  <c r="BW48" i="3"/>
  <c r="BW18" i="3"/>
  <c r="BW29" i="3"/>
  <c r="BW53" i="3"/>
  <c r="BW23" i="3"/>
  <c r="BW36" i="3"/>
  <c r="BW32" i="3"/>
  <c r="BW33" i="3"/>
  <c r="BW16" i="3"/>
  <c r="BW10" i="3"/>
  <c r="BX41" i="3" l="1"/>
  <c r="BX52" i="3"/>
  <c r="H93" i="3" s="1"/>
  <c r="BX33" i="3"/>
  <c r="BX15" i="3"/>
  <c r="BX9" i="3"/>
  <c r="BX13" i="3"/>
  <c r="I13" i="3" s="1"/>
  <c r="BX6" i="3"/>
  <c r="H4" i="3" s="1"/>
  <c r="BX19" i="3"/>
  <c r="BX47" i="3"/>
  <c r="BX36" i="3"/>
  <c r="BX40" i="3"/>
  <c r="BX14" i="3"/>
  <c r="BX32" i="3"/>
  <c r="H53" i="3" s="1"/>
  <c r="BX17" i="3"/>
  <c r="BX34" i="3"/>
  <c r="I65" i="3" s="1"/>
  <c r="BX11" i="3"/>
  <c r="I12" i="3" s="1"/>
  <c r="BX30" i="3"/>
  <c r="I57" i="3" s="1"/>
  <c r="BX18" i="3"/>
  <c r="BX42" i="3"/>
  <c r="BX50" i="3"/>
  <c r="I96" i="3" s="1"/>
  <c r="BX27" i="3"/>
  <c r="I44" i="3" s="1"/>
  <c r="BX20" i="3"/>
  <c r="H29" i="3" s="1"/>
  <c r="BX35" i="3"/>
  <c r="H64" i="3" s="1"/>
  <c r="BX39" i="3"/>
  <c r="BX38" i="3"/>
  <c r="BX12" i="3"/>
  <c r="H13" i="3" s="1"/>
  <c r="BX7" i="3"/>
  <c r="BX31" i="3"/>
  <c r="I52" i="3" s="1"/>
  <c r="BX43" i="3"/>
  <c r="BX48" i="3"/>
  <c r="BX24" i="3"/>
  <c r="BX8" i="3"/>
  <c r="H5" i="3" s="1"/>
  <c r="BX23" i="3"/>
  <c r="BX28" i="3"/>
  <c r="H45" i="3" s="1"/>
  <c r="BX37" i="3"/>
  <c r="I61" i="3" s="1"/>
  <c r="BX51" i="3"/>
  <c r="BX10" i="3"/>
  <c r="I16" i="3" s="1"/>
  <c r="BX16" i="3"/>
  <c r="BX22" i="3"/>
  <c r="BX21" i="3"/>
  <c r="I29" i="3" s="1"/>
  <c r="BX49" i="3"/>
  <c r="BX26" i="3"/>
  <c r="BX46" i="3"/>
  <c r="BX44" i="3"/>
  <c r="BX53" i="3"/>
  <c r="H96" i="3" s="1"/>
  <c r="BX25" i="3"/>
  <c r="BX29" i="3"/>
  <c r="I45" i="3" s="1"/>
  <c r="BX45" i="3"/>
  <c r="H77" i="3" l="1"/>
  <c r="H20" i="3"/>
  <c r="I20" i="3"/>
  <c r="H87" i="3"/>
  <c r="I73" i="3"/>
  <c r="H86" i="3"/>
  <c r="H84" i="3"/>
  <c r="H78" i="3"/>
  <c r="H76" i="3"/>
  <c r="I69" i="3"/>
  <c r="I68" i="3"/>
  <c r="H68" i="3"/>
  <c r="I63" i="3"/>
  <c r="I55" i="3"/>
  <c r="I39" i="3"/>
  <c r="H30" i="3"/>
  <c r="H22" i="3"/>
  <c r="H21" i="3"/>
  <c r="I94" i="3"/>
  <c r="I97" i="3"/>
  <c r="H73" i="3"/>
  <c r="I70" i="3"/>
  <c r="I5" i="3"/>
  <c r="I4" i="3"/>
  <c r="I6" i="3"/>
  <c r="I25" i="3"/>
  <c r="H8" i="3"/>
  <c r="H9" i="3"/>
  <c r="H7" i="3"/>
  <c r="I7" i="3"/>
  <c r="I8" i="3"/>
  <c r="I9" i="3"/>
  <c r="H6" i="3"/>
  <c r="I80" i="3"/>
  <c r="I53" i="3"/>
  <c r="I72" i="3"/>
  <c r="I71" i="3"/>
  <c r="I56" i="3"/>
  <c r="H79" i="3"/>
  <c r="I54" i="3"/>
  <c r="H55" i="3"/>
  <c r="I22" i="3"/>
  <c r="H49" i="3"/>
  <c r="H92" i="3"/>
  <c r="H24" i="3"/>
  <c r="I21" i="3"/>
  <c r="H94" i="3"/>
  <c r="H23" i="3"/>
  <c r="H47" i="3"/>
  <c r="I14" i="3"/>
  <c r="I31" i="3"/>
  <c r="H57" i="3"/>
  <c r="I76" i="3"/>
  <c r="H16" i="3"/>
  <c r="I33" i="3"/>
  <c r="H70" i="3"/>
  <c r="H56" i="3"/>
  <c r="H17" i="3"/>
  <c r="H33" i="3"/>
  <c r="H63" i="3"/>
  <c r="H62" i="3"/>
  <c r="H60" i="3"/>
  <c r="H25" i="3"/>
  <c r="I40" i="3"/>
  <c r="I85" i="3"/>
  <c r="H72" i="3"/>
  <c r="I60" i="3"/>
  <c r="H88" i="3"/>
  <c r="H14" i="3"/>
  <c r="I23" i="3"/>
  <c r="I28" i="3"/>
  <c r="I87" i="3"/>
  <c r="I24" i="3"/>
  <c r="H69" i="3"/>
  <c r="I88" i="3"/>
  <c r="I37" i="3"/>
  <c r="H32" i="3"/>
  <c r="I41" i="3"/>
  <c r="H52" i="3"/>
  <c r="H71" i="3"/>
  <c r="H54" i="3"/>
  <c r="H36" i="3"/>
  <c r="H81" i="3"/>
  <c r="I64" i="3"/>
  <c r="I32" i="3"/>
  <c r="H31" i="3"/>
  <c r="H28" i="3"/>
  <c r="I46" i="3"/>
  <c r="I15" i="3"/>
  <c r="H61" i="3"/>
  <c r="I17" i="3"/>
  <c r="I62" i="3"/>
  <c r="I49" i="3"/>
  <c r="H95" i="3"/>
  <c r="H97" i="3"/>
  <c r="H15" i="3"/>
  <c r="I30" i="3"/>
  <c r="H40" i="3"/>
  <c r="H38" i="3"/>
  <c r="H12" i="3"/>
  <c r="H37" i="3"/>
  <c r="H39" i="3"/>
  <c r="I92" i="3"/>
  <c r="H65" i="3"/>
  <c r="H85" i="3"/>
  <c r="I89" i="3"/>
  <c r="I93" i="3"/>
  <c r="H44" i="3"/>
  <c r="H46" i="3"/>
  <c r="I48" i="3"/>
  <c r="I79" i="3"/>
  <c r="I95" i="3"/>
  <c r="I86" i="3"/>
  <c r="I84" i="3"/>
  <c r="H80" i="3"/>
  <c r="I78" i="3"/>
  <c r="I77" i="3"/>
  <c r="H48" i="3"/>
  <c r="I47" i="3"/>
  <c r="I81" i="3"/>
  <c r="H89" i="3"/>
  <c r="I38" i="3"/>
  <c r="I36" i="3"/>
  <c r="H41" i="3"/>
  <c r="BZ41" i="3" l="1"/>
  <c r="BZ38" i="3"/>
  <c r="BZ6" i="3"/>
  <c r="BY36" i="3"/>
  <c r="BZ39" i="3"/>
  <c r="BY10" i="3"/>
  <c r="BY6" i="3"/>
  <c r="BY37" i="3"/>
  <c r="BZ33" i="3"/>
  <c r="BY41" i="3"/>
  <c r="BZ10" i="3"/>
  <c r="BZ40" i="3"/>
  <c r="BZ37" i="3"/>
  <c r="BY38" i="3"/>
  <c r="BY30" i="3"/>
  <c r="BZ35" i="3"/>
  <c r="BZ30" i="3"/>
  <c r="BY29" i="3"/>
  <c r="BY44" i="3"/>
  <c r="BY42" i="3"/>
  <c r="BZ34" i="3"/>
  <c r="BY35" i="3"/>
  <c r="BZ28" i="3"/>
  <c r="BZ36" i="3"/>
  <c r="BZ16" i="3"/>
  <c r="BZ29" i="3"/>
  <c r="BY39" i="3"/>
  <c r="BZ32" i="3"/>
  <c r="BZ8" i="3"/>
  <c r="BY17" i="3"/>
  <c r="BY16" i="3"/>
  <c r="BZ17" i="3"/>
  <c r="BZ14" i="3"/>
  <c r="BZ26" i="3"/>
  <c r="BY31" i="3"/>
  <c r="BZ9" i="3"/>
  <c r="BY13" i="3"/>
  <c r="BZ44" i="3"/>
  <c r="BY21" i="3"/>
  <c r="BZ46" i="3"/>
  <c r="BZ7" i="3"/>
  <c r="BY51" i="3"/>
  <c r="BZ45" i="3"/>
  <c r="BY52" i="3"/>
  <c r="BY9" i="3"/>
  <c r="BZ13" i="3"/>
  <c r="BY8" i="3"/>
  <c r="BY7" i="3"/>
  <c r="BZ50" i="3"/>
  <c r="BY15" i="3"/>
  <c r="BZ53" i="3"/>
  <c r="BZ51" i="3"/>
  <c r="BZ31" i="3"/>
  <c r="BZ24" i="3"/>
  <c r="BY45" i="3"/>
  <c r="BY50" i="3"/>
  <c r="BZ48" i="3"/>
  <c r="BZ49" i="3"/>
  <c r="BY46" i="3"/>
  <c r="BY47" i="3"/>
  <c r="BZ15" i="3"/>
  <c r="BY48" i="3"/>
  <c r="BZ27" i="3"/>
  <c r="BY49" i="3"/>
  <c r="BY43" i="3"/>
  <c r="BY32" i="3"/>
  <c r="BY18" i="3"/>
  <c r="BY33" i="3"/>
  <c r="BY28" i="3"/>
  <c r="BZ25" i="3"/>
  <c r="BY14" i="3"/>
  <c r="BY26" i="3"/>
  <c r="BZ23" i="3"/>
  <c r="BY40" i="3"/>
  <c r="BY22" i="3"/>
  <c r="BY27" i="3"/>
  <c r="BY53" i="3"/>
  <c r="BY34" i="3"/>
  <c r="BZ42" i="3"/>
  <c r="BZ52" i="3"/>
  <c r="BZ43" i="3"/>
  <c r="BZ47" i="3"/>
  <c r="BZ22" i="3"/>
  <c r="BY24" i="3"/>
  <c r="BY25" i="3"/>
  <c r="BY23" i="3"/>
  <c r="BZ18" i="3"/>
  <c r="BY11" i="3"/>
  <c r="BY12" i="3"/>
  <c r="BZ19" i="3"/>
  <c r="BY20" i="3"/>
  <c r="BZ20" i="3"/>
  <c r="BZ11" i="3"/>
  <c r="BZ12" i="3"/>
  <c r="BZ21" i="3"/>
  <c r="BY19" i="3"/>
  <c r="CA41" i="3" l="1"/>
  <c r="CA39" i="3"/>
  <c r="CA38" i="3"/>
  <c r="CA6" i="3"/>
  <c r="CA36" i="3"/>
  <c r="CA14" i="3"/>
  <c r="CA33" i="3"/>
  <c r="CA10" i="3"/>
  <c r="CA34" i="3"/>
  <c r="CA8" i="3"/>
  <c r="CA37" i="3"/>
  <c r="CA40" i="3"/>
  <c r="CA7" i="3"/>
  <c r="CA16" i="3"/>
  <c r="CA17" i="3"/>
  <c r="CA13" i="3"/>
  <c r="CA23" i="3"/>
  <c r="CA35" i="3"/>
  <c r="CA47" i="3"/>
  <c r="CA32" i="3"/>
  <c r="CA18" i="3"/>
  <c r="CA52" i="3"/>
  <c r="CA42" i="3"/>
  <c r="CA21" i="3"/>
  <c r="CA28" i="3"/>
  <c r="CA27" i="3"/>
  <c r="CA46" i="3"/>
  <c r="CA48" i="3"/>
  <c r="CA30" i="3"/>
  <c r="CA45" i="3"/>
  <c r="CA31" i="3"/>
  <c r="CA44" i="3"/>
  <c r="CA15" i="3"/>
  <c r="CA26" i="3"/>
  <c r="CA50" i="3"/>
  <c r="CA29" i="3"/>
  <c r="CA53" i="3"/>
  <c r="CA49" i="3"/>
  <c r="CA24" i="3"/>
  <c r="CA51" i="3"/>
  <c r="CA9" i="3"/>
  <c r="CA43" i="3"/>
  <c r="CA25" i="3"/>
  <c r="CA22" i="3"/>
  <c r="CA11" i="3"/>
  <c r="CA12" i="3"/>
  <c r="CA19" i="3"/>
  <c r="CA20" i="3"/>
  <c r="CB30" i="3" l="1"/>
  <c r="CB35" i="3"/>
  <c r="CB42" i="3"/>
  <c r="CB29" i="3"/>
  <c r="CB51" i="3"/>
  <c r="CB33" i="3"/>
  <c r="CB47" i="3"/>
  <c r="CB53" i="3"/>
  <c r="CB28" i="3"/>
  <c r="CB25" i="3"/>
  <c r="CB32" i="3"/>
  <c r="CB38" i="3"/>
  <c r="CB26" i="3"/>
  <c r="CB50" i="3"/>
  <c r="CB34" i="3"/>
  <c r="CB23" i="3"/>
  <c r="CB36" i="3"/>
  <c r="CB39" i="3"/>
  <c r="CB24" i="3"/>
  <c r="CB48" i="3"/>
  <c r="CB7" i="3"/>
  <c r="CB45" i="3"/>
  <c r="CB27" i="3"/>
  <c r="CB46" i="3"/>
  <c r="CB49" i="3"/>
  <c r="CB40" i="3"/>
  <c r="CB52" i="3"/>
  <c r="CB43" i="3"/>
  <c r="CB41" i="3"/>
  <c r="CB31" i="3"/>
  <c r="CB22" i="3"/>
  <c r="CB37" i="3"/>
  <c r="CB44" i="3"/>
  <c r="CB6" i="3"/>
  <c r="CB15" i="3"/>
  <c r="CB8" i="3"/>
  <c r="CB16" i="3"/>
  <c r="CB18" i="3"/>
  <c r="CB10" i="3"/>
  <c r="CB14" i="3"/>
  <c r="CB20" i="3"/>
  <c r="CB9" i="3"/>
  <c r="CB17" i="3"/>
  <c r="CB13" i="3"/>
  <c r="CB12" i="3"/>
  <c r="CB11" i="3"/>
  <c r="CB21" i="3"/>
  <c r="CB19" i="3"/>
  <c r="CC19" i="3" l="1"/>
  <c r="L28" i="3" s="1"/>
  <c r="CC36" i="3"/>
  <c r="K61" i="3" s="1"/>
  <c r="CC39" i="3"/>
  <c r="CC47" i="3"/>
  <c r="CC32" i="3"/>
  <c r="K53" i="3" s="1"/>
  <c r="CC22" i="3"/>
  <c r="CC40" i="3"/>
  <c r="L73" i="3" s="1"/>
  <c r="CC46" i="3"/>
  <c r="CC30" i="3"/>
  <c r="K54" i="3" s="1"/>
  <c r="CC38" i="3"/>
  <c r="K70" i="3" s="1"/>
  <c r="CC26" i="3"/>
  <c r="K44" i="3" s="1"/>
  <c r="CC52" i="3"/>
  <c r="K93" i="3" s="1"/>
  <c r="CC21" i="3"/>
  <c r="CC10" i="3"/>
  <c r="K12" i="3" s="1"/>
  <c r="CC33" i="3"/>
  <c r="L53" i="3" s="1"/>
  <c r="CC50" i="3"/>
  <c r="L96" i="3" s="1"/>
  <c r="CC53" i="3"/>
  <c r="L93" i="3" s="1"/>
  <c r="CC45" i="3"/>
  <c r="CC51" i="3"/>
  <c r="L92" i="3" s="1"/>
  <c r="CC11" i="3"/>
  <c r="L12" i="3" s="1"/>
  <c r="CC29" i="3"/>
  <c r="L45" i="3" s="1"/>
  <c r="CC7" i="3"/>
  <c r="CC14" i="3"/>
  <c r="CC35" i="3"/>
  <c r="L60" i="3" s="1"/>
  <c r="CC34" i="3"/>
  <c r="K60" i="3" s="1"/>
  <c r="CC25" i="3"/>
  <c r="CC20" i="3"/>
  <c r="K29" i="3" s="1"/>
  <c r="CC31" i="3"/>
  <c r="K56" i="3" s="1"/>
  <c r="CC16" i="3"/>
  <c r="CC37" i="3"/>
  <c r="K65" i="3" s="1"/>
  <c r="CC13" i="3"/>
  <c r="L13" i="3" s="1"/>
  <c r="CC23" i="3"/>
  <c r="CC27" i="3"/>
  <c r="L44" i="3" s="1"/>
  <c r="CC9" i="3"/>
  <c r="CC8" i="3"/>
  <c r="K5" i="3" s="1"/>
  <c r="CC41" i="3"/>
  <c r="CC12" i="3"/>
  <c r="K13" i="3" s="1"/>
  <c r="CC48" i="3"/>
  <c r="CC17" i="3"/>
  <c r="CC15" i="3"/>
  <c r="CC49" i="3"/>
  <c r="K88" i="3" s="1"/>
  <c r="CC43" i="3"/>
  <c r="L76" i="3" s="1"/>
  <c r="CC18" i="3"/>
  <c r="K28" i="3" s="1"/>
  <c r="CC24" i="3"/>
  <c r="CC44" i="3"/>
  <c r="L78" i="3" s="1"/>
  <c r="CC42" i="3"/>
  <c r="CC28" i="3"/>
  <c r="CC6" i="3"/>
  <c r="K4" i="3" s="1"/>
  <c r="L68" i="3" l="1"/>
  <c r="L49" i="3"/>
  <c r="K33" i="3"/>
  <c r="L30" i="3"/>
  <c r="L64" i="3"/>
  <c r="L37" i="3"/>
  <c r="K85" i="3"/>
  <c r="K84" i="3"/>
  <c r="L77" i="3"/>
  <c r="K71" i="3"/>
  <c r="K77" i="3"/>
  <c r="K76" i="3"/>
  <c r="K72" i="3"/>
  <c r="L69" i="3"/>
  <c r="K68" i="3"/>
  <c r="K69" i="3"/>
  <c r="L63" i="3"/>
  <c r="L48" i="3"/>
  <c r="K22" i="3"/>
  <c r="K17" i="3"/>
  <c r="K30" i="3"/>
  <c r="L36" i="3"/>
  <c r="K37" i="3"/>
  <c r="K36" i="3"/>
  <c r="L20" i="3"/>
  <c r="K21" i="3"/>
  <c r="K80" i="3"/>
  <c r="K9" i="3"/>
  <c r="L5" i="3"/>
  <c r="L97" i="3"/>
  <c r="L94" i="3"/>
  <c r="K95" i="3"/>
  <c r="K97" i="3"/>
  <c r="L6" i="3"/>
  <c r="K7" i="3"/>
  <c r="L8" i="3"/>
  <c r="L9" i="3"/>
  <c r="L7" i="3"/>
  <c r="L4" i="3"/>
  <c r="K8" i="3"/>
  <c r="K6" i="3"/>
  <c r="L56" i="3"/>
  <c r="L54" i="3"/>
  <c r="K14" i="3"/>
  <c r="K48" i="3"/>
  <c r="L23" i="3"/>
  <c r="L47" i="3"/>
  <c r="L61" i="3"/>
  <c r="K41" i="3"/>
  <c r="K81" i="3"/>
  <c r="L32" i="3"/>
  <c r="K15" i="3"/>
  <c r="L38" i="3"/>
  <c r="L29" i="3"/>
  <c r="K32" i="3"/>
  <c r="L89" i="3"/>
  <c r="K87" i="3"/>
  <c r="K47" i="3"/>
  <c r="K49" i="3"/>
  <c r="L57" i="3"/>
  <c r="L71" i="3"/>
  <c r="L21" i="3"/>
  <c r="K57" i="3"/>
  <c r="L62" i="3"/>
  <c r="K52" i="3"/>
  <c r="L95" i="3"/>
  <c r="L41" i="3"/>
  <c r="L72" i="3"/>
  <c r="K96" i="3"/>
  <c r="K39" i="3"/>
  <c r="K23" i="3"/>
  <c r="L25" i="3"/>
  <c r="L16" i="3"/>
  <c r="L55" i="3"/>
  <c r="L52" i="3"/>
  <c r="K24" i="3"/>
  <c r="K62" i="3"/>
  <c r="K46" i="3"/>
  <c r="L31" i="3"/>
  <c r="CD18" i="3" s="1"/>
  <c r="L14" i="3"/>
  <c r="K94" i="3"/>
  <c r="K92" i="3"/>
  <c r="L80" i="3"/>
  <c r="L33" i="3"/>
  <c r="K55" i="3"/>
  <c r="L87" i="3"/>
  <c r="K64" i="3"/>
  <c r="L85" i="3"/>
  <c r="K86" i="3"/>
  <c r="K45" i="3"/>
  <c r="L65" i="3"/>
  <c r="K63" i="3"/>
  <c r="K38" i="3"/>
  <c r="L24" i="3"/>
  <c r="K20" i="3"/>
  <c r="L40" i="3"/>
  <c r="L81" i="3"/>
  <c r="L39" i="3"/>
  <c r="K25" i="3"/>
  <c r="K40" i="3"/>
  <c r="K78" i="3"/>
  <c r="L79" i="3"/>
  <c r="L88" i="3"/>
  <c r="L46" i="3"/>
  <c r="L22" i="3"/>
  <c r="K16" i="3"/>
  <c r="L70" i="3"/>
  <c r="K73" i="3"/>
  <c r="L86" i="3"/>
  <c r="L84" i="3"/>
  <c r="K89" i="3"/>
  <c r="L15" i="3"/>
  <c r="K79" i="3"/>
  <c r="L17" i="3"/>
  <c r="CD32" i="3" s="1"/>
  <c r="K31" i="3"/>
  <c r="CD40" i="3" l="1"/>
  <c r="CD10" i="3"/>
  <c r="CD6" i="3"/>
  <c r="CD39" i="3"/>
  <c r="CD27" i="3"/>
  <c r="CD29" i="3"/>
  <c r="CD34" i="3"/>
  <c r="CD30" i="3"/>
  <c r="CD41" i="3"/>
  <c r="CD42" i="3"/>
  <c r="CD26" i="3"/>
  <c r="CD35" i="3"/>
  <c r="CD19" i="3"/>
  <c r="CD8" i="3"/>
  <c r="CD21" i="3"/>
  <c r="CD12" i="3"/>
  <c r="CD22" i="3"/>
  <c r="CD17" i="3"/>
  <c r="CD16" i="3"/>
  <c r="CD43" i="3"/>
  <c r="CD9" i="3"/>
  <c r="CD52" i="3"/>
  <c r="CD13" i="3"/>
  <c r="CD53" i="3"/>
  <c r="CD7" i="3"/>
  <c r="CD51" i="3"/>
  <c r="CD24" i="3"/>
  <c r="CD50" i="3"/>
  <c r="CD48" i="3"/>
  <c r="CD44" i="3"/>
  <c r="CD46" i="3"/>
  <c r="CD47" i="3"/>
  <c r="CD28" i="3"/>
  <c r="CD37" i="3"/>
  <c r="CD15" i="3"/>
  <c r="CD31" i="3"/>
  <c r="CD14" i="3"/>
  <c r="CD33" i="3"/>
  <c r="CD49" i="3"/>
  <c r="CD23" i="3"/>
  <c r="CD25" i="3"/>
  <c r="CD36" i="3"/>
  <c r="CD45" i="3"/>
  <c r="CD38" i="3"/>
  <c r="CD20" i="3"/>
  <c r="CD11" i="3"/>
  <c r="CE20" i="3" l="1"/>
  <c r="CE12" i="3"/>
  <c r="CE38" i="3"/>
  <c r="CE52" i="3"/>
  <c r="CE7" i="3"/>
  <c r="CE32" i="3"/>
  <c r="CE27" i="3"/>
  <c r="CE22" i="3"/>
  <c r="CE34" i="3"/>
  <c r="CE13" i="3"/>
  <c r="CE24" i="3"/>
  <c r="CE31" i="3"/>
  <c r="CE41" i="3"/>
  <c r="CE51" i="3"/>
  <c r="CE44" i="3"/>
  <c r="CE21" i="3"/>
  <c r="CE43" i="3"/>
  <c r="CE40" i="3"/>
  <c r="CE29" i="3"/>
  <c r="CE17" i="3"/>
  <c r="CE47" i="3"/>
  <c r="CE36" i="3"/>
  <c r="CE49" i="3"/>
  <c r="CE19" i="3"/>
  <c r="CE28" i="3"/>
  <c r="CE37" i="3"/>
  <c r="CE45" i="3"/>
  <c r="CE53" i="3"/>
  <c r="CE26" i="3"/>
  <c r="CE33" i="3"/>
  <c r="CE42" i="3"/>
  <c r="CE30" i="3"/>
  <c r="CE48" i="3"/>
  <c r="CE35" i="3"/>
  <c r="CE46" i="3"/>
  <c r="CE18" i="3"/>
  <c r="CE50" i="3"/>
  <c r="CE39" i="3"/>
  <c r="CE16" i="3"/>
  <c r="CE14" i="3"/>
  <c r="CE11" i="3"/>
  <c r="CE25" i="3"/>
  <c r="CE23" i="3"/>
  <c r="CE15" i="3"/>
  <c r="CE9" i="3"/>
  <c r="CE8" i="3"/>
  <c r="CE10" i="3"/>
  <c r="CE6" i="3"/>
  <c r="CF25" i="3" l="1"/>
  <c r="CF28" i="3"/>
  <c r="CF26" i="3"/>
  <c r="N44" i="3" s="1"/>
  <c r="CF15" i="3"/>
  <c r="CG15" i="3" s="1"/>
  <c r="CF36" i="3"/>
  <c r="O64" i="3" s="1"/>
  <c r="CF20" i="3"/>
  <c r="N29" i="3" s="1"/>
  <c r="CF35" i="3"/>
  <c r="CF13" i="3"/>
  <c r="CF34" i="3"/>
  <c r="N60" i="3" s="1"/>
  <c r="CF51" i="3"/>
  <c r="N97" i="3" s="1"/>
  <c r="CF43" i="3"/>
  <c r="CF17" i="3"/>
  <c r="CF40" i="3"/>
  <c r="CF38" i="3"/>
  <c r="CF39" i="3"/>
  <c r="CF23" i="3"/>
  <c r="CF22" i="3"/>
  <c r="CF47" i="3"/>
  <c r="CF37" i="3"/>
  <c r="CF50" i="3"/>
  <c r="N94" i="3" s="1"/>
  <c r="CF42" i="3"/>
  <c r="CF7" i="3"/>
  <c r="CF49" i="3"/>
  <c r="CF48" i="3"/>
  <c r="CF30" i="3"/>
  <c r="O57" i="3" s="1"/>
  <c r="CF44" i="3"/>
  <c r="CF6" i="3"/>
  <c r="CF16" i="3"/>
  <c r="O23" i="3" s="1"/>
  <c r="CF46" i="3"/>
  <c r="CF18" i="3"/>
  <c r="N31" i="3" s="1"/>
  <c r="CF8" i="3"/>
  <c r="O7" i="3" s="1"/>
  <c r="CF31" i="3"/>
  <c r="CF12" i="3"/>
  <c r="O17" i="3" s="1"/>
  <c r="CF53" i="3"/>
  <c r="CF19" i="3"/>
  <c r="O28" i="3" s="1"/>
  <c r="CF10" i="3"/>
  <c r="O16" i="3" s="1"/>
  <c r="CF33" i="3"/>
  <c r="CF21" i="3"/>
  <c r="N32" i="3" s="1"/>
  <c r="CF27" i="3"/>
  <c r="CF52" i="3"/>
  <c r="O97" i="3" s="1"/>
  <c r="CF45" i="3"/>
  <c r="CF24" i="3"/>
  <c r="CF9" i="3"/>
  <c r="CF41" i="3"/>
  <c r="CF11" i="3"/>
  <c r="O12" i="3" s="1"/>
  <c r="CF14" i="3"/>
  <c r="CF32" i="3"/>
  <c r="N53" i="3" s="1"/>
  <c r="CF29" i="3"/>
  <c r="N39" i="3" l="1"/>
  <c r="O47" i="3"/>
  <c r="O92" i="3"/>
  <c r="N80" i="3"/>
  <c r="N81" i="3"/>
  <c r="N95" i="3"/>
  <c r="O87" i="3"/>
  <c r="N87" i="3"/>
  <c r="O86" i="3"/>
  <c r="N86" i="3"/>
  <c r="O81" i="3"/>
  <c r="O22" i="3"/>
  <c r="N22" i="3"/>
  <c r="N78" i="3"/>
  <c r="N72" i="3"/>
  <c r="O68" i="3"/>
  <c r="O49" i="3"/>
  <c r="N36" i="3"/>
  <c r="O63" i="3"/>
  <c r="N62" i="3"/>
  <c r="N49" i="3"/>
  <c r="CI26" i="3" s="1"/>
  <c r="O46" i="3"/>
  <c r="N38" i="3"/>
  <c r="O38" i="3"/>
  <c r="O25" i="3"/>
  <c r="N41" i="3"/>
  <c r="O14" i="3"/>
  <c r="O5" i="3"/>
  <c r="N24" i="3"/>
  <c r="O20" i="3"/>
  <c r="N46" i="3"/>
  <c r="O48" i="3"/>
  <c r="CG27" i="3" s="1"/>
  <c r="O71" i="3"/>
  <c r="O15" i="3"/>
  <c r="N25" i="3"/>
  <c r="N20" i="3"/>
  <c r="N89" i="3"/>
  <c r="O88" i="3"/>
  <c r="O60" i="3"/>
  <c r="O40" i="3"/>
  <c r="N56" i="3"/>
  <c r="N47" i="3"/>
  <c r="N64" i="3"/>
  <c r="N40" i="3"/>
  <c r="CI22" i="3" s="1"/>
  <c r="N70" i="3"/>
  <c r="O30" i="3"/>
  <c r="N15" i="3"/>
  <c r="N14" i="3"/>
  <c r="O24" i="3"/>
  <c r="N17" i="3"/>
  <c r="N16" i="3"/>
  <c r="O33" i="3"/>
  <c r="O31" i="3"/>
  <c r="CH18" i="3" s="1"/>
  <c r="O32" i="3"/>
  <c r="N8" i="3"/>
  <c r="N6" i="3"/>
  <c r="O21" i="3"/>
  <c r="N45" i="3"/>
  <c r="CI29" i="3" s="1"/>
  <c r="O36" i="3"/>
  <c r="N13" i="3"/>
  <c r="N61" i="3"/>
  <c r="CI37" i="3" s="1"/>
  <c r="N28" i="3"/>
  <c r="CI19" i="3" s="1"/>
  <c r="N12" i="3"/>
  <c r="CI11" i="3" s="1"/>
  <c r="O84" i="3"/>
  <c r="O44" i="3"/>
  <c r="CG26" i="3" s="1"/>
  <c r="O69" i="3"/>
  <c r="O37" i="3"/>
  <c r="O29" i="3"/>
  <c r="CG20" i="3" s="1"/>
  <c r="N77" i="3"/>
  <c r="N84" i="3"/>
  <c r="O13" i="3"/>
  <c r="CG12" i="3" s="1"/>
  <c r="N9" i="3"/>
  <c r="O6" i="3"/>
  <c r="CG9" i="3" s="1"/>
  <c r="N4" i="3"/>
  <c r="N7" i="3"/>
  <c r="O8" i="3"/>
  <c r="O9" i="3"/>
  <c r="N5" i="3"/>
  <c r="O4" i="3"/>
  <c r="CG6" i="3" s="1"/>
  <c r="CG43" i="3"/>
  <c r="CI28" i="3"/>
  <c r="CG51" i="3"/>
  <c r="CG35" i="3"/>
  <c r="CI33" i="3"/>
  <c r="CG13" i="3"/>
  <c r="N63" i="3"/>
  <c r="CI35" i="3" s="1"/>
  <c r="N52" i="3"/>
  <c r="CI31" i="3" s="1"/>
  <c r="CI34" i="3"/>
  <c r="CI14" i="3"/>
  <c r="N54" i="3"/>
  <c r="O65" i="3"/>
  <c r="N69" i="3"/>
  <c r="CG41" i="3" s="1"/>
  <c r="N68" i="3"/>
  <c r="O72" i="3"/>
  <c r="N76" i="3"/>
  <c r="N79" i="3"/>
  <c r="CI42" i="3"/>
  <c r="O55" i="3"/>
  <c r="CG33" i="3" s="1"/>
  <c r="N85" i="3"/>
  <c r="CG49" i="3" s="1"/>
  <c r="CI18" i="3"/>
  <c r="O73" i="3"/>
  <c r="CG39" i="3" s="1"/>
  <c r="O80" i="3"/>
  <c r="CI38" i="3"/>
  <c r="O76" i="3"/>
  <c r="N57" i="3"/>
  <c r="O89" i="3"/>
  <c r="CG7" i="3"/>
  <c r="O53" i="3"/>
  <c r="CG32" i="3" s="1"/>
  <c r="CI46" i="3"/>
  <c r="N71" i="3"/>
  <c r="CI16" i="3"/>
  <c r="O56" i="3"/>
  <c r="O79" i="3"/>
  <c r="O39" i="3"/>
  <c r="O96" i="3"/>
  <c r="O62" i="3"/>
  <c r="O85" i="3"/>
  <c r="CG47" i="3"/>
  <c r="CI12" i="3"/>
  <c r="O41" i="3"/>
  <c r="CG23" i="3" s="1"/>
  <c r="O61" i="3"/>
  <c r="CG36" i="3" s="1"/>
  <c r="O93" i="3"/>
  <c r="CG52" i="3" s="1"/>
  <c r="CI32" i="3"/>
  <c r="N37" i="3"/>
  <c r="N65" i="3"/>
  <c r="N96" i="3"/>
  <c r="CI50" i="3"/>
  <c r="N92" i="3"/>
  <c r="CI51" i="3" s="1"/>
  <c r="N88" i="3"/>
  <c r="N93" i="3"/>
  <c r="CI53" i="3" s="1"/>
  <c r="O95" i="3"/>
  <c r="N55" i="3"/>
  <c r="CI6" i="3"/>
  <c r="O70" i="3"/>
  <c r="CG11" i="3"/>
  <c r="CI52" i="3"/>
  <c r="O52" i="3"/>
  <c r="CG21" i="3"/>
  <c r="CI21" i="3"/>
  <c r="CG45" i="3"/>
  <c r="O77" i="3"/>
  <c r="CG44" i="3" s="1"/>
  <c r="CG19" i="3"/>
  <c r="CG10" i="3"/>
  <c r="N73" i="3"/>
  <c r="O78" i="3"/>
  <c r="CI10" i="3"/>
  <c r="N33" i="3"/>
  <c r="CH20" i="3" s="1"/>
  <c r="N30" i="3"/>
  <c r="O45" i="3"/>
  <c r="N48" i="3"/>
  <c r="N23" i="3"/>
  <c r="N21" i="3"/>
  <c r="CG17" i="3" s="1"/>
  <c r="O54" i="3"/>
  <c r="CH52" i="3"/>
  <c r="O94" i="3"/>
  <c r="CG50" i="3" s="1"/>
  <c r="CI24" i="3" l="1"/>
  <c r="CI43" i="3"/>
  <c r="CI48" i="3"/>
  <c r="CG46" i="3"/>
  <c r="CG30" i="3"/>
  <c r="CI23" i="3"/>
  <c r="CG25" i="3"/>
  <c r="CI20" i="3"/>
  <c r="CG18" i="3"/>
  <c r="CJ18" i="3" s="1"/>
  <c r="CI8" i="3"/>
  <c r="CI44" i="3"/>
  <c r="CG53" i="3"/>
  <c r="CH51" i="3"/>
  <c r="CI27" i="3"/>
  <c r="CI40" i="3"/>
  <c r="CG34" i="3"/>
  <c r="CI36" i="3"/>
  <c r="CG29" i="3"/>
  <c r="CG37" i="3"/>
  <c r="CG31" i="3"/>
  <c r="CG28" i="3"/>
  <c r="CI30" i="3"/>
  <c r="CI13" i="3"/>
  <c r="CG8" i="3"/>
  <c r="CH6" i="3"/>
  <c r="CH53" i="3"/>
  <c r="CH46" i="3"/>
  <c r="CJ46" i="3" s="1"/>
  <c r="CH48" i="3"/>
  <c r="CH49" i="3"/>
  <c r="CJ49" i="3" s="1"/>
  <c r="CH47" i="3"/>
  <c r="CJ47" i="3" s="1"/>
  <c r="CH15" i="3"/>
  <c r="CJ15" i="3" s="1"/>
  <c r="CH44" i="3"/>
  <c r="CJ44" i="3" s="1"/>
  <c r="CI47" i="3"/>
  <c r="CI49" i="3"/>
  <c r="CG38" i="3"/>
  <c r="CG48" i="3"/>
  <c r="CH43" i="3"/>
  <c r="CJ43" i="3" s="1"/>
  <c r="CH42" i="3"/>
  <c r="CH45" i="3"/>
  <c r="CJ45" i="3" s="1"/>
  <c r="CI45" i="3"/>
  <c r="CG42" i="3"/>
  <c r="CH26" i="3"/>
  <c r="CJ26" i="3" s="1"/>
  <c r="CI41" i="3"/>
  <c r="CH37" i="3"/>
  <c r="CJ37" i="3" s="1"/>
  <c r="CG40" i="3"/>
  <c r="CH40" i="3"/>
  <c r="CH27" i="3"/>
  <c r="CJ27" i="3" s="1"/>
  <c r="CI39" i="3"/>
  <c r="CH35" i="3"/>
  <c r="CJ35" i="3" s="1"/>
  <c r="CH24" i="3"/>
  <c r="CH34" i="3"/>
  <c r="CJ34" i="3" s="1"/>
  <c r="CH33" i="3"/>
  <c r="CJ33" i="3" s="1"/>
  <c r="CG22" i="3"/>
  <c r="CH28" i="3"/>
  <c r="CH22" i="3"/>
  <c r="CH23" i="3"/>
  <c r="CJ23" i="3" s="1"/>
  <c r="CH21" i="3"/>
  <c r="CJ21" i="3" s="1"/>
  <c r="CH25" i="3"/>
  <c r="CJ25" i="3" s="1"/>
  <c r="CI15" i="3"/>
  <c r="CH16" i="3"/>
  <c r="CH13" i="3"/>
  <c r="CJ13" i="3" s="1"/>
  <c r="CI25" i="3"/>
  <c r="CH14" i="3"/>
  <c r="CG24" i="3"/>
  <c r="CG14" i="3"/>
  <c r="CH17" i="3"/>
  <c r="CJ17" i="3" s="1"/>
  <c r="CI17" i="3"/>
  <c r="CG16" i="3"/>
  <c r="CH29" i="3"/>
  <c r="CH38" i="3"/>
  <c r="CH32" i="3"/>
  <c r="CJ32" i="3" s="1"/>
  <c r="CH11" i="3"/>
  <c r="CJ11" i="3" s="1"/>
  <c r="CI7" i="3"/>
  <c r="CH19" i="3"/>
  <c r="CJ19" i="3" s="1"/>
  <c r="CI9" i="3"/>
  <c r="CH30" i="3"/>
  <c r="CJ30" i="3" s="1"/>
  <c r="CH10" i="3"/>
  <c r="CJ10" i="3" s="1"/>
  <c r="CH8" i="3"/>
  <c r="CH41" i="3"/>
  <c r="CJ41" i="3" s="1"/>
  <c r="CH39" i="3"/>
  <c r="CJ39" i="3" s="1"/>
  <c r="CH12" i="3"/>
  <c r="CJ12" i="3" s="1"/>
  <c r="CH50" i="3"/>
  <c r="CJ50" i="3" s="1"/>
  <c r="CH31" i="3"/>
  <c r="CJ31" i="3" s="1"/>
  <c r="CH36" i="3"/>
  <c r="CJ36" i="3" s="1"/>
  <c r="CH9" i="3"/>
  <c r="CJ9" i="3" s="1"/>
  <c r="CH7" i="3"/>
  <c r="CJ7" i="3" s="1"/>
  <c r="CJ20" i="3"/>
  <c r="CJ51" i="3"/>
  <c r="CJ52" i="3"/>
  <c r="CJ6" i="3"/>
  <c r="CJ53" i="3" l="1"/>
  <c r="CJ29" i="3"/>
  <c r="CJ28" i="3"/>
  <c r="CJ8" i="3"/>
  <c r="CJ48" i="3"/>
  <c r="CJ38" i="3"/>
  <c r="CJ42" i="3"/>
  <c r="CJ40" i="3"/>
  <c r="CJ24" i="3"/>
  <c r="CJ22" i="3"/>
  <c r="CJ14" i="3"/>
  <c r="CJ16" i="3"/>
  <c r="CK20" i="3" l="1"/>
  <c r="CK38" i="3"/>
  <c r="CK35" i="3"/>
  <c r="CK11" i="3"/>
  <c r="CK33" i="3"/>
  <c r="CK47" i="3"/>
  <c r="CK39" i="3"/>
  <c r="CK49" i="3"/>
  <c r="CK15" i="3"/>
  <c r="CK23" i="3"/>
  <c r="CK31" i="3"/>
  <c r="CK17" i="3"/>
  <c r="CK27" i="3"/>
  <c r="CK41" i="3"/>
  <c r="CK29" i="3"/>
  <c r="CK43" i="3"/>
  <c r="CK53" i="3"/>
  <c r="CK9" i="3"/>
  <c r="CK13" i="3"/>
  <c r="CK37" i="3"/>
  <c r="CK21" i="3"/>
  <c r="CK19" i="3"/>
  <c r="CK25" i="3"/>
  <c r="CK51" i="3"/>
  <c r="CK7" i="3"/>
  <c r="CK45" i="3"/>
  <c r="CK18" i="3"/>
  <c r="CK24" i="3"/>
  <c r="CK42" i="3"/>
  <c r="CK10" i="3"/>
  <c r="CK30" i="3"/>
  <c r="CK32" i="3"/>
  <c r="CK16" i="3"/>
  <c r="CK22" i="3"/>
  <c r="CK48" i="3"/>
  <c r="CK50" i="3"/>
  <c r="CK40" i="3"/>
  <c r="CK36" i="3"/>
  <c r="CK14" i="3"/>
  <c r="CK6" i="3"/>
  <c r="CK34" i="3"/>
  <c r="CK28" i="3"/>
  <c r="CK44" i="3"/>
  <c r="CK12" i="3"/>
  <c r="CK26" i="3"/>
  <c r="CK52" i="3"/>
  <c r="CK46" i="3"/>
  <c r="CK8" i="3"/>
  <c r="CL43" i="3" l="1"/>
  <c r="R79" i="3" s="1"/>
  <c r="CL46" i="3"/>
  <c r="Q86" i="3" s="1"/>
  <c r="CL52" i="3"/>
  <c r="Q93" i="3" s="1"/>
  <c r="CL44" i="3"/>
  <c r="R80" i="3" s="1"/>
  <c r="CL13" i="3"/>
  <c r="Q16" i="3" s="1"/>
  <c r="CL12" i="3"/>
  <c r="Q13" i="3" s="1"/>
  <c r="CL25" i="3"/>
  <c r="Q39" i="3" s="1"/>
  <c r="CL45" i="3"/>
  <c r="Q79" i="3" s="1"/>
  <c r="CL47" i="3"/>
  <c r="CL48" i="3"/>
  <c r="Q85" i="3" s="1"/>
  <c r="CL8" i="3"/>
  <c r="Q5" i="3" s="1"/>
  <c r="CL23" i="3"/>
  <c r="R39" i="3" s="1"/>
  <c r="CL50" i="3"/>
  <c r="Q92" i="3" s="1"/>
  <c r="CL20" i="3"/>
  <c r="R31" i="3" s="1"/>
  <c r="CL38" i="3"/>
  <c r="Q68" i="3" s="1"/>
  <c r="CL26" i="3"/>
  <c r="R49" i="3" s="1"/>
  <c r="CL32" i="3"/>
  <c r="R56" i="3" s="1"/>
  <c r="CL51" i="3"/>
  <c r="Q97" i="3" s="1"/>
  <c r="CL40" i="3"/>
  <c r="Q69" i="3" s="1"/>
  <c r="CL36" i="3"/>
  <c r="R62" i="3" s="1"/>
  <c r="CL22" i="3"/>
  <c r="R40" i="3" s="1"/>
  <c r="CL18" i="3"/>
  <c r="Q31" i="3" s="1"/>
  <c r="CL28" i="3"/>
  <c r="Q45" i="3" s="1"/>
  <c r="CL34" i="3"/>
  <c r="Q60" i="3" s="1"/>
  <c r="CL16" i="3"/>
  <c r="R23" i="3" s="1"/>
  <c r="CL14" i="3"/>
  <c r="Q23" i="3" s="1"/>
  <c r="CL24" i="3"/>
  <c r="Q37" i="3" s="1"/>
  <c r="CL33" i="3"/>
  <c r="Q57" i="3" s="1"/>
  <c r="CL49" i="3"/>
  <c r="CL9" i="3"/>
  <c r="Q8" i="3" s="1"/>
  <c r="CL35" i="3"/>
  <c r="Q64" i="3" s="1"/>
  <c r="CL11" i="3"/>
  <c r="R12" i="3" s="1"/>
  <c r="CL30" i="3"/>
  <c r="Q52" i="3" s="1"/>
  <c r="CL21" i="3"/>
  <c r="R29" i="3" s="1"/>
  <c r="CL31" i="3"/>
  <c r="Q56" i="3" s="1"/>
  <c r="CL42" i="3"/>
  <c r="Q77" i="3" s="1"/>
  <c r="CL39" i="3"/>
  <c r="Q73" i="3" s="1"/>
  <c r="CL19" i="3"/>
  <c r="R28" i="3" s="1"/>
  <c r="CL17" i="3"/>
  <c r="Q24" i="3" s="1"/>
  <c r="CL53" i="3"/>
  <c r="R93" i="3" s="1"/>
  <c r="CL10" i="3"/>
  <c r="Q15" i="3" s="1"/>
  <c r="CL6" i="3"/>
  <c r="Q4" i="3" s="1"/>
  <c r="CL37" i="3"/>
  <c r="Q65" i="3" s="1"/>
  <c r="CL41" i="3"/>
  <c r="Q72" i="3" s="1"/>
  <c r="CL7" i="3"/>
  <c r="R6" i="3" s="1"/>
  <c r="CL15" i="3"/>
  <c r="Q25" i="3" s="1"/>
  <c r="CL29" i="3"/>
  <c r="R45" i="3" s="1"/>
  <c r="CL27" i="3"/>
  <c r="Q48" i="3" s="1"/>
  <c r="R87" i="3"/>
  <c r="R97" i="3" l="1"/>
  <c r="R94" i="3"/>
  <c r="R78" i="3"/>
  <c r="Q76" i="3"/>
  <c r="R84" i="3"/>
  <c r="R77" i="3"/>
  <c r="Q80" i="3"/>
  <c r="R88" i="3"/>
  <c r="Q84" i="3"/>
  <c r="R54" i="3"/>
  <c r="R89" i="3"/>
  <c r="R38" i="3"/>
  <c r="R57" i="3"/>
  <c r="Q53" i="3"/>
  <c r="Q21" i="3"/>
  <c r="Q95" i="3"/>
  <c r="Q88" i="3"/>
  <c r="Q94" i="3"/>
  <c r="R13" i="3"/>
  <c r="Q87" i="3"/>
  <c r="R52" i="3"/>
  <c r="Q14" i="3"/>
  <c r="R25" i="3"/>
  <c r="Q38" i="3"/>
  <c r="R24" i="3"/>
  <c r="Q89" i="3"/>
  <c r="R92" i="3"/>
  <c r="R85" i="3"/>
  <c r="R16" i="3"/>
  <c r="Q54" i="3"/>
  <c r="Q12" i="3"/>
  <c r="R71" i="3"/>
  <c r="Q36" i="3"/>
  <c r="R33" i="3"/>
  <c r="Q47" i="3"/>
  <c r="CM28" i="3" s="1"/>
  <c r="R15" i="3"/>
  <c r="CM10" i="3" s="1"/>
  <c r="R17" i="3"/>
  <c r="Q22" i="3"/>
  <c r="Q44" i="3"/>
  <c r="R44" i="3"/>
  <c r="Q96" i="3"/>
  <c r="R48" i="3"/>
  <c r="Q40" i="3"/>
  <c r="Q62" i="3"/>
  <c r="R65" i="3"/>
  <c r="R37" i="3"/>
  <c r="R72" i="3"/>
  <c r="R86" i="3"/>
  <c r="Q20" i="3"/>
  <c r="Q70" i="3"/>
  <c r="Q46" i="3"/>
  <c r="R20" i="3"/>
  <c r="CM14" i="3" s="1"/>
  <c r="R68" i="3"/>
  <c r="R5" i="3"/>
  <c r="Q81" i="3"/>
  <c r="CM42" i="3" s="1"/>
  <c r="R63" i="3"/>
  <c r="R21" i="3"/>
  <c r="CM16" i="3" s="1"/>
  <c r="R22" i="3"/>
  <c r="Q28" i="3"/>
  <c r="Q49" i="3"/>
  <c r="R30" i="3"/>
  <c r="Q33" i="3"/>
  <c r="CN20" i="3" s="1"/>
  <c r="R60" i="3"/>
  <c r="CN34" i="3" s="1"/>
  <c r="R76" i="3"/>
  <c r="R47" i="3"/>
  <c r="Q6" i="3"/>
  <c r="R32" i="3"/>
  <c r="Q9" i="3"/>
  <c r="Q29" i="3"/>
  <c r="R8" i="3"/>
  <c r="CN9" i="3" s="1"/>
  <c r="R64" i="3"/>
  <c r="Q78" i="3"/>
  <c r="R70" i="3"/>
  <c r="R36" i="3"/>
  <c r="Q61" i="3"/>
  <c r="R95" i="3"/>
  <c r="CN51" i="3" s="1"/>
  <c r="Q17" i="3"/>
  <c r="CN12" i="3" s="1"/>
  <c r="Q7" i="3"/>
  <c r="R73" i="3"/>
  <c r="Q71" i="3"/>
  <c r="R41" i="3"/>
  <c r="CN23" i="3" s="1"/>
  <c r="R53" i="3"/>
  <c r="R7" i="3"/>
  <c r="R46" i="3"/>
  <c r="CM29" i="3" s="1"/>
  <c r="Q41" i="3"/>
  <c r="R61" i="3"/>
  <c r="Q32" i="3"/>
  <c r="CN18" i="3" s="1"/>
  <c r="R96" i="3"/>
  <c r="R9" i="3"/>
  <c r="R4" i="3"/>
  <c r="Q30" i="3"/>
  <c r="Q55" i="3"/>
  <c r="CN31" i="3" s="1"/>
  <c r="R14" i="3"/>
  <c r="CN13" i="3" s="1"/>
  <c r="R81" i="3"/>
  <c r="CN45" i="3" s="1"/>
  <c r="Q63" i="3"/>
  <c r="R55" i="3"/>
  <c r="CN33" i="3" s="1"/>
  <c r="R69" i="3"/>
  <c r="CN25" i="3"/>
  <c r="CM25" i="3"/>
  <c r="CM52" i="3"/>
  <c r="CN43" i="3"/>
  <c r="CM43" i="3"/>
  <c r="CN52" i="3"/>
  <c r="CM47" i="3"/>
  <c r="CM49" i="3"/>
  <c r="CN49" i="3"/>
  <c r="CM30" i="3" l="1"/>
  <c r="CM48" i="3"/>
  <c r="CN30" i="3"/>
  <c r="CO30" i="3" s="1"/>
  <c r="CN47" i="3"/>
  <c r="CO47" i="3" s="1"/>
  <c r="CN53" i="3"/>
  <c r="CN46" i="3"/>
  <c r="CM18" i="3"/>
  <c r="CO18" i="3" s="1"/>
  <c r="CM11" i="3"/>
  <c r="CN17" i="3"/>
  <c r="CM46" i="3"/>
  <c r="CN7" i="3"/>
  <c r="CN40" i="3"/>
  <c r="CM17" i="3"/>
  <c r="CN48" i="3"/>
  <c r="CN28" i="3"/>
  <c r="CO28" i="3" s="1"/>
  <c r="CN11" i="3"/>
  <c r="CN24" i="3"/>
  <c r="CN32" i="3"/>
  <c r="CM32" i="3"/>
  <c r="CM50" i="3"/>
  <c r="CN44" i="3"/>
  <c r="CM39" i="3"/>
  <c r="CM41" i="3"/>
  <c r="CM15" i="3"/>
  <c r="CN50" i="3"/>
  <c r="CM35" i="3"/>
  <c r="CN6" i="3"/>
  <c r="CN19" i="3"/>
  <c r="CN10" i="3"/>
  <c r="CO10" i="3" s="1"/>
  <c r="CM22" i="3"/>
  <c r="CM9" i="3"/>
  <c r="CO9" i="3" s="1"/>
  <c r="CM51" i="3"/>
  <c r="CO51" i="3" s="1"/>
  <c r="CM45" i="3"/>
  <c r="CO45" i="3" s="1"/>
  <c r="CN36" i="3"/>
  <c r="CN27" i="3"/>
  <c r="CM24" i="3"/>
  <c r="CM34" i="3"/>
  <c r="CO34" i="3" s="1"/>
  <c r="CN42" i="3"/>
  <c r="CO42" i="3" s="1"/>
  <c r="CM8" i="3"/>
  <c r="CM13" i="3"/>
  <c r="CO13" i="3" s="1"/>
  <c r="CM7" i="3"/>
  <c r="CM20" i="3"/>
  <c r="CO20" i="3" s="1"/>
  <c r="CN41" i="3"/>
  <c r="CM27" i="3"/>
  <c r="CN15" i="3"/>
  <c r="CN35" i="3"/>
  <c r="CN39" i="3"/>
  <c r="CM53" i="3"/>
  <c r="CM21" i="3"/>
  <c r="CN38" i="3"/>
  <c r="CN37" i="3"/>
  <c r="CM36" i="3"/>
  <c r="CM19" i="3"/>
  <c r="CM33" i="3"/>
  <c r="CO33" i="3" s="1"/>
  <c r="CN29" i="3"/>
  <c r="CO29" i="3" s="1"/>
  <c r="CN21" i="3"/>
  <c r="CN8" i="3"/>
  <c r="CM40" i="3"/>
  <c r="CM38" i="3"/>
  <c r="CM26" i="3"/>
  <c r="CM31" i="3"/>
  <c r="CO31" i="3" s="1"/>
  <c r="CM12" i="3"/>
  <c r="CO12" i="3" s="1"/>
  <c r="CN14" i="3"/>
  <c r="CO14" i="3" s="1"/>
  <c r="CM44" i="3"/>
  <c r="CM37" i="3"/>
  <c r="CM6" i="3"/>
  <c r="CN22" i="3"/>
  <c r="CN16" i="3"/>
  <c r="CO16" i="3" s="1"/>
  <c r="CN26" i="3"/>
  <c r="CM23" i="3"/>
  <c r="CO23" i="3" s="1"/>
  <c r="CO25" i="3"/>
  <c r="CO52" i="3"/>
  <c r="CO43" i="3"/>
  <c r="CO49" i="3"/>
  <c r="CO48" i="3" l="1"/>
  <c r="CO6" i="3"/>
  <c r="CO53" i="3"/>
  <c r="CO27" i="3"/>
  <c r="CO11" i="3"/>
  <c r="CO17" i="3"/>
  <c r="CO19" i="3"/>
  <c r="CO7" i="3"/>
  <c r="CO40" i="3"/>
  <c r="CO46" i="3"/>
  <c r="CO44" i="3"/>
  <c r="CO39" i="3"/>
  <c r="CO8" i="3"/>
  <c r="CO50" i="3"/>
  <c r="CO37" i="3"/>
  <c r="CO32" i="3"/>
  <c r="CO15" i="3"/>
  <c r="CO24" i="3"/>
  <c r="CO41" i="3"/>
  <c r="CO35" i="3"/>
  <c r="CO38" i="3"/>
  <c r="CO36" i="3"/>
  <c r="CO21" i="3"/>
  <c r="CO22" i="3"/>
  <c r="CO26" i="3"/>
  <c r="CP31" i="3" l="1"/>
  <c r="CP53" i="3"/>
  <c r="CP19" i="3"/>
  <c r="CP36" i="3"/>
  <c r="CP17" i="3"/>
  <c r="CP46" i="3"/>
  <c r="CP35" i="3"/>
  <c r="CP45" i="3"/>
  <c r="CP32" i="3"/>
  <c r="CP12" i="3"/>
  <c r="CP7" i="3"/>
  <c r="CP40" i="3"/>
  <c r="CP23" i="3"/>
  <c r="CP15" i="3"/>
  <c r="CP49" i="3"/>
  <c r="CP13" i="3"/>
  <c r="CP25" i="3"/>
  <c r="CP21" i="3"/>
  <c r="CP39" i="3"/>
  <c r="CP41" i="3"/>
  <c r="CP51" i="3"/>
  <c r="CP34" i="3"/>
  <c r="CP11" i="3"/>
  <c r="CP47" i="3"/>
  <c r="CP43" i="3"/>
  <c r="CP29" i="3"/>
  <c r="CP8" i="3"/>
  <c r="CP27" i="3"/>
  <c r="CP37" i="3"/>
  <c r="CP33" i="3"/>
  <c r="CP6" i="3"/>
  <c r="CP20" i="3"/>
  <c r="CP48" i="3"/>
  <c r="CP42" i="3"/>
  <c r="CP14" i="3"/>
  <c r="CP26" i="3"/>
  <c r="CP44" i="3"/>
  <c r="CP24" i="3"/>
  <c r="CP22" i="3"/>
  <c r="CP9" i="3"/>
  <c r="CP10" i="3"/>
  <c r="CP16" i="3"/>
  <c r="CP38" i="3"/>
  <c r="CP28" i="3"/>
  <c r="CP18" i="3"/>
  <c r="CP52" i="3"/>
  <c r="CP30" i="3"/>
  <c r="CP50" i="3"/>
  <c r="CQ11" i="3" l="1"/>
  <c r="U14" i="3" s="1"/>
  <c r="CQ50" i="3"/>
  <c r="T92" i="3" s="1"/>
  <c r="CQ28" i="3"/>
  <c r="U48" i="3" s="1"/>
  <c r="CQ38" i="3"/>
  <c r="U72" i="3" s="1"/>
  <c r="CQ19" i="3"/>
  <c r="T33" i="3" s="1"/>
  <c r="CQ14" i="3"/>
  <c r="T20" i="3" s="1"/>
  <c r="CQ35" i="3"/>
  <c r="U60" i="3" s="1"/>
  <c r="CQ30" i="3"/>
  <c r="T54" i="3" s="1"/>
  <c r="CQ12" i="3"/>
  <c r="U15" i="3" s="1"/>
  <c r="CQ23" i="3"/>
  <c r="U36" i="3" s="1"/>
  <c r="CQ47" i="3"/>
  <c r="CQ7" i="3"/>
  <c r="U4" i="3" s="1"/>
  <c r="CQ22" i="3"/>
  <c r="T38" i="3" s="1"/>
  <c r="CQ24" i="3"/>
  <c r="U41" i="3" s="1"/>
  <c r="CQ26" i="3"/>
  <c r="T47" i="3" s="1"/>
  <c r="CQ36" i="3"/>
  <c r="T61" i="3" s="1"/>
  <c r="CQ27" i="3"/>
  <c r="U44" i="3" s="1"/>
  <c r="CQ51" i="3"/>
  <c r="U92" i="3" s="1"/>
  <c r="CQ8" i="3"/>
  <c r="U7" i="3" s="1"/>
  <c r="CQ10" i="3"/>
  <c r="T15" i="3" s="1"/>
  <c r="CQ44" i="3"/>
  <c r="U80" i="3" s="1"/>
  <c r="CQ45" i="3"/>
  <c r="T81" i="3" s="1"/>
  <c r="CQ21" i="3"/>
  <c r="T32" i="3" s="1"/>
  <c r="CQ9" i="3"/>
  <c r="T8" i="3" s="1"/>
  <c r="CQ39" i="3"/>
  <c r="T73" i="3" s="1"/>
  <c r="CQ32" i="3"/>
  <c r="U56" i="3" s="1"/>
  <c r="CQ53" i="3"/>
  <c r="U93" i="3" s="1"/>
  <c r="CQ46" i="3"/>
  <c r="T86" i="3" s="1"/>
  <c r="CQ43" i="3"/>
  <c r="U77" i="3" s="1"/>
  <c r="CQ52" i="3"/>
  <c r="U94" i="3" s="1"/>
  <c r="CQ40" i="3"/>
  <c r="T69" i="3" s="1"/>
  <c r="CQ20" i="3"/>
  <c r="U31" i="3" s="1"/>
  <c r="CQ6" i="3"/>
  <c r="U8" i="3" s="1"/>
  <c r="CQ18" i="3"/>
  <c r="U32" i="3" s="1"/>
  <c r="CQ41" i="3"/>
  <c r="U69" i="3" s="1"/>
  <c r="CQ17" i="3"/>
  <c r="T22" i="3" s="1"/>
  <c r="CQ25" i="3"/>
  <c r="T39" i="3" s="1"/>
  <c r="CQ15" i="3"/>
  <c r="U22" i="3" s="1"/>
  <c r="CQ49" i="3"/>
  <c r="U85" i="3" s="1"/>
  <c r="CQ29" i="3"/>
  <c r="U45" i="3" s="1"/>
  <c r="CQ48" i="3"/>
  <c r="CQ37" i="3"/>
  <c r="T63" i="3" s="1"/>
  <c r="CQ34" i="3"/>
  <c r="T62" i="3" s="1"/>
  <c r="CQ31" i="3"/>
  <c r="T56" i="3" s="1"/>
  <c r="CQ33" i="3"/>
  <c r="T55" i="3" s="1"/>
  <c r="CQ16" i="3"/>
  <c r="U23" i="3" s="1"/>
  <c r="CQ13" i="3"/>
  <c r="T16" i="3" s="1"/>
  <c r="CQ42" i="3"/>
  <c r="T77" i="3" s="1"/>
  <c r="U96" i="3"/>
  <c r="T94" i="3"/>
  <c r="U84" i="3"/>
  <c r="T68" i="3" l="1"/>
  <c r="T70" i="3"/>
  <c r="U16" i="3"/>
  <c r="T9" i="3"/>
  <c r="T96" i="3"/>
  <c r="U17" i="3"/>
  <c r="U12" i="3"/>
  <c r="T17" i="3"/>
  <c r="U79" i="3"/>
  <c r="T84" i="3"/>
  <c r="T97" i="3"/>
  <c r="U47" i="3"/>
  <c r="T45" i="3"/>
  <c r="T72" i="3"/>
  <c r="U37" i="3"/>
  <c r="T36" i="3"/>
  <c r="CR23" i="3" s="1"/>
  <c r="U40" i="3"/>
  <c r="U30" i="3"/>
  <c r="T40" i="3"/>
  <c r="T12" i="3"/>
  <c r="U6" i="3"/>
  <c r="U9" i="3"/>
  <c r="T5" i="3"/>
  <c r="U95" i="3"/>
  <c r="U88" i="3"/>
  <c r="U89" i="3"/>
  <c r="U24" i="3"/>
  <c r="U78" i="3"/>
  <c r="T37" i="3"/>
  <c r="T79" i="3"/>
  <c r="CR43" i="3" s="1"/>
  <c r="T23" i="3"/>
  <c r="T57" i="3"/>
  <c r="U28" i="3"/>
  <c r="CR18" i="3" s="1"/>
  <c r="T76" i="3"/>
  <c r="U53" i="3"/>
  <c r="T88" i="3"/>
  <c r="T80" i="3"/>
  <c r="T24" i="3"/>
  <c r="U97" i="3"/>
  <c r="T87" i="3"/>
  <c r="CR47" i="3" s="1"/>
  <c r="U20" i="3"/>
  <c r="T25" i="3"/>
  <c r="U76" i="3"/>
  <c r="U38" i="3"/>
  <c r="CR22" i="3" s="1"/>
  <c r="U21" i="3"/>
  <c r="U64" i="3"/>
  <c r="T93" i="3"/>
  <c r="T21" i="3"/>
  <c r="T64" i="3"/>
  <c r="U63" i="3"/>
  <c r="T71" i="3"/>
  <c r="U25" i="3"/>
  <c r="CR15" i="3" s="1"/>
  <c r="U54" i="3"/>
  <c r="T13" i="3"/>
  <c r="CR13" i="3" s="1"/>
  <c r="T53" i="3"/>
  <c r="T89" i="3"/>
  <c r="CR48" i="3" s="1"/>
  <c r="T6" i="3"/>
  <c r="T28" i="3"/>
  <c r="U13" i="3"/>
  <c r="CR12" i="3" s="1"/>
  <c r="U39" i="3"/>
  <c r="T41" i="3"/>
  <c r="T31" i="3"/>
  <c r="T49" i="3"/>
  <c r="U57" i="3"/>
  <c r="T95" i="3"/>
  <c r="T65" i="3"/>
  <c r="T52" i="3"/>
  <c r="T44" i="3"/>
  <c r="U61" i="3"/>
  <c r="U87" i="3"/>
  <c r="U29" i="3"/>
  <c r="U73" i="3"/>
  <c r="U49" i="3"/>
  <c r="U5" i="3"/>
  <c r="U33" i="3"/>
  <c r="T7" i="3"/>
  <c r="U62" i="3"/>
  <c r="T48" i="3"/>
  <c r="CR28" i="3" s="1"/>
  <c r="U70" i="3"/>
  <c r="U71" i="3"/>
  <c r="CR41" i="3" s="1"/>
  <c r="CR10" i="3"/>
  <c r="U52" i="3"/>
  <c r="U46" i="3"/>
  <c r="U68" i="3"/>
  <c r="T46" i="3"/>
  <c r="U81" i="3"/>
  <c r="U86" i="3"/>
  <c r="CR46" i="3" s="1"/>
  <c r="T29" i="3"/>
  <c r="CR21" i="3" s="1"/>
  <c r="T85" i="3"/>
  <c r="T4" i="3"/>
  <c r="T60" i="3"/>
  <c r="U65" i="3"/>
  <c r="T30" i="3"/>
  <c r="U55" i="3"/>
  <c r="T78" i="3"/>
  <c r="T14" i="3"/>
  <c r="CR11" i="3" s="1"/>
  <c r="CR6" i="3"/>
  <c r="CR32" i="3"/>
  <c r="CR52" i="3"/>
  <c r="CR50" i="3"/>
  <c r="CR40" i="3"/>
  <c r="CR31" i="3"/>
  <c r="CR42" i="3"/>
  <c r="CR51" i="3" l="1"/>
  <c r="CR24" i="3"/>
  <c r="CR26" i="3"/>
  <c r="CR39" i="3"/>
  <c r="CR44" i="3"/>
  <c r="CR27" i="3"/>
  <c r="CR9" i="3"/>
  <c r="CR17" i="3"/>
  <c r="CR16" i="3"/>
  <c r="CR25" i="3"/>
  <c r="CR49" i="3"/>
  <c r="CR53" i="3"/>
  <c r="CR36" i="3"/>
  <c r="CR14" i="3"/>
  <c r="CR33" i="3"/>
  <c r="CR45" i="3"/>
  <c r="CR37" i="3"/>
  <c r="CR35" i="3"/>
  <c r="CR30" i="3"/>
  <c r="CR20" i="3"/>
  <c r="CR38" i="3"/>
  <c r="CR8" i="3"/>
  <c r="CR7" i="3"/>
  <c r="CR29" i="3"/>
  <c r="CR19" i="3"/>
  <c r="CR34" i="3"/>
  <c r="CS11" i="3" l="1"/>
  <c r="CS32" i="3"/>
  <c r="CS10" i="3"/>
  <c r="CS50" i="3"/>
  <c r="CS51" i="3"/>
  <c r="CS35" i="3"/>
  <c r="CS44" i="3"/>
  <c r="CS37" i="3"/>
  <c r="CS41" i="3"/>
  <c r="CS19" i="3"/>
  <c r="CS45" i="3"/>
  <c r="CS17" i="3"/>
  <c r="CS25" i="3"/>
  <c r="CS33" i="3"/>
  <c r="CS9" i="3"/>
  <c r="CS13" i="3"/>
  <c r="CS39" i="3"/>
  <c r="CS27" i="3"/>
  <c r="CS21" i="3"/>
  <c r="CS49" i="3"/>
  <c r="CS46" i="3"/>
  <c r="CS12" i="3"/>
  <c r="CS47" i="3"/>
  <c r="CS48" i="3"/>
  <c r="CS28" i="3"/>
  <c r="CS53" i="3"/>
  <c r="CS29" i="3"/>
  <c r="CS31" i="3"/>
  <c r="CS42" i="3"/>
  <c r="CS52" i="3"/>
  <c r="CS22" i="3"/>
  <c r="CS30" i="3"/>
  <c r="CS36" i="3"/>
  <c r="CS8" i="3"/>
  <c r="CS40" i="3"/>
  <c r="CS43" i="3"/>
  <c r="CS14" i="3"/>
  <c r="CS23" i="3"/>
  <c r="CS26" i="3"/>
  <c r="CS18" i="3"/>
  <c r="CS15" i="3"/>
  <c r="CS7" i="3"/>
  <c r="CS38" i="3"/>
  <c r="CS20" i="3"/>
  <c r="CS16" i="3"/>
  <c r="CS6" i="3"/>
  <c r="CS24" i="3"/>
  <c r="CS34" i="3"/>
  <c r="CT35" i="3" l="1"/>
  <c r="CU35" i="3" s="1"/>
  <c r="CT44" i="3"/>
  <c r="CU44" i="3" s="1"/>
  <c r="CT43" i="3"/>
  <c r="CU43" i="3" s="1"/>
  <c r="CT21" i="3"/>
  <c r="CU21" i="3" s="1"/>
  <c r="CT40" i="3"/>
  <c r="CU40" i="3" s="1"/>
  <c r="CT33" i="3"/>
  <c r="CU33" i="3" s="1"/>
  <c r="CT38" i="3"/>
  <c r="CU38" i="3" s="1"/>
  <c r="CT25" i="3"/>
  <c r="CU25" i="3" s="1"/>
  <c r="CT8" i="3"/>
  <c r="CU8" i="3" s="1"/>
  <c r="CT53" i="3"/>
  <c r="CU53" i="3" s="1"/>
  <c r="CT19" i="3"/>
  <c r="CU19" i="3" s="1"/>
  <c r="CT10" i="3"/>
  <c r="CU10" i="3" s="1"/>
  <c r="CT12" i="3"/>
  <c r="CU12" i="3" s="1"/>
  <c r="CT42" i="3"/>
  <c r="CU42" i="3" s="1"/>
  <c r="CT18" i="3"/>
  <c r="CU18" i="3" s="1"/>
  <c r="CT13" i="3"/>
  <c r="CU13" i="3" s="1"/>
  <c r="CT41" i="3"/>
  <c r="CU41" i="3" s="1"/>
  <c r="CT26" i="3"/>
  <c r="CU26" i="3" s="1"/>
  <c r="CT39" i="3"/>
  <c r="CU39" i="3" s="1"/>
  <c r="CT17" i="3"/>
  <c r="CU17" i="3" s="1"/>
  <c r="CT16" i="3"/>
  <c r="CU16" i="3" s="1"/>
  <c r="CT31" i="3"/>
  <c r="CU31" i="3" s="1"/>
  <c r="CT32" i="3"/>
  <c r="CU32" i="3" s="1"/>
  <c r="CT36" i="3"/>
  <c r="CU36" i="3" s="1"/>
  <c r="CT49" i="3"/>
  <c r="CU49" i="3" s="1"/>
  <c r="CT47" i="3"/>
  <c r="CU47" i="3" s="1"/>
  <c r="CT20" i="3"/>
  <c r="CU20" i="3" s="1"/>
  <c r="CT30" i="3"/>
  <c r="CU30" i="3" s="1"/>
  <c r="CT45" i="3"/>
  <c r="CU45" i="3" s="1"/>
  <c r="CT37" i="3"/>
  <c r="CU37" i="3" s="1"/>
  <c r="CT24" i="3"/>
  <c r="CU24" i="3" s="1"/>
  <c r="CT7" i="3"/>
  <c r="CU7" i="3" s="1"/>
  <c r="CT29" i="3"/>
  <c r="CU29" i="3" s="1"/>
  <c r="CT6" i="3"/>
  <c r="CU6" i="3" s="1"/>
  <c r="CT15" i="3"/>
  <c r="CU15" i="3" s="1"/>
  <c r="CT48" i="3"/>
  <c r="CU48" i="3" s="1"/>
  <c r="CT34" i="3"/>
  <c r="CU34" i="3" s="1"/>
  <c r="CT46" i="3"/>
  <c r="CU46" i="3" s="1"/>
  <c r="CT22" i="3"/>
  <c r="CU22" i="3" s="1"/>
  <c r="CT11" i="3"/>
  <c r="CU11" i="3" s="1"/>
  <c r="CT9" i="3"/>
  <c r="CU9" i="3" s="1"/>
  <c r="CT52" i="3"/>
  <c r="CU52" i="3" s="1"/>
  <c r="CT50" i="3"/>
  <c r="CU50" i="3" s="1"/>
  <c r="CT28" i="3"/>
  <c r="CU28" i="3" s="1"/>
  <c r="CT51" i="3"/>
  <c r="CU51" i="3" s="1"/>
  <c r="CT14" i="3"/>
  <c r="CU14" i="3" s="1"/>
  <c r="CT27" i="3"/>
  <c r="CU27" i="3" s="1"/>
  <c r="CT23" i="3"/>
  <c r="CU23" i="3" s="1"/>
  <c r="CV53" i="3" l="1"/>
  <c r="CV8" i="3"/>
  <c r="CV43" i="3"/>
  <c r="CV44" i="3"/>
  <c r="CV10" i="3"/>
  <c r="CV26" i="3"/>
  <c r="CV49" i="3"/>
  <c r="CV19" i="3"/>
  <c r="CV17" i="3"/>
  <c r="CV31" i="3"/>
  <c r="CV33" i="3"/>
  <c r="CV37" i="3"/>
  <c r="CV29" i="3"/>
  <c r="CV52" i="3"/>
  <c r="CV39" i="3"/>
  <c r="CV48" i="3"/>
  <c r="CV30" i="3"/>
  <c r="CV6" i="3"/>
  <c r="CV35" i="3"/>
  <c r="CV13" i="3"/>
  <c r="CV14" i="3"/>
  <c r="CV25" i="3"/>
  <c r="CV21" i="3"/>
  <c r="CV12" i="3"/>
  <c r="CV28" i="3"/>
  <c r="CV46" i="3"/>
  <c r="CV20" i="3"/>
  <c r="CV42" i="3"/>
  <c r="CV38" i="3"/>
  <c r="CV24" i="3"/>
  <c r="CV9" i="3"/>
  <c r="CV41" i="3"/>
  <c r="CV47" i="3"/>
  <c r="CV16" i="3"/>
  <c r="CV40" i="3"/>
  <c r="CV11" i="3"/>
  <c r="CV34" i="3"/>
  <c r="CV50" i="3"/>
  <c r="CV15" i="3"/>
  <c r="CV51" i="3"/>
  <c r="CV27" i="3"/>
  <c r="CV18" i="3"/>
  <c r="CV7" i="3"/>
  <c r="CV22" i="3"/>
  <c r="CV32" i="3"/>
  <c r="CV36" i="3"/>
  <c r="CV45" i="3"/>
  <c r="CV23" i="3"/>
  <c r="CW23" i="3" l="1"/>
  <c r="CX23" i="3" s="1"/>
  <c r="CW27" i="3"/>
  <c r="CX27" i="3" s="1"/>
  <c r="CW44" i="3"/>
  <c r="CX44" i="3" s="1"/>
  <c r="CW34" i="3"/>
  <c r="CX34" i="3" s="1"/>
  <c r="CW16" i="3"/>
  <c r="CX16" i="3" s="1"/>
  <c r="CW29" i="3"/>
  <c r="CX29" i="3" s="1"/>
  <c r="CW36" i="3"/>
  <c r="CX36" i="3" s="1"/>
  <c r="CW45" i="3"/>
  <c r="CX45" i="3" s="1"/>
  <c r="CW19" i="3"/>
  <c r="CX19" i="3" s="1"/>
  <c r="CW25" i="3"/>
  <c r="CX25" i="3" s="1"/>
  <c r="CW40" i="3"/>
  <c r="CX40" i="3" s="1"/>
  <c r="CW48" i="3"/>
  <c r="CX48" i="3" s="1"/>
  <c r="CW39" i="3"/>
  <c r="CX39" i="3" s="1"/>
  <c r="CW11" i="3"/>
  <c r="CX11" i="3" s="1"/>
  <c r="CW15" i="3"/>
  <c r="CX15" i="3" s="1"/>
  <c r="CW21" i="3"/>
  <c r="CX21" i="3" s="1"/>
  <c r="CW22" i="3"/>
  <c r="CX22" i="3" s="1"/>
  <c r="CW32" i="3"/>
  <c r="CX32" i="3" s="1"/>
  <c r="CW20" i="3"/>
  <c r="CX20" i="3" s="1"/>
  <c r="CW17" i="3"/>
  <c r="CX17" i="3" s="1"/>
  <c r="CW43" i="3"/>
  <c r="CX43" i="3" s="1"/>
  <c r="CW33" i="3"/>
  <c r="CX33" i="3" s="1"/>
  <c r="CW14" i="3"/>
  <c r="CX14" i="3" s="1"/>
  <c r="CW28" i="3"/>
  <c r="CX28" i="3" s="1"/>
  <c r="CW10" i="3"/>
  <c r="CX10" i="3" s="1"/>
  <c r="CW9" i="3"/>
  <c r="CX9" i="3" s="1"/>
  <c r="CW8" i="3"/>
  <c r="CX8" i="3" s="1"/>
  <c r="CW26" i="3"/>
  <c r="CX26" i="3" s="1"/>
  <c r="CW52" i="3"/>
  <c r="CX52" i="3" s="1"/>
  <c r="CW13" i="3"/>
  <c r="CX13" i="3" s="1"/>
  <c r="CW49" i="3"/>
  <c r="CX49" i="3" s="1"/>
  <c r="CW30" i="3"/>
  <c r="CX30" i="3" s="1"/>
  <c r="CW51" i="3"/>
  <c r="CX51" i="3" s="1"/>
  <c r="CW47" i="3"/>
  <c r="CX47" i="3" s="1"/>
  <c r="CW7" i="3"/>
  <c r="CX7" i="3" s="1"/>
  <c r="CW12" i="3"/>
  <c r="CX12" i="3" s="1"/>
  <c r="CW41" i="3"/>
  <c r="CX41" i="3" s="1"/>
  <c r="CW38" i="3"/>
  <c r="CX38" i="3" s="1"/>
  <c r="CW46" i="3"/>
  <c r="CX46" i="3" s="1"/>
  <c r="CW53" i="3"/>
  <c r="CX53" i="3" s="1"/>
  <c r="CW35" i="3"/>
  <c r="CX35" i="3" s="1"/>
  <c r="CW42" i="3"/>
  <c r="CX42" i="3" s="1"/>
  <c r="CW37" i="3"/>
  <c r="CX37" i="3" s="1"/>
  <c r="CW6" i="3"/>
  <c r="CX6" i="3" s="1"/>
  <c r="CW24" i="3"/>
  <c r="CX24" i="3" s="1"/>
  <c r="CW31" i="3"/>
  <c r="CX31" i="3" s="1"/>
  <c r="CW50" i="3"/>
  <c r="CX50" i="3" s="1"/>
  <c r="CW18" i="3"/>
  <c r="CX18" i="3" s="1"/>
  <c r="CY37" i="3" l="1"/>
  <c r="CY40" i="3"/>
  <c r="CY38" i="3"/>
  <c r="CY44" i="3"/>
  <c r="CY27" i="3"/>
  <c r="CY36" i="3"/>
  <c r="CY8" i="3"/>
  <c r="CY9" i="3"/>
  <c r="CY25" i="3"/>
  <c r="CY20" i="3"/>
  <c r="CY15" i="3"/>
  <c r="CY51" i="3"/>
  <c r="CY50" i="3"/>
  <c r="CY26" i="3"/>
  <c r="CY22" i="3"/>
  <c r="CY10" i="3"/>
  <c r="CY13" i="3"/>
  <c r="CY28" i="3"/>
  <c r="CY46" i="3"/>
  <c r="CY7" i="3"/>
  <c r="CY30" i="3"/>
  <c r="CY49" i="3"/>
  <c r="CY32" i="3"/>
  <c r="CY18" i="3"/>
  <c r="CY35" i="3"/>
  <c r="CY45" i="3"/>
  <c r="CY33" i="3"/>
  <c r="CY43" i="3"/>
  <c r="CY14" i="3"/>
  <c r="CY12" i="3"/>
  <c r="CY19" i="3"/>
  <c r="CY6" i="3"/>
  <c r="CY23" i="3"/>
  <c r="CY17" i="3"/>
  <c r="CY47" i="3"/>
  <c r="CY48" i="3"/>
  <c r="CY52" i="3"/>
  <c r="CY24" i="3"/>
  <c r="CY29" i="3"/>
  <c r="CY34" i="3"/>
  <c r="CY42" i="3"/>
  <c r="CY21" i="3"/>
  <c r="CY41" i="3"/>
  <c r="CY11" i="3"/>
  <c r="CY53" i="3"/>
  <c r="CY39" i="3"/>
  <c r="CY16" i="3"/>
  <c r="CY31" i="3"/>
  <c r="CZ39" i="3" l="1"/>
  <c r="DA39" i="3" s="1"/>
  <c r="CZ24" i="3"/>
  <c r="DA24" i="3" s="1"/>
  <c r="CZ40" i="3"/>
  <c r="DA40" i="3" s="1"/>
  <c r="CZ52" i="3"/>
  <c r="DA52" i="3" s="1"/>
  <c r="CZ47" i="3"/>
  <c r="DA47" i="3" s="1"/>
  <c r="CZ33" i="3"/>
  <c r="DA33" i="3" s="1"/>
  <c r="CZ46" i="3"/>
  <c r="DA46" i="3" s="1"/>
  <c r="CZ53" i="3"/>
  <c r="DA53" i="3" s="1"/>
  <c r="CZ41" i="3"/>
  <c r="DA41" i="3" s="1"/>
  <c r="CZ45" i="3"/>
  <c r="DA45" i="3" s="1"/>
  <c r="CZ20" i="3"/>
  <c r="DA20" i="3" s="1"/>
  <c r="CZ42" i="3"/>
  <c r="DA42" i="3" s="1"/>
  <c r="CZ23" i="3"/>
  <c r="DA23" i="3" s="1"/>
  <c r="CZ35" i="3"/>
  <c r="DA35" i="3" s="1"/>
  <c r="CZ19" i="3"/>
  <c r="DA19" i="3" s="1"/>
  <c r="CZ25" i="3"/>
  <c r="DA25" i="3" s="1"/>
  <c r="CZ32" i="3"/>
  <c r="DA32" i="3" s="1"/>
  <c r="CZ28" i="3"/>
  <c r="DA28" i="3" s="1"/>
  <c r="CZ31" i="3"/>
  <c r="DA31" i="3" s="1"/>
  <c r="CZ15" i="3"/>
  <c r="DA15" i="3" s="1"/>
  <c r="CZ22" i="3"/>
  <c r="DA22" i="3" s="1"/>
  <c r="CZ8" i="3"/>
  <c r="DA8" i="3" s="1"/>
  <c r="CZ11" i="3"/>
  <c r="DA11" i="3" s="1"/>
  <c r="CZ30" i="3"/>
  <c r="DA30" i="3" s="1"/>
  <c r="CZ26" i="3"/>
  <c r="DA26" i="3" s="1"/>
  <c r="CZ29" i="3"/>
  <c r="DA29" i="3" s="1"/>
  <c r="CZ6" i="3"/>
  <c r="DA6" i="3" s="1"/>
  <c r="CZ36" i="3"/>
  <c r="DA36" i="3" s="1"/>
  <c r="CZ37" i="3"/>
  <c r="DA37" i="3" s="1"/>
  <c r="CZ49" i="3"/>
  <c r="DA49" i="3" s="1"/>
  <c r="CZ12" i="3"/>
  <c r="DA12" i="3" s="1"/>
  <c r="CZ27" i="3"/>
  <c r="DA27" i="3" s="1"/>
  <c r="CZ34" i="3"/>
  <c r="DA34" i="3" s="1"/>
  <c r="CZ16" i="3"/>
  <c r="DA16" i="3" s="1"/>
  <c r="CZ51" i="3"/>
  <c r="DA51" i="3" s="1"/>
  <c r="CZ7" i="3"/>
  <c r="DA7" i="3" s="1"/>
  <c r="CZ48" i="3"/>
  <c r="DA48" i="3" s="1"/>
  <c r="CZ14" i="3"/>
  <c r="DA14" i="3" s="1"/>
  <c r="CZ9" i="3"/>
  <c r="DA9" i="3" s="1"/>
  <c r="CZ18" i="3"/>
  <c r="DA18" i="3" s="1"/>
  <c r="CZ13" i="3"/>
  <c r="DA13" i="3" s="1"/>
  <c r="CZ21" i="3"/>
  <c r="DA21" i="3" s="1"/>
  <c r="CZ38" i="3"/>
  <c r="DA38" i="3" s="1"/>
  <c r="CZ17" i="3"/>
  <c r="DA17" i="3" s="1"/>
  <c r="CZ50" i="3"/>
  <c r="DA50" i="3" s="1"/>
  <c r="CZ44" i="3"/>
  <c r="DA44" i="3" s="1"/>
  <c r="CZ43" i="3"/>
  <c r="DA43" i="3" s="1"/>
  <c r="CZ10" i="3"/>
  <c r="DA10" i="3" s="1"/>
  <c r="DB48" i="3" l="1"/>
  <c r="BM48" i="3" s="1"/>
  <c r="DB12" i="3"/>
  <c r="BM12" i="3" s="1"/>
  <c r="DB36" i="3"/>
  <c r="BM36" i="3" s="1"/>
  <c r="DB33" i="3"/>
  <c r="BM33" i="3" s="1"/>
  <c r="DB25" i="3"/>
  <c r="BM25" i="3" s="1"/>
  <c r="DB53" i="3"/>
  <c r="BM53" i="3" s="1"/>
  <c r="DB50" i="3"/>
  <c r="BM50" i="3" s="1"/>
  <c r="DB11" i="3"/>
  <c r="BM11" i="3" s="1"/>
  <c r="DB34" i="3"/>
  <c r="BM34" i="3" s="1"/>
  <c r="DB8" i="3"/>
  <c r="BM8" i="3" s="1"/>
  <c r="DB27" i="3"/>
  <c r="BM27" i="3" s="1"/>
  <c r="DB45" i="3"/>
  <c r="BM45" i="3" s="1"/>
  <c r="DB30" i="3"/>
  <c r="BM30" i="3" s="1"/>
  <c r="DB37" i="3"/>
  <c r="BM37" i="3" s="1"/>
  <c r="DB6" i="3"/>
  <c r="BM6" i="3" s="1"/>
  <c r="DB29" i="3"/>
  <c r="BM29" i="3" s="1"/>
  <c r="DB40" i="3"/>
  <c r="BM40" i="3" s="1"/>
  <c r="DB14" i="3"/>
  <c r="BM14" i="3" s="1"/>
  <c r="DB23" i="3"/>
  <c r="BM23" i="3" s="1"/>
  <c r="DB47" i="3"/>
  <c r="BM47" i="3" s="1"/>
  <c r="DB24" i="3"/>
  <c r="BM24" i="3" s="1"/>
  <c r="DB15" i="3"/>
  <c r="BM15" i="3" s="1"/>
  <c r="DB20" i="3"/>
  <c r="BM20" i="3" s="1"/>
  <c r="DB31" i="3"/>
  <c r="BM31" i="3" s="1"/>
  <c r="DB32" i="3"/>
  <c r="BM32" i="3" s="1"/>
  <c r="DB41" i="3"/>
  <c r="BM41" i="3" s="1"/>
  <c r="DB39" i="3"/>
  <c r="BM39" i="3" s="1"/>
  <c r="DB43" i="3"/>
  <c r="BM43" i="3" s="1"/>
  <c r="DB13" i="3"/>
  <c r="BM13" i="3" s="1"/>
  <c r="DB7" i="3"/>
  <c r="BM7" i="3" s="1"/>
  <c r="DB51" i="3"/>
  <c r="BM51" i="3" s="1"/>
  <c r="DB44" i="3"/>
  <c r="BM44" i="3" s="1"/>
  <c r="DB18" i="3"/>
  <c r="BM18" i="3" s="1"/>
  <c r="DB52" i="3"/>
  <c r="BM52" i="3" s="1"/>
  <c r="DB26" i="3"/>
  <c r="BM26" i="3" s="1"/>
  <c r="DB16" i="3"/>
  <c r="BM16" i="3" s="1"/>
  <c r="DB17" i="3"/>
  <c r="BM17" i="3" s="1"/>
  <c r="DB28" i="3"/>
  <c r="BM28" i="3" s="1"/>
  <c r="DB21" i="3"/>
  <c r="BM21" i="3" s="1"/>
  <c r="DB35" i="3"/>
  <c r="BM35" i="3" s="1"/>
  <c r="DB42" i="3"/>
  <c r="BM42" i="3" s="1"/>
  <c r="DB19" i="3"/>
  <c r="BM19" i="3" s="1"/>
  <c r="DB10" i="3"/>
  <c r="BM10" i="3" s="1"/>
  <c r="DB38" i="3"/>
  <c r="BM38" i="3" s="1"/>
  <c r="DB49" i="3"/>
  <c r="BM49" i="3" s="1"/>
  <c r="DB22" i="3"/>
  <c r="BM22" i="3" s="1"/>
  <c r="DB46" i="3"/>
  <c r="BM46" i="3" s="1"/>
  <c r="DB9" i="3"/>
  <c r="BM9" i="3" s="1"/>
  <c r="AV6" i="3" l="1"/>
  <c r="DO14" i="3"/>
  <c r="DH14" i="3" s="1"/>
  <c r="AV8" i="3"/>
  <c r="AV40" i="3"/>
  <c r="AV14" i="3"/>
  <c r="DO8" i="3"/>
  <c r="DH8" i="3" s="1"/>
  <c r="AV54" i="3"/>
  <c r="DO22" i="3"/>
  <c r="DH22" i="3" s="1"/>
  <c r="DO36" i="3"/>
  <c r="DH36" i="3" s="1"/>
  <c r="AV86" i="3"/>
  <c r="DO34" i="3"/>
  <c r="DH34" i="3" s="1"/>
  <c r="DO6" i="3"/>
  <c r="DH6" i="3" s="1"/>
  <c r="AV56" i="3"/>
  <c r="AV63" i="3"/>
  <c r="AV15" i="3"/>
  <c r="DO17" i="3"/>
  <c r="DH17" i="3" s="1"/>
  <c r="AV38" i="3"/>
  <c r="DO40" i="3"/>
  <c r="DH40" i="3" s="1"/>
  <c r="DO10" i="3"/>
  <c r="DH10" i="3" s="1"/>
  <c r="DO18" i="3"/>
  <c r="DH18" i="3" s="1"/>
  <c r="AV49" i="3"/>
  <c r="DO27" i="3"/>
  <c r="DH27" i="3" s="1"/>
  <c r="DO12" i="3"/>
  <c r="DH12" i="3" s="1"/>
  <c r="AV95" i="3"/>
  <c r="DO50" i="3"/>
  <c r="DH50" i="3" s="1"/>
  <c r="DO20" i="3"/>
  <c r="DH20" i="3" s="1"/>
  <c r="AV94" i="3"/>
  <c r="DO37" i="3"/>
  <c r="DH37" i="3" s="1"/>
  <c r="DO45" i="3"/>
  <c r="DH45" i="3" s="1"/>
  <c r="DO47" i="3"/>
  <c r="DH47" i="3" s="1"/>
  <c r="DO29" i="3"/>
  <c r="DH29" i="3" s="1"/>
  <c r="AV64" i="3"/>
  <c r="DO53" i="3"/>
  <c r="DH53" i="3" s="1"/>
  <c r="DO23" i="3"/>
  <c r="DH23" i="3" s="1"/>
  <c r="DO32" i="3"/>
  <c r="DH32" i="3" s="1"/>
  <c r="DO9" i="3"/>
  <c r="DH9" i="3" s="1"/>
  <c r="AV9" i="3"/>
  <c r="DO11" i="3"/>
  <c r="DH11" i="3" s="1"/>
  <c r="DO39" i="3"/>
  <c r="DH39" i="3" s="1"/>
  <c r="AV87" i="3"/>
  <c r="DO49" i="3"/>
  <c r="DH49" i="3" s="1"/>
  <c r="DO51" i="3"/>
  <c r="DH51" i="3" s="1"/>
  <c r="AV70" i="3"/>
  <c r="AV30" i="3"/>
  <c r="AV22" i="3"/>
  <c r="AV65" i="3"/>
  <c r="AV16" i="3"/>
  <c r="DO43" i="3"/>
  <c r="DH43" i="3" s="1"/>
  <c r="AV97" i="3"/>
  <c r="AV71" i="3"/>
  <c r="DO21" i="3"/>
  <c r="DH21" i="3" s="1"/>
  <c r="AV46" i="3"/>
  <c r="AV7" i="3"/>
  <c r="AV81" i="3"/>
  <c r="AV96" i="3"/>
  <c r="DO42" i="3"/>
  <c r="DH42" i="3" s="1"/>
  <c r="DO19" i="3"/>
  <c r="DH19" i="3" s="1"/>
  <c r="DO30" i="3"/>
  <c r="DH30" i="3" s="1"/>
  <c r="DO25" i="3"/>
  <c r="DH25" i="3" s="1"/>
  <c r="DO46" i="3"/>
  <c r="DH46" i="3" s="1"/>
  <c r="DO41" i="3"/>
  <c r="DH41" i="3" s="1"/>
  <c r="AV62" i="3"/>
  <c r="AV57" i="3"/>
  <c r="AV24" i="3"/>
  <c r="AV47" i="3"/>
  <c r="DO38" i="3"/>
  <c r="DH38" i="3" s="1"/>
  <c r="AV55" i="3"/>
  <c r="DO26" i="3"/>
  <c r="DH26" i="3" s="1"/>
  <c r="AV23" i="3"/>
  <c r="AV41" i="3"/>
  <c r="DO16" i="3"/>
  <c r="DH16" i="3" s="1"/>
  <c r="DO15" i="3"/>
  <c r="DH15" i="3" s="1"/>
  <c r="DO24" i="3"/>
  <c r="DH24" i="3" s="1"/>
  <c r="AV72" i="3"/>
  <c r="AV79" i="3"/>
  <c r="AV32" i="3"/>
  <c r="AV33" i="3"/>
  <c r="AV39" i="3"/>
  <c r="DO52" i="3"/>
  <c r="DH52" i="3" s="1"/>
  <c r="AV78" i="3"/>
  <c r="DO31" i="3"/>
  <c r="DH31" i="3" s="1"/>
  <c r="AV31" i="3"/>
  <c r="DO7" i="3"/>
  <c r="DH7" i="3" s="1"/>
  <c r="DO13" i="3"/>
  <c r="DH13" i="3" s="1"/>
  <c r="DO48" i="3"/>
  <c r="DH48" i="3" s="1"/>
  <c r="AV88" i="3"/>
  <c r="DO35" i="3"/>
  <c r="DH35" i="3" s="1"/>
  <c r="AV89" i="3"/>
  <c r="DO33" i="3"/>
  <c r="DH33" i="3" s="1"/>
  <c r="DO44" i="3"/>
  <c r="DH44" i="3" s="1"/>
  <c r="AV80" i="3"/>
  <c r="DO28" i="3"/>
  <c r="DH28" i="3" s="1"/>
  <c r="AV73" i="3"/>
  <c r="AV17" i="3"/>
  <c r="AV25" i="3"/>
  <c r="AV48" i="3"/>
  <c r="DD7" i="3" l="1"/>
  <c r="DD6" i="3"/>
  <c r="DD8" i="3"/>
  <c r="DD9" i="3"/>
  <c r="DJ51" i="3"/>
  <c r="AU95" i="3" s="1"/>
  <c r="DJ43" i="3"/>
  <c r="AU79" i="3" s="1"/>
  <c r="DJ47" i="3"/>
  <c r="AU87" i="3" s="1"/>
  <c r="DJ45" i="3"/>
  <c r="AU81" i="3" s="1"/>
  <c r="DJ19" i="3"/>
  <c r="AU31" i="3" s="1"/>
  <c r="DJ49" i="3"/>
  <c r="AU89" i="3" s="1"/>
  <c r="DJ38" i="3"/>
  <c r="AU70" i="3" s="1"/>
  <c r="DJ16" i="3"/>
  <c r="AU24" i="3" s="1"/>
  <c r="DJ39" i="3"/>
  <c r="AU71" i="3" s="1"/>
  <c r="DJ12" i="3"/>
  <c r="AU16" i="3" s="1"/>
  <c r="DJ44" i="3"/>
  <c r="AU80" i="3" s="1"/>
  <c r="DJ31" i="3"/>
  <c r="AU55" i="3" s="1"/>
  <c r="DJ29" i="3"/>
  <c r="AU49" i="3" s="1"/>
  <c r="DJ52" i="3"/>
  <c r="AU96" i="3" s="1"/>
  <c r="DJ53" i="3"/>
  <c r="AU97" i="3" s="1"/>
  <c r="DJ13" i="3"/>
  <c r="AU17" i="3" s="1"/>
  <c r="DJ35" i="3"/>
  <c r="AU63" i="3" s="1"/>
  <c r="DJ23" i="3"/>
  <c r="AU39" i="3" s="1"/>
  <c r="DJ22" i="3"/>
  <c r="AU38" i="3" s="1"/>
  <c r="DJ25" i="3"/>
  <c r="AU41" i="3" s="1"/>
  <c r="DJ33" i="3"/>
  <c r="AU57" i="3" s="1"/>
  <c r="DJ30" i="3"/>
  <c r="AU54" i="3" s="1"/>
  <c r="DJ48" i="3"/>
  <c r="AU88" i="3" s="1"/>
  <c r="DJ42" i="3"/>
  <c r="AU78" i="3" s="1"/>
  <c r="DJ40" i="3"/>
  <c r="AU72" i="3" s="1"/>
  <c r="DJ50" i="3"/>
  <c r="AU94" i="3" s="1"/>
  <c r="DJ41" i="3"/>
  <c r="AU73" i="3" s="1"/>
  <c r="DJ26" i="3"/>
  <c r="AU46" i="3" s="1"/>
  <c r="DJ36" i="3"/>
  <c r="AU64" i="3" s="1"/>
  <c r="DJ7" i="3"/>
  <c r="AU7" i="3" s="1"/>
  <c r="DJ27" i="3"/>
  <c r="AU47" i="3" s="1"/>
  <c r="DJ24" i="3"/>
  <c r="AU40" i="3" s="1"/>
  <c r="DJ15" i="3"/>
  <c r="AU23" i="3" s="1"/>
  <c r="DJ9" i="3"/>
  <c r="DJ11" i="3"/>
  <c r="AU15" i="3" s="1"/>
  <c r="DJ21" i="3"/>
  <c r="AU33" i="3" s="1"/>
  <c r="DJ18" i="3"/>
  <c r="AU30" i="3" s="1"/>
  <c r="DJ28" i="3"/>
  <c r="AU48" i="3" s="1"/>
  <c r="DJ20" i="3"/>
  <c r="AU32" i="3" s="1"/>
  <c r="DJ8" i="3"/>
  <c r="AU8" i="3" s="1"/>
  <c r="DJ17" i="3"/>
  <c r="AU25" i="3" s="1"/>
  <c r="DJ10" i="3"/>
  <c r="AU14" i="3" s="1"/>
  <c r="DJ34" i="3"/>
  <c r="AU62" i="3" s="1"/>
  <c r="DJ46" i="3"/>
  <c r="AU86" i="3" s="1"/>
  <c r="DJ37" i="3"/>
  <c r="AU65" i="3" s="1"/>
  <c r="DJ6" i="3"/>
  <c r="DK6" i="3" s="1"/>
  <c r="DJ32" i="3"/>
  <c r="AU56" i="3" s="1"/>
  <c r="DJ14" i="3"/>
  <c r="AU22" i="3" s="1"/>
  <c r="DK35" i="3" l="1"/>
  <c r="DL47" i="3" a="1"/>
  <c r="DL47" i="3" s="1"/>
  <c r="DK47" i="3"/>
  <c r="DL51" i="3" a="1"/>
  <c r="DL51" i="3" s="1"/>
  <c r="DK51" i="3"/>
  <c r="DL45" i="3" a="1"/>
  <c r="DL45" i="3" s="1"/>
  <c r="DK45" i="3"/>
  <c r="DL25" i="3" a="1"/>
  <c r="DL25" i="3" s="1"/>
  <c r="AU53" i="3"/>
  <c r="AV52" i="3" s="1"/>
  <c r="DL31" i="3" a="1"/>
  <c r="DL31" i="3" s="1"/>
  <c r="DL43" i="3" a="1"/>
  <c r="DL43" i="3" s="1"/>
  <c r="DK43" i="3"/>
  <c r="DL29" i="3" a="1"/>
  <c r="DL29" i="3" s="1"/>
  <c r="DK31" i="3"/>
  <c r="DK21" i="3"/>
  <c r="DK19" i="3"/>
  <c r="DL19" i="3" a="1"/>
  <c r="DL19" i="3" s="1"/>
  <c r="DK25" i="3"/>
  <c r="DK26" i="3"/>
  <c r="DL26" i="3" a="1"/>
  <c r="DL26" i="3" s="1"/>
  <c r="DK33" i="3"/>
  <c r="DL49" i="3" a="1"/>
  <c r="DL49" i="3" s="1"/>
  <c r="DK49" i="3"/>
  <c r="DK36" i="3"/>
  <c r="DL18" i="3" a="1"/>
  <c r="DL18" i="3" s="1"/>
  <c r="AU45" i="3"/>
  <c r="AV44" i="3" s="1"/>
  <c r="DL46" i="3" a="1"/>
  <c r="DL46" i="3" s="1"/>
  <c r="DK52" i="3"/>
  <c r="DL52" i="3" a="1"/>
  <c r="DL52" i="3" s="1"/>
  <c r="DK29" i="3"/>
  <c r="DL33" i="3" a="1"/>
  <c r="DL33" i="3" s="1"/>
  <c r="AU29" i="3"/>
  <c r="AV28" i="3" s="1"/>
  <c r="AU85" i="3"/>
  <c r="AV84" i="3" s="1"/>
  <c r="DK38" i="3"/>
  <c r="DL53" i="3" a="1"/>
  <c r="DL53" i="3" s="1"/>
  <c r="DL27" i="3" a="1"/>
  <c r="DL27" i="3" s="1"/>
  <c r="DK18" i="3"/>
  <c r="DL37" i="3" a="1"/>
  <c r="DL37" i="3" s="1"/>
  <c r="DL38" i="3" a="1"/>
  <c r="DL38" i="3" s="1"/>
  <c r="DL41" i="3" a="1"/>
  <c r="DL41" i="3" s="1"/>
  <c r="DL28" i="3" a="1"/>
  <c r="DL28" i="3" s="1"/>
  <c r="DL21" i="3" a="1"/>
  <c r="DL21" i="3" s="1"/>
  <c r="DK24" i="3"/>
  <c r="DK13" i="3"/>
  <c r="DK30" i="3"/>
  <c r="DK37" i="3"/>
  <c r="DL32" i="3" a="1"/>
  <c r="DL32" i="3" s="1"/>
  <c r="DK7" i="3"/>
  <c r="AU93" i="3"/>
  <c r="AV92" i="3" s="1"/>
  <c r="DK16" i="3"/>
  <c r="DK28" i="3"/>
  <c r="AU61" i="3"/>
  <c r="AV60" i="3" s="1"/>
  <c r="DK34" i="3"/>
  <c r="DK48" i="3"/>
  <c r="DK27" i="3"/>
  <c r="DK20" i="3"/>
  <c r="DL7" i="3" a="1"/>
  <c r="DL7" i="3" s="1"/>
  <c r="AU13" i="3"/>
  <c r="AV12" i="3" s="1"/>
  <c r="DD11" i="3" s="1"/>
  <c r="DL48" i="3" a="1"/>
  <c r="DL48" i="3" s="1"/>
  <c r="DK53" i="3"/>
  <c r="DL30" i="3" a="1"/>
  <c r="DL30" i="3" s="1"/>
  <c r="DL36" i="3" a="1"/>
  <c r="DL36" i="3" s="1"/>
  <c r="DK46" i="3"/>
  <c r="DK41" i="3"/>
  <c r="AU37" i="3"/>
  <c r="AV36" i="3" s="1"/>
  <c r="DK23" i="3"/>
  <c r="DL11" i="3" a="1"/>
  <c r="DL11" i="3" s="1"/>
  <c r="DL50" i="3" a="1"/>
  <c r="DL50" i="3" s="1"/>
  <c r="DL12" i="3" a="1"/>
  <c r="DL12" i="3" s="1"/>
  <c r="AU77" i="3"/>
  <c r="AV76" i="3" s="1"/>
  <c r="DK44" i="3"/>
  <c r="DL16" i="3" a="1"/>
  <c r="DL16" i="3" s="1"/>
  <c r="DK10" i="3"/>
  <c r="AU21" i="3"/>
  <c r="AV20" i="3" s="1"/>
  <c r="DL23" i="3" a="1"/>
  <c r="DL23" i="3" s="1"/>
  <c r="AU69" i="3"/>
  <c r="AV68" i="3" s="1"/>
  <c r="DL39" i="3" a="1"/>
  <c r="DL39" i="3" s="1"/>
  <c r="DL34" i="3" a="1"/>
  <c r="DL34" i="3" s="1"/>
  <c r="DK39" i="3"/>
  <c r="DL22" i="3" a="1"/>
  <c r="DL22" i="3" s="1"/>
  <c r="DL13" i="3" a="1"/>
  <c r="DL13" i="3" s="1"/>
  <c r="DK50" i="3"/>
  <c r="DL10" i="3" a="1"/>
  <c r="DL10" i="3" s="1"/>
  <c r="DL44" i="3" a="1"/>
  <c r="DL44" i="3" s="1"/>
  <c r="DL35" i="3" a="1"/>
  <c r="DL35" i="3" s="1"/>
  <c r="DK12" i="3"/>
  <c r="DK22" i="3"/>
  <c r="DK11" i="3"/>
  <c r="DL20" i="3" a="1"/>
  <c r="DL20" i="3" s="1"/>
  <c r="DK15" i="3"/>
  <c r="DL8" i="3" a="1"/>
  <c r="DL8" i="3" s="1"/>
  <c r="AU6" i="3"/>
  <c r="DL6" i="3" a="1"/>
  <c r="DL6" i="3" s="1"/>
  <c r="DL14" i="3" a="1"/>
  <c r="DL14" i="3" s="1"/>
  <c r="DK14" i="3"/>
  <c r="DK17" i="3"/>
  <c r="DL40" i="3" a="1"/>
  <c r="DL40" i="3" s="1"/>
  <c r="DK8" i="3"/>
  <c r="DL15" i="3" a="1"/>
  <c r="DL15" i="3" s="1"/>
  <c r="DK40" i="3"/>
  <c r="DL24" i="3" a="1"/>
  <c r="DL24" i="3" s="1"/>
  <c r="DL17" i="3" a="1"/>
  <c r="DL17" i="3" s="1"/>
  <c r="DK32" i="3"/>
  <c r="DL42" i="3" a="1"/>
  <c r="DL42" i="3" s="1"/>
  <c r="DK42" i="3"/>
  <c r="AU9" i="3"/>
  <c r="DL9" i="3" a="1"/>
  <c r="DL9" i="3" s="1"/>
  <c r="DK9" i="3"/>
  <c r="DD53" i="3" l="1"/>
  <c r="DD34" i="3"/>
  <c r="DD50" i="3"/>
  <c r="DD49" i="3"/>
  <c r="DD35" i="3"/>
  <c r="DD12" i="3"/>
  <c r="DD26" i="3"/>
  <c r="DD23" i="3"/>
  <c r="DD47" i="3"/>
  <c r="DD27" i="3"/>
  <c r="DD22" i="3"/>
  <c r="DD24" i="3"/>
  <c r="DD32" i="3"/>
  <c r="DD20" i="3"/>
  <c r="DD25" i="3"/>
  <c r="DD10" i="3"/>
  <c r="DD33" i="3"/>
  <c r="DD36" i="3"/>
  <c r="DD45" i="3"/>
  <c r="DD18" i="3"/>
  <c r="DD30" i="3"/>
  <c r="DD17" i="3"/>
  <c r="DD38" i="3"/>
  <c r="DD13" i="3"/>
  <c r="DD44" i="3"/>
  <c r="DD15" i="3"/>
  <c r="DD28" i="3"/>
  <c r="DD52" i="3"/>
  <c r="DD19" i="3"/>
  <c r="DD37" i="3"/>
  <c r="DD21" i="3"/>
  <c r="DD42" i="3"/>
  <c r="DD39" i="3"/>
  <c r="DD29" i="3"/>
  <c r="DD16" i="3"/>
  <c r="DD43" i="3"/>
  <c r="DD48" i="3"/>
  <c r="DD51" i="3"/>
  <c r="DD41" i="3"/>
  <c r="DD40" i="3"/>
  <c r="DD46" i="3"/>
  <c r="DD31" i="3"/>
  <c r="DD14" i="3"/>
  <c r="AU5" i="3"/>
  <c r="AV4" i="3" s="1"/>
  <c r="DE47" i="3" l="1"/>
  <c r="DE35" i="3"/>
  <c r="DE48" i="3"/>
  <c r="DE46" i="3"/>
  <c r="DE49" i="3"/>
  <c r="DE38" i="3"/>
  <c r="DE30" i="3"/>
  <c r="DE52" i="3"/>
  <c r="DE50" i="3"/>
  <c r="DE31" i="3"/>
  <c r="DE42" i="3"/>
  <c r="DE21" i="3"/>
  <c r="DE11" i="3"/>
  <c r="DE24" i="3"/>
  <c r="DE51" i="3"/>
  <c r="DE14" i="3"/>
  <c r="DE40" i="3"/>
  <c r="DE6" i="3"/>
  <c r="DE34" i="3"/>
  <c r="DE15" i="3"/>
  <c r="DE13" i="3"/>
  <c r="DE10" i="3"/>
  <c r="DE45" i="3"/>
  <c r="DE28" i="3"/>
  <c r="DE41" i="3"/>
  <c r="DE36" i="3"/>
  <c r="DE29" i="3"/>
  <c r="DE39" i="3"/>
  <c r="DE43" i="3"/>
  <c r="DE8" i="3"/>
  <c r="DE17" i="3"/>
  <c r="DE9" i="3"/>
  <c r="DE26" i="3"/>
  <c r="DE20" i="3"/>
  <c r="DE53" i="3"/>
  <c r="DE22" i="3"/>
  <c r="DE32" i="3"/>
  <c r="DE33" i="3"/>
  <c r="DE27" i="3"/>
  <c r="DE37" i="3"/>
  <c r="DE16" i="3"/>
  <c r="DE7" i="3"/>
  <c r="DE18" i="3"/>
  <c r="DE19" i="3"/>
  <c r="DE12" i="3"/>
  <c r="DE25" i="3"/>
  <c r="DE44" i="3"/>
  <c r="DE23" i="3"/>
  <c r="DF44" i="3" l="1"/>
  <c r="BN44" i="3" s="1"/>
  <c r="DF48" i="3"/>
  <c r="BN48" i="3" s="1"/>
  <c r="DF53" i="3"/>
  <c r="BN53" i="3" s="1"/>
  <c r="DF47" i="3"/>
  <c r="BN47" i="3" s="1"/>
  <c r="DF49" i="3"/>
  <c r="BN49" i="3" s="1"/>
  <c r="DF22" i="3"/>
  <c r="BN22" i="3" s="1"/>
  <c r="DF46" i="3"/>
  <c r="BN46" i="3" s="1"/>
  <c r="DF21" i="3"/>
  <c r="BN21" i="3" s="1"/>
  <c r="DF10" i="3"/>
  <c r="BN10" i="3" s="1"/>
  <c r="DF23" i="3"/>
  <c r="BN23" i="3" s="1"/>
  <c r="DF39" i="3"/>
  <c r="BN39" i="3" s="1"/>
  <c r="DF33" i="3"/>
  <c r="BN33" i="3" s="1"/>
  <c r="DF12" i="3"/>
  <c r="BN12" i="3" s="1"/>
  <c r="DF9" i="3"/>
  <c r="BN9" i="3" s="1"/>
  <c r="DF25" i="3"/>
  <c r="BN25" i="3" s="1"/>
  <c r="DF45" i="3"/>
  <c r="BN45" i="3" s="1"/>
  <c r="DF26" i="3"/>
  <c r="BN26" i="3" s="1"/>
  <c r="DF32" i="3"/>
  <c r="BN32" i="3" s="1"/>
  <c r="DF27" i="3"/>
  <c r="BN27" i="3" s="1"/>
  <c r="DF38" i="3"/>
  <c r="BN38" i="3" s="1"/>
  <c r="DF16" i="3"/>
  <c r="BN16" i="3" s="1"/>
  <c r="DF13" i="3"/>
  <c r="BN13" i="3" s="1"/>
  <c r="DF8" i="3"/>
  <c r="BN8" i="3" s="1"/>
  <c r="DF50" i="3"/>
  <c r="BN50" i="3" s="1"/>
  <c r="DF31" i="3"/>
  <c r="BN31" i="3" s="1"/>
  <c r="DF14" i="3"/>
  <c r="BN14" i="3" s="1"/>
  <c r="DF35" i="3"/>
  <c r="BN35" i="3" s="1"/>
  <c r="DF19" i="3"/>
  <c r="BN19" i="3" s="1"/>
  <c r="DF24" i="3"/>
  <c r="BN24" i="3" s="1"/>
  <c r="DF36" i="3"/>
  <c r="BN36" i="3" s="1"/>
  <c r="DF28" i="3"/>
  <c r="BN28" i="3" s="1"/>
  <c r="DF11" i="3"/>
  <c r="BN11" i="3" s="1"/>
  <c r="DF40" i="3"/>
  <c r="BN40" i="3" s="1"/>
  <c r="DF6" i="3"/>
  <c r="BN6" i="3" s="1"/>
  <c r="DF17" i="3"/>
  <c r="BN17" i="3" s="1"/>
  <c r="DF34" i="3"/>
  <c r="BN34" i="3" s="1"/>
  <c r="DF52" i="3"/>
  <c r="BN52" i="3" s="1"/>
  <c r="DF37" i="3"/>
  <c r="BN37" i="3" s="1"/>
  <c r="DF43" i="3"/>
  <c r="BN43" i="3" s="1"/>
  <c r="DF29" i="3"/>
  <c r="BN29" i="3" s="1"/>
  <c r="DF15" i="3"/>
  <c r="BN15" i="3" s="1"/>
  <c r="DF42" i="3"/>
  <c r="BN42" i="3" s="1"/>
  <c r="DF18" i="3"/>
  <c r="BN18" i="3" s="1"/>
  <c r="DF51" i="3"/>
  <c r="BN51" i="3" s="1"/>
  <c r="DF30" i="3"/>
  <c r="BN30" i="3" s="1"/>
  <c r="DF41" i="3"/>
  <c r="BN41" i="3" s="1"/>
  <c r="DF7" i="3"/>
  <c r="BN7" i="3" s="1"/>
  <c r="DF20" i="3"/>
  <c r="BN20" i="3" s="1"/>
  <c r="BI58" i="3" l="1"/>
  <c r="BG60" i="3"/>
  <c r="BL68" i="3"/>
  <c r="AL33" i="3"/>
  <c r="AR33" i="3" s="1"/>
  <c r="BD59" i="3"/>
  <c r="E86" i="40" s="1"/>
  <c r="AL16" i="3"/>
  <c r="AR16" i="3" s="1"/>
  <c r="AL14" i="3"/>
  <c r="M113" i="3" s="1"/>
  <c r="AA113" i="3" s="1"/>
  <c r="BE67" i="3"/>
  <c r="BP67" i="3" s="1"/>
  <c r="AL70" i="3"/>
  <c r="AO70" i="3" s="1"/>
  <c r="BI61" i="3"/>
  <c r="BH58" i="3"/>
  <c r="BK59" i="3"/>
  <c r="AL55" i="3"/>
  <c r="T5" i="45" s="1"/>
  <c r="BK58" i="3"/>
  <c r="AL56" i="3"/>
  <c r="AN56" i="3" s="1"/>
  <c r="AL15" i="3"/>
  <c r="AK15" i="3" s="1"/>
  <c r="BE62" i="3"/>
  <c r="BP62" i="3" s="1"/>
  <c r="BL58" i="3"/>
  <c r="AL95" i="3"/>
  <c r="AM95" i="3" s="1"/>
  <c r="U45" i="45" s="1"/>
  <c r="AL17" i="3"/>
  <c r="AM17" i="3" s="1"/>
  <c r="I15" i="45" s="1"/>
  <c r="BD65" i="3"/>
  <c r="G17" i="40" s="1"/>
  <c r="AL57" i="3"/>
  <c r="AO57" i="3" s="1"/>
  <c r="AL23" i="3"/>
  <c r="AR23" i="3" s="1"/>
  <c r="BH60" i="3"/>
  <c r="AL24" i="3"/>
  <c r="AQ24" i="3" s="1"/>
  <c r="BJ67" i="3"/>
  <c r="BF58" i="3"/>
  <c r="BJ66" i="3"/>
  <c r="BF66" i="3"/>
  <c r="BI63" i="3"/>
  <c r="AL31" i="3"/>
  <c r="AO31" i="3" s="1"/>
  <c r="BJ65" i="3"/>
  <c r="BI62" i="3"/>
  <c r="AL25" i="3"/>
  <c r="AK25" i="3" s="1"/>
  <c r="BL61" i="3"/>
  <c r="BD67" i="3"/>
  <c r="D416" i="40" s="1"/>
  <c r="BF65" i="3"/>
  <c r="BG65" i="3"/>
  <c r="AL71" i="3"/>
  <c r="N106" i="3" s="1"/>
  <c r="AL78" i="3"/>
  <c r="AR78" i="3" s="1"/>
  <c r="BG63" i="3"/>
  <c r="BK63" i="3"/>
  <c r="BH69" i="3"/>
  <c r="BL60" i="3"/>
  <c r="AL38" i="3"/>
  <c r="AN38" i="3" s="1"/>
  <c r="BE63" i="3"/>
  <c r="BP63" i="3" s="1"/>
  <c r="BH68" i="3"/>
  <c r="AL30" i="3"/>
  <c r="M109" i="3" s="1"/>
  <c r="AL32" i="3"/>
  <c r="AK32" i="3" s="1"/>
  <c r="BJ59" i="3"/>
  <c r="AL73" i="3"/>
  <c r="AR73" i="3" s="1"/>
  <c r="AL54" i="3"/>
  <c r="AR54" i="3" s="1"/>
  <c r="BD69" i="3"/>
  <c r="I254" i="40" s="1"/>
  <c r="BL67" i="3"/>
  <c r="BE68" i="3"/>
  <c r="BP68" i="3" s="1"/>
  <c r="BK69" i="3"/>
  <c r="BJ58" i="3"/>
  <c r="BH63" i="3"/>
  <c r="AL80" i="3"/>
  <c r="AS80" i="3" s="1"/>
  <c r="BJ63" i="3"/>
  <c r="AL22" i="3"/>
  <c r="H20" i="45" s="1"/>
  <c r="AL89" i="3"/>
  <c r="AS89" i="3" s="1"/>
  <c r="BF67" i="3"/>
  <c r="BI60" i="3"/>
  <c r="BI59" i="3"/>
  <c r="BI68" i="3"/>
  <c r="BJ62" i="3"/>
  <c r="BL64" i="3"/>
  <c r="BF69" i="3"/>
  <c r="BL65" i="3"/>
  <c r="BK60" i="3"/>
  <c r="BE59" i="3"/>
  <c r="BP59" i="3" s="1"/>
  <c r="AL79" i="3"/>
  <c r="T29" i="45" s="1"/>
  <c r="AL41" i="3"/>
  <c r="AM41" i="3" s="1"/>
  <c r="I39" i="45" s="1"/>
  <c r="BD63" i="3"/>
  <c r="H216" i="40" s="1"/>
  <c r="BI64" i="3"/>
  <c r="AL46" i="3"/>
  <c r="AP46" i="3" s="1"/>
  <c r="AL8" i="3"/>
  <c r="AL39" i="3"/>
  <c r="AL49" i="3"/>
  <c r="H47" i="45" s="1"/>
  <c r="BF68" i="3"/>
  <c r="BJ69" i="3"/>
  <c r="AL9" i="3"/>
  <c r="H7" i="45" s="1"/>
  <c r="AL81" i="3"/>
  <c r="AM81" i="3" s="1"/>
  <c r="U31" i="45" s="1"/>
  <c r="BD61" i="3"/>
  <c r="BL66" i="3"/>
  <c r="BF59" i="3"/>
  <c r="BL59" i="3"/>
  <c r="BE61" i="3"/>
  <c r="BP61" i="3" s="1"/>
  <c r="BG66" i="3"/>
  <c r="BE66" i="3"/>
  <c r="BP66" i="3" s="1"/>
  <c r="BG59" i="3"/>
  <c r="BH61" i="3"/>
  <c r="BL69" i="3"/>
  <c r="BI66" i="3"/>
  <c r="BD60" i="3"/>
  <c r="F95" i="40" s="1"/>
  <c r="BG67" i="3"/>
  <c r="BG58" i="3"/>
  <c r="BD68" i="3"/>
  <c r="J192" i="40" s="1"/>
  <c r="BD64" i="3"/>
  <c r="H376" i="40" s="1"/>
  <c r="BK68" i="3"/>
  <c r="BE65" i="3"/>
  <c r="BP65" i="3" s="1"/>
  <c r="BG62" i="3"/>
  <c r="BD62" i="3"/>
  <c r="C419" i="40" s="1"/>
  <c r="BI65" i="3"/>
  <c r="BG61" i="3"/>
  <c r="AL64" i="3"/>
  <c r="BH62" i="3"/>
  <c r="BK62" i="3"/>
  <c r="AL62" i="3"/>
  <c r="M112" i="3" s="1"/>
  <c r="BL63" i="3"/>
  <c r="AL63" i="3"/>
  <c r="AS63" i="3" s="1"/>
  <c r="BH67" i="3"/>
  <c r="BF63" i="3"/>
  <c r="BJ61" i="3"/>
  <c r="BJ60" i="3"/>
  <c r="BG69" i="3"/>
  <c r="BD58" i="3"/>
  <c r="G246" i="40" s="1"/>
  <c r="BE58" i="3"/>
  <c r="BP58" i="3" s="1"/>
  <c r="AL40" i="3"/>
  <c r="AK40" i="3" s="1"/>
  <c r="AL97" i="3"/>
  <c r="AP97" i="3" s="1"/>
  <c r="BJ64" i="3"/>
  <c r="AL47" i="3"/>
  <c r="BF62" i="3"/>
  <c r="BK66" i="3"/>
  <c r="BH59" i="3"/>
  <c r="BH65" i="3"/>
  <c r="BI69" i="3"/>
  <c r="BG68" i="3"/>
  <c r="AL6" i="3"/>
  <c r="H4" i="45" s="1"/>
  <c r="BK64" i="3"/>
  <c r="AL48" i="3"/>
  <c r="H46" i="45" s="1"/>
  <c r="AL96" i="3"/>
  <c r="AM96" i="3" s="1"/>
  <c r="U46" i="45" s="1"/>
  <c r="BH66" i="3"/>
  <c r="AL65" i="3"/>
  <c r="AN65" i="3" s="1"/>
  <c r="BF60" i="3"/>
  <c r="AL72" i="3"/>
  <c r="AL88" i="3"/>
  <c r="AQ88" i="3" s="1"/>
  <c r="BE69" i="3"/>
  <c r="BP69" i="3" s="1"/>
  <c r="BF61" i="3"/>
  <c r="BD66" i="3"/>
  <c r="J244" i="40" s="1"/>
  <c r="BK67" i="3"/>
  <c r="BE60" i="3"/>
  <c r="BP60" i="3" s="1"/>
  <c r="BK61" i="3"/>
  <c r="BL62" i="3"/>
  <c r="AL87" i="3"/>
  <c r="AP87" i="3" s="1"/>
  <c r="BJ68" i="3"/>
  <c r="BH64" i="3"/>
  <c r="BG64" i="3"/>
  <c r="BK65" i="3"/>
  <c r="BE64" i="3"/>
  <c r="BP64" i="3" s="1"/>
  <c r="AL86" i="3"/>
  <c r="AQ86" i="3" s="1"/>
  <c r="AL94" i="3"/>
  <c r="T44" i="45" s="1"/>
  <c r="BI67" i="3"/>
  <c r="BF64" i="3"/>
  <c r="AL7" i="3"/>
  <c r="AR7" i="3" s="1"/>
  <c r="N116" i="3"/>
  <c r="AM70" i="3"/>
  <c r="U20" i="45" s="1"/>
  <c r="M110" i="3"/>
  <c r="N112" i="3"/>
  <c r="AM24" i="3"/>
  <c r="I22" i="45" s="1"/>
  <c r="N111" i="3" l="1"/>
  <c r="M108" i="3"/>
  <c r="AA108" i="3" s="1"/>
  <c r="AT79" i="3"/>
  <c r="V29" i="45" s="1"/>
  <c r="M102" i="3"/>
  <c r="M111" i="3"/>
  <c r="AA112" i="3" s="1"/>
  <c r="AN25" i="3"/>
  <c r="M114" i="3"/>
  <c r="AA115" i="3" s="1"/>
  <c r="C144" i="31" s="1"/>
  <c r="N103" i="3"/>
  <c r="M104" i="3"/>
  <c r="N101" i="3"/>
  <c r="M115" i="3"/>
  <c r="N114" i="3"/>
  <c r="J490" i="40"/>
  <c r="C26" i="40"/>
  <c r="C477" i="40"/>
  <c r="C184" i="40"/>
  <c r="AT40" i="3"/>
  <c r="J38" i="45" s="1"/>
  <c r="C182" i="40"/>
  <c r="J272" i="40"/>
  <c r="C223" i="40"/>
  <c r="G298" i="40"/>
  <c r="H297" i="40"/>
  <c r="F217" i="40"/>
  <c r="C158" i="40"/>
  <c r="F476" i="40"/>
  <c r="AO49" i="3"/>
  <c r="J492" i="40"/>
  <c r="AT41" i="3"/>
  <c r="J39" i="45" s="1"/>
  <c r="AS25" i="3"/>
  <c r="AO41" i="3"/>
  <c r="I146" i="40"/>
  <c r="C269" i="40"/>
  <c r="F407" i="40"/>
  <c r="C153" i="40"/>
  <c r="C495" i="40"/>
  <c r="F399" i="40"/>
  <c r="F410" i="40"/>
  <c r="C129" i="40"/>
  <c r="F376" i="40"/>
  <c r="F139" i="40"/>
  <c r="F221" i="40"/>
  <c r="F387" i="40"/>
  <c r="F223" i="40"/>
  <c r="F112" i="40"/>
  <c r="C155" i="40"/>
  <c r="F83" i="40"/>
  <c r="C154" i="40"/>
  <c r="C237" i="40"/>
  <c r="AP49" i="3"/>
  <c r="F451" i="40"/>
  <c r="F286" i="40"/>
  <c r="F87" i="40"/>
  <c r="C272" i="40"/>
  <c r="C489" i="40"/>
  <c r="C357" i="40"/>
  <c r="C219" i="40"/>
  <c r="G66" i="40"/>
  <c r="D375" i="40"/>
  <c r="I43" i="40"/>
  <c r="F206" i="40"/>
  <c r="C482" i="40"/>
  <c r="H174" i="40"/>
  <c r="C178" i="40"/>
  <c r="E17" i="40"/>
  <c r="D295" i="40"/>
  <c r="C361" i="40"/>
  <c r="J226" i="40"/>
  <c r="AQ32" i="3"/>
  <c r="F273" i="40"/>
  <c r="F397" i="40"/>
  <c r="F204" i="40"/>
  <c r="G125" i="40"/>
  <c r="AQ33" i="3"/>
  <c r="AM54" i="3"/>
  <c r="U4" i="45" s="1"/>
  <c r="D329" i="40"/>
  <c r="H377" i="40"/>
  <c r="C294" i="40"/>
  <c r="C214" i="40"/>
  <c r="C407" i="40"/>
  <c r="C393" i="40"/>
  <c r="AT25" i="3"/>
  <c r="J23" i="45" s="1"/>
  <c r="D148" i="40"/>
  <c r="C338" i="40"/>
  <c r="E189" i="40"/>
  <c r="C73" i="40"/>
  <c r="F427" i="40"/>
  <c r="F15" i="40"/>
  <c r="F378" i="40"/>
  <c r="C120" i="40"/>
  <c r="AQ41" i="3"/>
  <c r="T45" i="45"/>
  <c r="I370" i="40"/>
  <c r="H226" i="40"/>
  <c r="C76" i="40"/>
  <c r="AN95" i="3"/>
  <c r="H284" i="40"/>
  <c r="C340" i="40"/>
  <c r="C257" i="40"/>
  <c r="D414" i="40"/>
  <c r="AR25" i="3"/>
  <c r="H456" i="40"/>
  <c r="H15" i="45"/>
  <c r="AO17" i="3"/>
  <c r="D56" i="40"/>
  <c r="G165" i="40"/>
  <c r="AN33" i="3"/>
  <c r="AT17" i="3"/>
  <c r="J15" i="45" s="1"/>
  <c r="G82" i="40"/>
  <c r="D402" i="40"/>
  <c r="D62" i="40"/>
  <c r="G86" i="40"/>
  <c r="D399" i="40"/>
  <c r="E232" i="40"/>
  <c r="D220" i="40"/>
  <c r="G40" i="40"/>
  <c r="H195" i="40"/>
  <c r="D288" i="40"/>
  <c r="D294" i="40"/>
  <c r="G110" i="40"/>
  <c r="AP17" i="3"/>
  <c r="H100" i="40"/>
  <c r="D12" i="40"/>
  <c r="AQ54" i="3"/>
  <c r="G57" i="40"/>
  <c r="D255" i="40"/>
  <c r="D168" i="40"/>
  <c r="D305" i="40"/>
  <c r="H25" i="40"/>
  <c r="AR17" i="3"/>
  <c r="G112" i="40"/>
  <c r="G3" i="40"/>
  <c r="D121" i="40"/>
  <c r="E199" i="40"/>
  <c r="E263" i="40"/>
  <c r="H285" i="40"/>
  <c r="AQ17" i="3"/>
  <c r="C93" i="40"/>
  <c r="I495" i="40"/>
  <c r="C174" i="40"/>
  <c r="AQ73" i="3"/>
  <c r="D403" i="40"/>
  <c r="D91" i="40"/>
  <c r="H31" i="45"/>
  <c r="AM33" i="3"/>
  <c r="I31" i="45" s="1"/>
  <c r="G115" i="40"/>
  <c r="D211" i="40"/>
  <c r="E278" i="40"/>
  <c r="H379" i="40"/>
  <c r="E271" i="40"/>
  <c r="AS73" i="3"/>
  <c r="W23" i="45" s="1"/>
  <c r="D153" i="40"/>
  <c r="D325" i="40"/>
  <c r="AT33" i="3"/>
  <c r="J31" i="45" s="1"/>
  <c r="H107" i="40"/>
  <c r="D397" i="40"/>
  <c r="G60" i="40"/>
  <c r="D462" i="40"/>
  <c r="AS17" i="3"/>
  <c r="D393" i="40"/>
  <c r="D117" i="40"/>
  <c r="J390" i="40"/>
  <c r="AN17" i="3"/>
  <c r="H102" i="40"/>
  <c r="H419" i="40"/>
  <c r="D428" i="40"/>
  <c r="D290" i="40"/>
  <c r="AK33" i="3"/>
  <c r="D376" i="40"/>
  <c r="D412" i="40"/>
  <c r="D382" i="40"/>
  <c r="AS33" i="3"/>
  <c r="K31" i="45" s="1"/>
  <c r="E22" i="40"/>
  <c r="D310" i="40"/>
  <c r="AK17" i="3"/>
  <c r="H276" i="40"/>
  <c r="H453" i="40"/>
  <c r="D449" i="40"/>
  <c r="D296" i="40"/>
  <c r="E174" i="40"/>
  <c r="D20" i="40"/>
  <c r="D471" i="40"/>
  <c r="AT24" i="3"/>
  <c r="J22" i="45" s="1"/>
  <c r="AP24" i="3"/>
  <c r="AK79" i="3"/>
  <c r="AT49" i="3"/>
  <c r="J47" i="45" s="1"/>
  <c r="C243" i="40"/>
  <c r="F403" i="40"/>
  <c r="F437" i="40"/>
  <c r="F428" i="40"/>
  <c r="F230" i="40"/>
  <c r="F136" i="40"/>
  <c r="F89" i="40"/>
  <c r="C150" i="40"/>
  <c r="C161" i="40"/>
  <c r="F256" i="40"/>
  <c r="F412" i="40"/>
  <c r="F393" i="40"/>
  <c r="F145" i="40"/>
  <c r="F460" i="40"/>
  <c r="T20" i="45"/>
  <c r="AO24" i="3"/>
  <c r="AQ79" i="3"/>
  <c r="AK49" i="3"/>
  <c r="AN79" i="3"/>
  <c r="F90" i="40"/>
  <c r="C151" i="40"/>
  <c r="F134" i="40"/>
  <c r="F418" i="40"/>
  <c r="C281" i="40"/>
  <c r="AN24" i="3"/>
  <c r="F99" i="40"/>
  <c r="C447" i="40"/>
  <c r="C485" i="40"/>
  <c r="F394" i="40"/>
  <c r="C32" i="40"/>
  <c r="F97" i="40"/>
  <c r="F480" i="40"/>
  <c r="C486" i="40"/>
  <c r="F404" i="40"/>
  <c r="C121" i="40"/>
  <c r="F103" i="40"/>
  <c r="AS79" i="3"/>
  <c r="AR79" i="3"/>
  <c r="AQ49" i="3"/>
  <c r="AO79" i="3"/>
  <c r="C130" i="40"/>
  <c r="F390" i="40"/>
  <c r="F94" i="40"/>
  <c r="F377" i="40"/>
  <c r="AM32" i="3"/>
  <c r="I30" i="45" s="1"/>
  <c r="AR24" i="3"/>
  <c r="H392" i="40"/>
  <c r="F133" i="40"/>
  <c r="F115" i="40"/>
  <c r="F248" i="40"/>
  <c r="F208" i="40"/>
  <c r="C247" i="40"/>
  <c r="F438" i="40"/>
  <c r="F402" i="40"/>
  <c r="F259" i="40"/>
  <c r="F144" i="40"/>
  <c r="F111" i="40"/>
  <c r="AM79" i="3"/>
  <c r="U29" i="45" s="1"/>
  <c r="AR49" i="3"/>
  <c r="F462" i="40"/>
  <c r="F375" i="40"/>
  <c r="C125" i="40"/>
  <c r="C43" i="40"/>
  <c r="F423" i="40"/>
  <c r="F386" i="40"/>
  <c r="F275" i="40"/>
  <c r="C278" i="40"/>
  <c r="F479" i="40"/>
  <c r="C123" i="40"/>
  <c r="C164" i="40"/>
  <c r="F426" i="40"/>
  <c r="F13" i="40"/>
  <c r="F433" i="40"/>
  <c r="F371" i="40"/>
  <c r="F265" i="40"/>
  <c r="F14" i="40"/>
  <c r="AP79" i="3"/>
  <c r="AS49" i="3"/>
  <c r="AM49" i="3"/>
  <c r="I47" i="45" s="1"/>
  <c r="AN49" i="3"/>
  <c r="F30" i="40"/>
  <c r="C484" i="40"/>
  <c r="F266" i="40"/>
  <c r="F467" i="40"/>
  <c r="F257" i="40"/>
  <c r="F239" i="40"/>
  <c r="F274" i="40"/>
  <c r="C245" i="40"/>
  <c r="F477" i="40"/>
  <c r="F261" i="40"/>
  <c r="C148" i="40"/>
  <c r="F420" i="40"/>
  <c r="C45" i="40"/>
  <c r="F416" i="40"/>
  <c r="F449" i="40"/>
  <c r="F391" i="40"/>
  <c r="F227" i="40"/>
  <c r="C34" i="40"/>
  <c r="C279" i="40"/>
  <c r="C277" i="40"/>
  <c r="F260" i="40"/>
  <c r="F461" i="40"/>
  <c r="F238" i="40"/>
  <c r="F241" i="40"/>
  <c r="F135" i="40"/>
  <c r="F215" i="40"/>
  <c r="C162" i="40"/>
  <c r="C270" i="40"/>
  <c r="F465" i="40"/>
  <c r="C268" i="40"/>
  <c r="C280" i="40"/>
  <c r="F109" i="40"/>
  <c r="F19" i="40"/>
  <c r="J18" i="40"/>
  <c r="AN40" i="3"/>
  <c r="H321" i="40"/>
  <c r="H496" i="40"/>
  <c r="H190" i="40"/>
  <c r="C345" i="40"/>
  <c r="H200" i="40"/>
  <c r="I263" i="40"/>
  <c r="J423" i="40"/>
  <c r="I479" i="40"/>
  <c r="H324" i="40"/>
  <c r="C259" i="40"/>
  <c r="AM40" i="3"/>
  <c r="I38" i="45" s="1"/>
  <c r="H217" i="40"/>
  <c r="H413" i="40"/>
  <c r="H332" i="40"/>
  <c r="E44" i="40"/>
  <c r="C306" i="40"/>
  <c r="H106" i="40"/>
  <c r="I360" i="40"/>
  <c r="H166" i="40"/>
  <c r="AT95" i="3"/>
  <c r="V45" i="45" s="1"/>
  <c r="H68" i="40"/>
  <c r="H9" i="40"/>
  <c r="AQ97" i="3"/>
  <c r="H87" i="40"/>
  <c r="H229" i="40"/>
  <c r="H60" i="40"/>
  <c r="F311" i="40"/>
  <c r="H82" i="40"/>
  <c r="H223" i="40"/>
  <c r="H451" i="40"/>
  <c r="H220" i="40"/>
  <c r="H442" i="40"/>
  <c r="C329" i="40"/>
  <c r="H247" i="40"/>
  <c r="H248" i="40"/>
  <c r="H366" i="40"/>
  <c r="H127" i="40"/>
  <c r="H362" i="40"/>
  <c r="F174" i="40"/>
  <c r="H422" i="40"/>
  <c r="H381" i="40"/>
  <c r="H368" i="40"/>
  <c r="H445" i="40"/>
  <c r="F310" i="40"/>
  <c r="AP73" i="3"/>
  <c r="H359" i="40"/>
  <c r="F382" i="40"/>
  <c r="H225" i="40"/>
  <c r="H18" i="40"/>
  <c r="H32" i="40"/>
  <c r="H128" i="40"/>
  <c r="AP80" i="3"/>
  <c r="AS95" i="3"/>
  <c r="H388" i="40"/>
  <c r="H367" i="40"/>
  <c r="H360" i="40"/>
  <c r="H17" i="40"/>
  <c r="H208" i="40"/>
  <c r="AQ95" i="3"/>
  <c r="H202" i="40"/>
  <c r="F304" i="40"/>
  <c r="H489" i="40"/>
  <c r="H423" i="40"/>
  <c r="H288" i="40"/>
  <c r="H161" i="40"/>
  <c r="H89" i="40"/>
  <c r="H44" i="40"/>
  <c r="H98" i="40"/>
  <c r="H224" i="40"/>
  <c r="H219" i="40"/>
  <c r="AR95" i="3"/>
  <c r="H34" i="40"/>
  <c r="AO80" i="3"/>
  <c r="H126" i="40"/>
  <c r="H43" i="40"/>
  <c r="H300" i="40"/>
  <c r="H159" i="40"/>
  <c r="H39" i="40"/>
  <c r="F53" i="40"/>
  <c r="AK95" i="3"/>
  <c r="F302" i="40"/>
  <c r="H331" i="40"/>
  <c r="H105" i="40"/>
  <c r="F169" i="40"/>
  <c r="H71" i="40"/>
  <c r="H363" i="40"/>
  <c r="H492" i="40"/>
  <c r="H418" i="40"/>
  <c r="H389" i="40"/>
  <c r="D450" i="40"/>
  <c r="H45" i="40"/>
  <c r="H20" i="40"/>
  <c r="F167" i="40"/>
  <c r="H163" i="40"/>
  <c r="AN73" i="3"/>
  <c r="H410" i="40"/>
  <c r="H408" i="40"/>
  <c r="H424" i="40"/>
  <c r="H357" i="40"/>
  <c r="H351" i="40"/>
  <c r="H206" i="40"/>
  <c r="C326" i="40"/>
  <c r="H122" i="40"/>
  <c r="AO95" i="3"/>
  <c r="H452" i="40"/>
  <c r="H81" i="40"/>
  <c r="H59" i="40"/>
  <c r="H333" i="40"/>
  <c r="F2" i="40"/>
  <c r="H56" i="40"/>
  <c r="H221" i="40"/>
  <c r="H14" i="40"/>
  <c r="H417" i="40"/>
  <c r="H57" i="40"/>
  <c r="H390" i="40"/>
  <c r="H267" i="40"/>
  <c r="F52" i="40"/>
  <c r="H165" i="40"/>
  <c r="T23" i="45"/>
  <c r="AP95" i="3"/>
  <c r="H131" i="40"/>
  <c r="H386" i="40"/>
  <c r="F51" i="40"/>
  <c r="H457" i="40"/>
  <c r="E250" i="40"/>
  <c r="H75" i="40"/>
  <c r="F303" i="40"/>
  <c r="H118" i="40"/>
  <c r="H280" i="40"/>
  <c r="H205" i="40"/>
  <c r="H193" i="40"/>
  <c r="H38" i="40"/>
  <c r="H125" i="40"/>
  <c r="F173" i="40"/>
  <c r="H204" i="40"/>
  <c r="H22" i="40"/>
  <c r="H454" i="40"/>
  <c r="H251" i="40"/>
  <c r="H61" i="40"/>
  <c r="H96" i="40"/>
  <c r="H35" i="40"/>
  <c r="H13" i="40"/>
  <c r="F308" i="40"/>
  <c r="AT80" i="3"/>
  <c r="V30" i="45" s="1"/>
  <c r="H130" i="40"/>
  <c r="D446" i="40"/>
  <c r="D239" i="40"/>
  <c r="H369" i="40"/>
  <c r="H370" i="40"/>
  <c r="H154" i="40"/>
  <c r="H483" i="40"/>
  <c r="H11" i="40"/>
  <c r="H484" i="40"/>
  <c r="H358" i="40"/>
  <c r="F54" i="40"/>
  <c r="H334" i="40"/>
  <c r="H383" i="40"/>
  <c r="H327" i="40"/>
  <c r="H177" i="40"/>
  <c r="H79" i="40"/>
  <c r="D488" i="40"/>
  <c r="H387" i="40"/>
  <c r="H69" i="40"/>
  <c r="H201" i="40"/>
  <c r="AM73" i="3"/>
  <c r="U23" i="45" s="1"/>
  <c r="AO73" i="3"/>
  <c r="AT73" i="3"/>
  <c r="V23" i="45" s="1"/>
  <c r="H278" i="40"/>
  <c r="F314" i="40"/>
  <c r="F307" i="40"/>
  <c r="H158" i="40"/>
  <c r="H245" i="40"/>
  <c r="H455" i="40"/>
  <c r="H108" i="40"/>
  <c r="H7" i="40"/>
  <c r="H197" i="40"/>
  <c r="H73" i="40"/>
  <c r="H37" i="40"/>
  <c r="H411" i="40"/>
  <c r="H123" i="40"/>
  <c r="H74" i="40"/>
  <c r="F384" i="40"/>
  <c r="H352" i="40"/>
  <c r="H335" i="40"/>
  <c r="H15" i="40"/>
  <c r="H58" i="40"/>
  <c r="H273" i="40"/>
  <c r="H104" i="40"/>
  <c r="E241" i="40"/>
  <c r="AK73" i="3"/>
  <c r="AN97" i="3"/>
  <c r="H330" i="40"/>
  <c r="H180" i="40"/>
  <c r="H279" i="40"/>
  <c r="H409" i="40"/>
  <c r="C392" i="40"/>
  <c r="E269" i="40"/>
  <c r="D469" i="40"/>
  <c r="E37" i="40"/>
  <c r="C18" i="40"/>
  <c r="I46" i="40"/>
  <c r="E246" i="40"/>
  <c r="H150" i="40"/>
  <c r="H164" i="40"/>
  <c r="H72" i="40"/>
  <c r="AS40" i="3"/>
  <c r="D34" i="40"/>
  <c r="C296" i="40"/>
  <c r="C363" i="40"/>
  <c r="J412" i="40"/>
  <c r="C172" i="40"/>
  <c r="C222" i="40"/>
  <c r="I164" i="40"/>
  <c r="C50" i="40"/>
  <c r="D489" i="40"/>
  <c r="AN9" i="3"/>
  <c r="C141" i="40"/>
  <c r="C96" i="40"/>
  <c r="E365" i="40"/>
  <c r="E97" i="40"/>
  <c r="E375" i="40"/>
  <c r="H443" i="40"/>
  <c r="H99" i="40"/>
  <c r="H291" i="40"/>
  <c r="H244" i="40"/>
  <c r="H199" i="40"/>
  <c r="H21" i="40"/>
  <c r="H36" i="40"/>
  <c r="H149" i="40"/>
  <c r="H103" i="40"/>
  <c r="E380" i="40"/>
  <c r="E140" i="40"/>
  <c r="C168" i="40"/>
  <c r="C194" i="40"/>
  <c r="E197" i="40"/>
  <c r="C409" i="40"/>
  <c r="C398" i="40"/>
  <c r="E225" i="40"/>
  <c r="E220" i="40"/>
  <c r="D415" i="40"/>
  <c r="H421" i="40"/>
  <c r="H323" i="40"/>
  <c r="H425" i="40"/>
  <c r="H365" i="40"/>
  <c r="H444" i="40"/>
  <c r="H192" i="40"/>
  <c r="J402" i="40"/>
  <c r="D466" i="40"/>
  <c r="H196" i="40"/>
  <c r="H493" i="40"/>
  <c r="C139" i="40"/>
  <c r="H494" i="40"/>
  <c r="H80" i="40"/>
  <c r="H495" i="40"/>
  <c r="C74" i="40"/>
  <c r="I314" i="40"/>
  <c r="I227" i="40"/>
  <c r="F385" i="40"/>
  <c r="H209" i="40"/>
  <c r="H354" i="40"/>
  <c r="H268" i="40"/>
  <c r="F309" i="40"/>
  <c r="H227" i="40"/>
  <c r="H486" i="40"/>
  <c r="I156" i="40"/>
  <c r="E45" i="40"/>
  <c r="E92" i="40"/>
  <c r="E67" i="40"/>
  <c r="E431" i="40"/>
  <c r="E288" i="40"/>
  <c r="E304" i="40"/>
  <c r="E490" i="40"/>
  <c r="E463" i="40"/>
  <c r="E384" i="40"/>
  <c r="E367" i="40"/>
  <c r="E287" i="40"/>
  <c r="E478" i="40"/>
  <c r="E335" i="40"/>
  <c r="E361" i="40"/>
  <c r="C71" i="40"/>
  <c r="AR97" i="3"/>
  <c r="H6" i="40"/>
  <c r="H101" i="40"/>
  <c r="H491" i="40"/>
  <c r="H306" i="40"/>
  <c r="H461" i="40"/>
  <c r="E275" i="40"/>
  <c r="H207" i="40"/>
  <c r="H162" i="40"/>
  <c r="C9" i="40"/>
  <c r="C104" i="40"/>
  <c r="C400" i="40"/>
  <c r="E219" i="40"/>
  <c r="C473" i="40"/>
  <c r="E276" i="40"/>
  <c r="J42" i="40"/>
  <c r="C53" i="40"/>
  <c r="J346" i="40"/>
  <c r="I487" i="40"/>
  <c r="G160" i="40"/>
  <c r="C212" i="40"/>
  <c r="C213" i="40"/>
  <c r="C305" i="40"/>
  <c r="D268" i="40"/>
  <c r="C343" i="40"/>
  <c r="E217" i="40"/>
  <c r="C108" i="40"/>
  <c r="C52" i="40"/>
  <c r="G157" i="40"/>
  <c r="C397" i="40"/>
  <c r="C309" i="40"/>
  <c r="C297" i="40"/>
  <c r="I199" i="40"/>
  <c r="C136" i="40"/>
  <c r="C51" i="40"/>
  <c r="C474" i="40"/>
  <c r="C14" i="40"/>
  <c r="C31" i="40"/>
  <c r="E265" i="40"/>
  <c r="C394" i="40"/>
  <c r="C339" i="40"/>
  <c r="C137" i="40"/>
  <c r="C105" i="40"/>
  <c r="I230" i="40"/>
  <c r="J356" i="40"/>
  <c r="C12" i="40"/>
  <c r="C349" i="40"/>
  <c r="E200" i="40"/>
  <c r="C295" i="40"/>
  <c r="D485" i="40"/>
  <c r="C8" i="40"/>
  <c r="C140" i="40"/>
  <c r="D190" i="40"/>
  <c r="J285" i="40"/>
  <c r="C405" i="40"/>
  <c r="J278" i="40"/>
  <c r="C298" i="40"/>
  <c r="C260" i="40"/>
  <c r="C15" i="40"/>
  <c r="C48" i="40"/>
  <c r="E281" i="40"/>
  <c r="E255" i="40"/>
  <c r="C221" i="40"/>
  <c r="AT97" i="3"/>
  <c r="V47" i="45" s="1"/>
  <c r="H38" i="45"/>
  <c r="E273" i="40"/>
  <c r="C49" i="40"/>
  <c r="C103" i="40"/>
  <c r="C109" i="40"/>
  <c r="C216" i="40"/>
  <c r="E267" i="40"/>
  <c r="C171" i="40"/>
  <c r="J106" i="40"/>
  <c r="I79" i="40"/>
  <c r="E256" i="40"/>
  <c r="C302" i="40"/>
  <c r="C395" i="40"/>
  <c r="C396" i="40"/>
  <c r="F313" i="40"/>
  <c r="F312" i="40"/>
  <c r="C328" i="40"/>
  <c r="H460" i="40"/>
  <c r="H33" i="40"/>
  <c r="H5" i="40"/>
  <c r="E274" i="40"/>
  <c r="C252" i="40"/>
  <c r="C92" i="40"/>
  <c r="T47" i="45"/>
  <c r="C313" i="40"/>
  <c r="D275" i="40"/>
  <c r="J152" i="40"/>
  <c r="J78" i="40"/>
  <c r="C70" i="40"/>
  <c r="D151" i="40"/>
  <c r="E264" i="40"/>
  <c r="G150" i="40"/>
  <c r="D274" i="40"/>
  <c r="E229" i="40"/>
  <c r="D271" i="40"/>
  <c r="G147" i="40"/>
  <c r="C169" i="40"/>
  <c r="C29" i="40"/>
  <c r="E253" i="40"/>
  <c r="D154" i="40"/>
  <c r="C145" i="40"/>
  <c r="C54" i="40"/>
  <c r="C304" i="40"/>
  <c r="C6" i="40"/>
  <c r="C463" i="40"/>
  <c r="C80" i="40"/>
  <c r="E192" i="40"/>
  <c r="I357" i="40"/>
  <c r="E261" i="40"/>
  <c r="J198" i="40"/>
  <c r="C472" i="40"/>
  <c r="C17" i="40"/>
  <c r="C99" i="40"/>
  <c r="C215" i="40"/>
  <c r="C102" i="40"/>
  <c r="E284" i="40"/>
  <c r="J310" i="40"/>
  <c r="J367" i="40"/>
  <c r="C337" i="40"/>
  <c r="H228" i="40"/>
  <c r="H160" i="40"/>
  <c r="F290" i="40"/>
  <c r="H77" i="40"/>
  <c r="H355" i="40"/>
  <c r="H84" i="40"/>
  <c r="H124" i="40"/>
  <c r="H109" i="40"/>
  <c r="F305" i="40"/>
  <c r="H188" i="40"/>
  <c r="H151" i="40"/>
  <c r="C408" i="40"/>
  <c r="I481" i="40"/>
  <c r="AN80" i="3"/>
  <c r="AK80" i="3"/>
  <c r="AN57" i="3"/>
  <c r="AF114" i="3"/>
  <c r="AA43" i="45" s="1"/>
  <c r="E72" i="40"/>
  <c r="E146" i="40"/>
  <c r="E55" i="40"/>
  <c r="I92" i="40"/>
  <c r="E436" i="40"/>
  <c r="C459" i="40"/>
  <c r="E491" i="40"/>
  <c r="E350" i="40"/>
  <c r="E343" i="40"/>
  <c r="E126" i="40"/>
  <c r="E403" i="40"/>
  <c r="E147" i="40"/>
  <c r="E309" i="40"/>
  <c r="E47" i="40"/>
  <c r="E65" i="40"/>
  <c r="E81" i="40"/>
  <c r="E416" i="40"/>
  <c r="D250" i="40"/>
  <c r="E461" i="40"/>
  <c r="E120" i="40"/>
  <c r="E447" i="40"/>
  <c r="E129" i="40"/>
  <c r="E330" i="40"/>
  <c r="E104" i="40"/>
  <c r="E422" i="40"/>
  <c r="E443" i="40"/>
  <c r="E320" i="40"/>
  <c r="E373" i="40"/>
  <c r="I356" i="40"/>
  <c r="C2" i="40"/>
  <c r="C28" i="40"/>
  <c r="C348" i="40"/>
  <c r="C63" i="40"/>
  <c r="C299" i="40"/>
  <c r="D411" i="40"/>
  <c r="D486" i="40"/>
  <c r="C68" i="40"/>
  <c r="I400" i="40"/>
  <c r="AR40" i="3"/>
  <c r="AS97" i="3"/>
  <c r="C101" i="40"/>
  <c r="J496" i="40"/>
  <c r="C365" i="40"/>
  <c r="E228" i="40"/>
  <c r="I480" i="40"/>
  <c r="C188" i="40"/>
  <c r="I424" i="40"/>
  <c r="C66" i="40"/>
  <c r="C81" i="40"/>
  <c r="E270" i="40"/>
  <c r="E35" i="40"/>
  <c r="C462" i="40"/>
  <c r="C476" i="40"/>
  <c r="E277" i="40"/>
  <c r="I347" i="40"/>
  <c r="AQ80" i="3"/>
  <c r="I432" i="40"/>
  <c r="C291" i="40"/>
  <c r="I218" i="40"/>
  <c r="I409" i="40"/>
  <c r="E69" i="40"/>
  <c r="E121" i="40"/>
  <c r="E62" i="40"/>
  <c r="E396" i="40"/>
  <c r="E414" i="40"/>
  <c r="E329" i="40"/>
  <c r="E107" i="40"/>
  <c r="E294" i="40"/>
  <c r="E482" i="40"/>
  <c r="E393" i="40"/>
  <c r="E322" i="40"/>
  <c r="E68" i="40"/>
  <c r="I361" i="40"/>
  <c r="I176" i="40"/>
  <c r="E341" i="40"/>
  <c r="C429" i="40"/>
  <c r="E454" i="40"/>
  <c r="E158" i="40"/>
  <c r="I262" i="40"/>
  <c r="E125" i="40"/>
  <c r="E307" i="40"/>
  <c r="E402" i="40"/>
  <c r="E123" i="40"/>
  <c r="E73" i="40"/>
  <c r="E64" i="40"/>
  <c r="E331" i="40"/>
  <c r="E82" i="40"/>
  <c r="E370" i="40"/>
  <c r="E157" i="40"/>
  <c r="E315" i="40"/>
  <c r="E117" i="40"/>
  <c r="E407" i="40"/>
  <c r="AQ22" i="3"/>
  <c r="E405" i="40"/>
  <c r="E345" i="40"/>
  <c r="E96" i="40"/>
  <c r="E410" i="40"/>
  <c r="E112" i="40"/>
  <c r="I197" i="40"/>
  <c r="E293" i="40"/>
  <c r="G153" i="40"/>
  <c r="E312" i="40"/>
  <c r="E429" i="40"/>
  <c r="E88" i="40"/>
  <c r="E425" i="40"/>
  <c r="E313" i="40"/>
  <c r="E142" i="40"/>
  <c r="E49" i="40"/>
  <c r="E144" i="40"/>
  <c r="E130" i="40"/>
  <c r="E83" i="40"/>
  <c r="E495" i="40"/>
  <c r="C387" i="40"/>
  <c r="J66" i="40"/>
  <c r="AR80" i="3"/>
  <c r="W30" i="45" s="1"/>
  <c r="J478" i="40"/>
  <c r="I350" i="40"/>
  <c r="C351" i="40"/>
  <c r="C344" i="40"/>
  <c r="C134" i="40"/>
  <c r="I311" i="40"/>
  <c r="J483" i="40"/>
  <c r="C138" i="40"/>
  <c r="I151" i="40"/>
  <c r="I467" i="40"/>
  <c r="I19" i="40"/>
  <c r="E114" i="40"/>
  <c r="C231" i="40"/>
  <c r="C142" i="40"/>
  <c r="C450" i="40"/>
  <c r="AR55" i="3"/>
  <c r="I173" i="40"/>
  <c r="E100" i="40"/>
  <c r="E371" i="40"/>
  <c r="I242" i="40"/>
  <c r="I274" i="40"/>
  <c r="C266" i="40"/>
  <c r="G144" i="40"/>
  <c r="AM55" i="3"/>
  <c r="U5" i="45" s="1"/>
  <c r="I77" i="40"/>
  <c r="I269" i="40"/>
  <c r="E420" i="40"/>
  <c r="G36" i="40"/>
  <c r="C131" i="40"/>
  <c r="AA110" i="3"/>
  <c r="AA21" i="45" s="1"/>
  <c r="AA111" i="3"/>
  <c r="AA18" i="45" s="1"/>
  <c r="D155" i="40"/>
  <c r="C75" i="40"/>
  <c r="AF111" i="3"/>
  <c r="C156" i="31" s="1"/>
  <c r="E38" i="40"/>
  <c r="J283" i="40"/>
  <c r="J165" i="40"/>
  <c r="C399" i="40"/>
  <c r="C100" i="40"/>
  <c r="C308" i="40"/>
  <c r="AA109" i="3"/>
  <c r="AA24" i="45" s="1"/>
  <c r="AF112" i="3"/>
  <c r="C157" i="31" s="1"/>
  <c r="AS9" i="3"/>
  <c r="T4" i="45"/>
  <c r="D35" i="40"/>
  <c r="D204" i="40"/>
  <c r="D343" i="40"/>
  <c r="E195" i="40"/>
  <c r="G122" i="40"/>
  <c r="D53" i="40"/>
  <c r="D409" i="40"/>
  <c r="E186" i="40"/>
  <c r="E30" i="40"/>
  <c r="D100" i="40"/>
  <c r="J369" i="40"/>
  <c r="D341" i="40"/>
  <c r="D320" i="40"/>
  <c r="G103" i="40"/>
  <c r="G107" i="40"/>
  <c r="D272" i="40"/>
  <c r="E224" i="40"/>
  <c r="J366" i="40"/>
  <c r="D240" i="40"/>
  <c r="J331" i="40"/>
  <c r="E171" i="40"/>
  <c r="G11" i="40"/>
  <c r="E178" i="40"/>
  <c r="D431" i="40"/>
  <c r="D120" i="40"/>
  <c r="G113" i="40"/>
  <c r="G78" i="40"/>
  <c r="E215" i="40"/>
  <c r="D63" i="40"/>
  <c r="D395" i="40"/>
  <c r="E242" i="40"/>
  <c r="G27" i="40"/>
  <c r="G124" i="40"/>
  <c r="G142" i="40"/>
  <c r="D326" i="40"/>
  <c r="D49" i="40"/>
  <c r="D287" i="40"/>
  <c r="E248" i="40"/>
  <c r="D175" i="40"/>
  <c r="D150" i="40"/>
  <c r="D2" i="40"/>
  <c r="D467" i="40"/>
  <c r="E205" i="40"/>
  <c r="E208" i="40"/>
  <c r="D84" i="40"/>
  <c r="D371" i="40"/>
  <c r="D328" i="40"/>
  <c r="E7" i="40"/>
  <c r="G58" i="40"/>
  <c r="D380" i="40"/>
  <c r="D378" i="40"/>
  <c r="D298" i="40"/>
  <c r="D90" i="40"/>
  <c r="D406" i="40"/>
  <c r="D217" i="40"/>
  <c r="D445" i="40"/>
  <c r="D292" i="40"/>
  <c r="D54" i="40"/>
  <c r="D238" i="40"/>
  <c r="AM9" i="3"/>
  <c r="I7" i="45" s="1"/>
  <c r="AT54" i="3"/>
  <c r="V4" i="45" s="1"/>
  <c r="AP54" i="3"/>
  <c r="D136" i="40"/>
  <c r="D69" i="40"/>
  <c r="D36" i="40"/>
  <c r="E25" i="40"/>
  <c r="E244" i="40"/>
  <c r="E198" i="40"/>
  <c r="G89" i="40"/>
  <c r="D152" i="40"/>
  <c r="G19" i="40"/>
  <c r="D396" i="40"/>
  <c r="D256" i="40"/>
  <c r="D435" i="40"/>
  <c r="J425" i="40"/>
  <c r="E236" i="40"/>
  <c r="D96" i="40"/>
  <c r="D304" i="40"/>
  <c r="E31" i="40"/>
  <c r="D344" i="40"/>
  <c r="D188" i="40"/>
  <c r="D303" i="40"/>
  <c r="D33" i="40"/>
  <c r="E46" i="40"/>
  <c r="D324" i="40"/>
  <c r="D434" i="40"/>
  <c r="D72" i="40"/>
  <c r="E227" i="40"/>
  <c r="D340" i="40"/>
  <c r="J460" i="40"/>
  <c r="G146" i="40"/>
  <c r="G116" i="40"/>
  <c r="D314" i="40"/>
  <c r="AK9" i="3"/>
  <c r="AP9" i="3"/>
  <c r="AK54" i="3"/>
  <c r="D210" i="40"/>
  <c r="D346" i="40"/>
  <c r="D241" i="40"/>
  <c r="I438" i="40"/>
  <c r="J418" i="40"/>
  <c r="D55" i="40"/>
  <c r="D83" i="40"/>
  <c r="D252" i="40"/>
  <c r="J335" i="40"/>
  <c r="D360" i="40"/>
  <c r="D356" i="40"/>
  <c r="D308" i="40"/>
  <c r="J437" i="40"/>
  <c r="E279" i="40"/>
  <c r="E180" i="40"/>
  <c r="D447" i="40"/>
  <c r="D26" i="40"/>
  <c r="D451" i="40"/>
  <c r="E247" i="40"/>
  <c r="E18" i="40"/>
  <c r="E28" i="40"/>
  <c r="D321" i="40"/>
  <c r="D97" i="40"/>
  <c r="D442" i="40"/>
  <c r="D67" i="40"/>
  <c r="D203" i="40"/>
  <c r="J480" i="40"/>
  <c r="E266" i="40"/>
  <c r="D237" i="40"/>
  <c r="G75" i="40"/>
  <c r="D253" i="40"/>
  <c r="E285" i="40"/>
  <c r="D4" i="40"/>
  <c r="D353" i="40"/>
  <c r="G128" i="40"/>
  <c r="D50" i="40"/>
  <c r="D5" i="40"/>
  <c r="E206" i="40"/>
  <c r="E223" i="40"/>
  <c r="D68" i="40"/>
  <c r="D400" i="40"/>
  <c r="G61" i="40"/>
  <c r="E262" i="40"/>
  <c r="E184" i="40"/>
  <c r="E230" i="40"/>
  <c r="D270" i="40"/>
  <c r="E181" i="40"/>
  <c r="G76" i="40"/>
  <c r="E226" i="40"/>
  <c r="AO9" i="3"/>
  <c r="AQ9" i="3"/>
  <c r="AN54" i="3"/>
  <c r="D149" i="40"/>
  <c r="D377" i="40"/>
  <c r="J362" i="40"/>
  <c r="D47" i="40"/>
  <c r="D384" i="40"/>
  <c r="E245" i="40"/>
  <c r="G104" i="40"/>
  <c r="D354" i="40"/>
  <c r="D483" i="40"/>
  <c r="D64" i="40"/>
  <c r="E214" i="40"/>
  <c r="D99" i="40"/>
  <c r="D156" i="40"/>
  <c r="G140" i="40"/>
  <c r="E259" i="40"/>
  <c r="D322" i="40"/>
  <c r="D351" i="40"/>
  <c r="D381" i="40"/>
  <c r="J422" i="40"/>
  <c r="D219" i="40"/>
  <c r="G137" i="40"/>
  <c r="D95" i="40"/>
  <c r="G139" i="40"/>
  <c r="D301" i="40"/>
  <c r="G101" i="40"/>
  <c r="J477" i="40"/>
  <c r="D413" i="40"/>
  <c r="AO54" i="3"/>
  <c r="D385" i="40"/>
  <c r="E202" i="40"/>
  <c r="E187" i="40"/>
  <c r="D464" i="40"/>
  <c r="D182" i="40"/>
  <c r="D189" i="40"/>
  <c r="D444" i="40"/>
  <c r="I419" i="40"/>
  <c r="G85" i="40"/>
  <c r="D135" i="40"/>
  <c r="D373" i="40"/>
  <c r="G143" i="40"/>
  <c r="D316" i="40"/>
  <c r="E212" i="40"/>
  <c r="D51" i="40"/>
  <c r="D94" i="40"/>
  <c r="J391" i="40"/>
  <c r="D176" i="40"/>
  <c r="D448" i="40"/>
  <c r="D300" i="40"/>
  <c r="I474" i="40"/>
  <c r="I363" i="40"/>
  <c r="D372" i="40"/>
  <c r="D192" i="40"/>
  <c r="D276" i="40"/>
  <c r="D465" i="40"/>
  <c r="G162" i="40"/>
  <c r="D410" i="40"/>
  <c r="D191" i="40"/>
  <c r="D468" i="40"/>
  <c r="J127" i="40"/>
  <c r="G14" i="40"/>
  <c r="D347" i="40"/>
  <c r="AR9" i="3"/>
  <c r="AS54" i="3"/>
  <c r="W4" i="45" s="1"/>
  <c r="D350" i="40"/>
  <c r="D13" i="40"/>
  <c r="E10" i="40"/>
  <c r="G131" i="40"/>
  <c r="D357" i="40"/>
  <c r="G88" i="40"/>
  <c r="D183" i="40"/>
  <c r="D315" i="40"/>
  <c r="E260" i="40"/>
  <c r="G79" i="40"/>
  <c r="D71" i="40"/>
  <c r="D490" i="40"/>
  <c r="D32" i="40"/>
  <c r="D169" i="40"/>
  <c r="E235" i="40"/>
  <c r="G106" i="40"/>
  <c r="D48" i="40"/>
  <c r="J457" i="40"/>
  <c r="E9" i="40"/>
  <c r="J441" i="40"/>
  <c r="G21" i="40"/>
  <c r="G158" i="40"/>
  <c r="D484" i="40"/>
  <c r="D66" i="40"/>
  <c r="I388" i="40"/>
  <c r="E251" i="40"/>
  <c r="E282" i="40"/>
  <c r="E15" i="40"/>
  <c r="I270" i="40"/>
  <c r="E33" i="40"/>
  <c r="C401" i="40"/>
  <c r="I368" i="40"/>
  <c r="E468" i="40"/>
  <c r="E290" i="40"/>
  <c r="E295" i="40"/>
  <c r="E439" i="40"/>
  <c r="E127" i="40"/>
  <c r="E411" i="40"/>
  <c r="E397" i="40"/>
  <c r="E132" i="40"/>
  <c r="E357" i="40"/>
  <c r="E404" i="40"/>
  <c r="E382" i="40"/>
  <c r="E435" i="40"/>
  <c r="E78" i="40"/>
  <c r="E131" i="40"/>
  <c r="E51" i="40"/>
  <c r="E351" i="40"/>
  <c r="I379" i="40"/>
  <c r="I429" i="40"/>
  <c r="I330" i="40"/>
  <c r="I433" i="40"/>
  <c r="I22" i="40"/>
  <c r="E432" i="40"/>
  <c r="E90" i="40"/>
  <c r="E89" i="40"/>
  <c r="C55" i="40"/>
  <c r="G51" i="40"/>
  <c r="C288" i="40"/>
  <c r="G18" i="40"/>
  <c r="C202" i="40"/>
  <c r="I296" i="40"/>
  <c r="I255" i="40"/>
  <c r="I41" i="40"/>
  <c r="I272" i="40"/>
  <c r="I75" i="40"/>
  <c r="I172" i="40"/>
  <c r="I90" i="40"/>
  <c r="E376" i="40"/>
  <c r="C114" i="40"/>
  <c r="C175" i="40"/>
  <c r="C431" i="40"/>
  <c r="C87" i="40"/>
  <c r="E113" i="40"/>
  <c r="E334" i="40"/>
  <c r="E122" i="40"/>
  <c r="E323" i="40"/>
  <c r="E111" i="40"/>
  <c r="E159" i="40"/>
  <c r="E138" i="40"/>
  <c r="E143" i="40"/>
  <c r="E153" i="40"/>
  <c r="I473" i="40"/>
  <c r="I144" i="40"/>
  <c r="I205" i="40"/>
  <c r="I253" i="40"/>
  <c r="I24" i="40"/>
  <c r="E415" i="40"/>
  <c r="I212" i="40"/>
  <c r="E145" i="40"/>
  <c r="I120" i="40"/>
  <c r="C262" i="40"/>
  <c r="C381" i="40"/>
  <c r="C488" i="40"/>
  <c r="D286" i="40"/>
  <c r="E369" i="40"/>
  <c r="E98" i="40"/>
  <c r="E464" i="40"/>
  <c r="E434" i="40"/>
  <c r="E300" i="40"/>
  <c r="E109" i="40"/>
  <c r="E134" i="40"/>
  <c r="E368" i="40"/>
  <c r="E151" i="40"/>
  <c r="E448" i="40"/>
  <c r="E50" i="40"/>
  <c r="I8" i="40"/>
  <c r="I32" i="40"/>
  <c r="I68" i="40"/>
  <c r="I188" i="40"/>
  <c r="E458" i="40"/>
  <c r="I195" i="40"/>
  <c r="E301" i="40"/>
  <c r="I211" i="40"/>
  <c r="C238" i="40"/>
  <c r="C293" i="40"/>
  <c r="C286" i="40"/>
  <c r="D470" i="40"/>
  <c r="I494" i="40"/>
  <c r="I82" i="40"/>
  <c r="C77" i="40"/>
  <c r="E41" i="40"/>
  <c r="C133" i="40"/>
  <c r="C170" i="40"/>
  <c r="J202" i="40"/>
  <c r="I166" i="40"/>
  <c r="I266" i="40"/>
  <c r="C475" i="40"/>
  <c r="J395" i="40"/>
  <c r="D22" i="40"/>
  <c r="J303" i="40"/>
  <c r="H320" i="40"/>
  <c r="AK86" i="3"/>
  <c r="E441" i="40"/>
  <c r="E99" i="40"/>
  <c r="E103" i="40"/>
  <c r="E108" i="40"/>
  <c r="E333" i="40"/>
  <c r="E358" i="40"/>
  <c r="E291" i="40"/>
  <c r="E342" i="40"/>
  <c r="E460" i="40"/>
  <c r="E317" i="40"/>
  <c r="E409" i="40"/>
  <c r="AK22" i="3"/>
  <c r="E475" i="40"/>
  <c r="E137" i="40"/>
  <c r="E327" i="40"/>
  <c r="E321" i="40"/>
  <c r="E481" i="40"/>
  <c r="F48" i="40"/>
  <c r="E87" i="40"/>
  <c r="E487" i="40"/>
  <c r="E486" i="40"/>
  <c r="E442" i="40"/>
  <c r="E386" i="40"/>
  <c r="E388" i="40"/>
  <c r="E162" i="40"/>
  <c r="E455" i="40"/>
  <c r="E356" i="40"/>
  <c r="E423" i="40"/>
  <c r="E469" i="40"/>
  <c r="E106" i="40"/>
  <c r="AO38" i="3"/>
  <c r="AN22" i="3"/>
  <c r="I482" i="40"/>
  <c r="I257" i="40"/>
  <c r="I34" i="40"/>
  <c r="I35" i="40"/>
  <c r="I113" i="40"/>
  <c r="I127" i="40"/>
  <c r="E303" i="40"/>
  <c r="I291" i="40"/>
  <c r="I235" i="40"/>
  <c r="I478" i="40"/>
  <c r="E444" i="40"/>
  <c r="E110" i="40"/>
  <c r="C217" i="40"/>
  <c r="C424" i="40"/>
  <c r="C207" i="40"/>
  <c r="H93" i="40"/>
  <c r="C83" i="40"/>
  <c r="G164" i="40"/>
  <c r="G145" i="40"/>
  <c r="C413" i="40"/>
  <c r="AK57" i="3"/>
  <c r="E395" i="40"/>
  <c r="E364" i="40"/>
  <c r="E84" i="40"/>
  <c r="E75" i="40"/>
  <c r="E337" i="40"/>
  <c r="E305" i="40"/>
  <c r="AT22" i="3"/>
  <c r="J20" i="45" s="1"/>
  <c r="E489" i="40"/>
  <c r="E440" i="40"/>
  <c r="E479" i="40"/>
  <c r="E149" i="40"/>
  <c r="E61" i="40"/>
  <c r="AR22" i="3"/>
  <c r="E95" i="40"/>
  <c r="E60" i="40"/>
  <c r="E91" i="40"/>
  <c r="E470" i="40"/>
  <c r="E467" i="40"/>
  <c r="E339" i="40"/>
  <c r="E452" i="40"/>
  <c r="E426" i="40"/>
  <c r="E493" i="40"/>
  <c r="E418" i="40"/>
  <c r="E314" i="40"/>
  <c r="E473" i="40"/>
  <c r="E66" i="40"/>
  <c r="E372" i="40"/>
  <c r="E483" i="40"/>
  <c r="E383" i="40"/>
  <c r="E374" i="40"/>
  <c r="E378" i="40"/>
  <c r="I458" i="40"/>
  <c r="I21" i="40"/>
  <c r="I98" i="40"/>
  <c r="I14" i="40"/>
  <c r="I141" i="40"/>
  <c r="I99" i="40"/>
  <c r="I244" i="40"/>
  <c r="E472" i="40"/>
  <c r="I402" i="40"/>
  <c r="I463" i="40"/>
  <c r="I171" i="40"/>
  <c r="E363" i="40"/>
  <c r="E480" i="40"/>
  <c r="G80" i="40"/>
  <c r="G16" i="40"/>
  <c r="G24" i="40"/>
  <c r="H396" i="40"/>
  <c r="G28" i="40"/>
  <c r="C19" i="40"/>
  <c r="H302" i="40"/>
  <c r="G44" i="40"/>
  <c r="C78" i="40"/>
  <c r="C402" i="40"/>
  <c r="E354" i="40"/>
  <c r="E433" i="40"/>
  <c r="E344" i="40"/>
  <c r="E446" i="40"/>
  <c r="E389" i="40"/>
  <c r="E412" i="40"/>
  <c r="E57" i="40"/>
  <c r="E401" i="40"/>
  <c r="AM22" i="3"/>
  <c r="I20" i="45" s="1"/>
  <c r="E394" i="40"/>
  <c r="E347" i="40"/>
  <c r="E471" i="40"/>
  <c r="E101" i="40"/>
  <c r="E154" i="40"/>
  <c r="E348" i="40"/>
  <c r="E400" i="40"/>
  <c r="E385" i="40"/>
  <c r="E340" i="40"/>
  <c r="E353" i="40"/>
  <c r="E352" i="40"/>
  <c r="E462" i="40"/>
  <c r="E338" i="40"/>
  <c r="E136" i="40"/>
  <c r="E453" i="40"/>
  <c r="E366" i="40"/>
  <c r="E359" i="40"/>
  <c r="E56" i="40"/>
  <c r="E148" i="40"/>
  <c r="E406" i="40"/>
  <c r="I223" i="40"/>
  <c r="I126" i="40"/>
  <c r="I59" i="40"/>
  <c r="I64" i="40"/>
  <c r="I50" i="40"/>
  <c r="I371" i="40"/>
  <c r="I382" i="40"/>
  <c r="I397" i="40"/>
  <c r="E474" i="40"/>
  <c r="I210" i="40"/>
  <c r="I417" i="40"/>
  <c r="I324" i="40"/>
  <c r="E430" i="40"/>
  <c r="E296" i="40"/>
  <c r="E93" i="40"/>
  <c r="C389" i="40"/>
  <c r="G33" i="40"/>
  <c r="H173" i="40"/>
  <c r="G70" i="40"/>
  <c r="C356" i="40"/>
  <c r="G299" i="40"/>
  <c r="C441" i="40"/>
  <c r="AN55" i="3"/>
  <c r="C426" i="40"/>
  <c r="C176" i="40"/>
  <c r="E160" i="40"/>
  <c r="E332" i="40"/>
  <c r="E63" i="40"/>
  <c r="E85" i="40"/>
  <c r="E150" i="40"/>
  <c r="E326" i="40"/>
  <c r="E302" i="40"/>
  <c r="E102" i="40"/>
  <c r="E360" i="40"/>
  <c r="E496" i="40"/>
  <c r="E166" i="40"/>
  <c r="E80" i="40"/>
  <c r="E133" i="40"/>
  <c r="E417" i="40"/>
  <c r="E77" i="40"/>
  <c r="E456" i="40"/>
  <c r="E437" i="40"/>
  <c r="E135" i="40"/>
  <c r="E392" i="40"/>
  <c r="E58" i="40"/>
  <c r="E387" i="40"/>
  <c r="E306" i="40"/>
  <c r="E492" i="40"/>
  <c r="E59" i="40"/>
  <c r="E346" i="40"/>
  <c r="E450" i="40"/>
  <c r="E355" i="40"/>
  <c r="I216" i="40"/>
  <c r="I129" i="40"/>
  <c r="I264" i="40"/>
  <c r="I466" i="40"/>
  <c r="I437" i="40"/>
  <c r="I208" i="40"/>
  <c r="I186" i="40"/>
  <c r="I259" i="40"/>
  <c r="E52" i="40"/>
  <c r="I135" i="40"/>
  <c r="I367" i="40"/>
  <c r="I423" i="40"/>
  <c r="E53" i="40"/>
  <c r="E457" i="40"/>
  <c r="C189" i="40"/>
  <c r="J447" i="40"/>
  <c r="C451" i="40"/>
  <c r="C478" i="40"/>
  <c r="J458" i="40"/>
  <c r="C448" i="40"/>
  <c r="H62" i="40"/>
  <c r="AT55" i="3"/>
  <c r="V5" i="45" s="1"/>
  <c r="C320" i="40"/>
  <c r="E182" i="40"/>
  <c r="D178" i="40"/>
  <c r="G47" i="40"/>
  <c r="E234" i="40"/>
  <c r="J166" i="40"/>
  <c r="D141" i="40"/>
  <c r="H356" i="40"/>
  <c r="D452" i="40"/>
  <c r="D110" i="40"/>
  <c r="AK7" i="3"/>
  <c r="D359" i="40"/>
  <c r="H407" i="40"/>
  <c r="D269" i="40"/>
  <c r="AT9" i="3"/>
  <c r="J7" i="45" s="1"/>
  <c r="I334" i="40"/>
  <c r="E168" i="40"/>
  <c r="I45" i="40"/>
  <c r="I81" i="40"/>
  <c r="D98" i="40"/>
  <c r="I441" i="40"/>
  <c r="J430" i="40"/>
  <c r="I344" i="40"/>
  <c r="E4" i="40"/>
  <c r="H47" i="40"/>
  <c r="D475" i="40"/>
  <c r="J262" i="40"/>
  <c r="J461" i="40"/>
  <c r="C327" i="40"/>
  <c r="I403" i="40"/>
  <c r="C211" i="40"/>
  <c r="C183" i="40"/>
  <c r="C72" i="40"/>
  <c r="C5" i="40"/>
  <c r="C65" i="40"/>
  <c r="C404" i="40"/>
  <c r="C187" i="40"/>
  <c r="C16" i="40"/>
  <c r="AT63" i="3"/>
  <c r="V13" i="45" s="1"/>
  <c r="C366" i="40"/>
  <c r="E286" i="40"/>
  <c r="I116" i="40"/>
  <c r="G56" i="40"/>
  <c r="I36" i="40"/>
  <c r="C354" i="40"/>
  <c r="I31" i="40"/>
  <c r="H91" i="40"/>
  <c r="I465" i="40"/>
  <c r="C195" i="40"/>
  <c r="G161" i="40"/>
  <c r="C27" i="40"/>
  <c r="J158" i="40"/>
  <c r="C422" i="40"/>
  <c r="C62" i="40"/>
  <c r="C342" i="40"/>
  <c r="C258" i="40"/>
  <c r="C193" i="40"/>
  <c r="C173" i="40"/>
  <c r="I413" i="40"/>
  <c r="C67" i="40"/>
  <c r="E3" i="40"/>
  <c r="J333" i="40"/>
  <c r="E170" i="40"/>
  <c r="I89" i="40"/>
  <c r="C98" i="40"/>
  <c r="J163" i="40"/>
  <c r="C185" i="40"/>
  <c r="I493" i="40"/>
  <c r="I406" i="40"/>
  <c r="AM63" i="3"/>
  <c r="U13" i="45" s="1"/>
  <c r="C97" i="40"/>
  <c r="C13" i="40"/>
  <c r="E32" i="40"/>
  <c r="C224" i="40"/>
  <c r="I279" i="40"/>
  <c r="AP63" i="3"/>
  <c r="E191" i="40"/>
  <c r="I426" i="40"/>
  <c r="G149" i="40"/>
  <c r="J139" i="40"/>
  <c r="I366" i="40"/>
  <c r="I150" i="40"/>
  <c r="I130" i="40"/>
  <c r="E222" i="40"/>
  <c r="E272" i="40"/>
  <c r="J328" i="40"/>
  <c r="E14" i="40"/>
  <c r="J30" i="40"/>
  <c r="J162" i="40"/>
  <c r="J186" i="40"/>
  <c r="AS65" i="3"/>
  <c r="I241" i="40"/>
  <c r="G55" i="40"/>
  <c r="E19" i="40"/>
  <c r="J455" i="40"/>
  <c r="E213" i="40"/>
  <c r="E216" i="40"/>
  <c r="I365" i="40"/>
  <c r="J191" i="40"/>
  <c r="J343" i="40"/>
  <c r="J312" i="40"/>
  <c r="AN46" i="3"/>
  <c r="G344" i="40"/>
  <c r="E20" i="40"/>
  <c r="I224" i="40"/>
  <c r="G59" i="40"/>
  <c r="E2" i="40"/>
  <c r="J228" i="40"/>
  <c r="J115" i="40"/>
  <c r="G84" i="40"/>
  <c r="J307" i="40"/>
  <c r="J53" i="40"/>
  <c r="AQ40" i="3"/>
  <c r="J467" i="40"/>
  <c r="C307" i="40"/>
  <c r="C364" i="40"/>
  <c r="C69" i="40"/>
  <c r="C353" i="40"/>
  <c r="C196" i="40"/>
  <c r="J208" i="40"/>
  <c r="I161" i="40"/>
  <c r="E21" i="40"/>
  <c r="E194" i="40"/>
  <c r="G49" i="40"/>
  <c r="C433" i="40"/>
  <c r="D302" i="40"/>
  <c r="G111" i="40"/>
  <c r="I415" i="40"/>
  <c r="E254" i="40"/>
  <c r="AM97" i="3"/>
  <c r="U47" i="45" s="1"/>
  <c r="AO97" i="3"/>
  <c r="I110" i="40"/>
  <c r="I202" i="40"/>
  <c r="I484" i="40"/>
  <c r="I159" i="40"/>
  <c r="H5" i="45"/>
  <c r="C464" i="40"/>
  <c r="H378" i="40"/>
  <c r="D221" i="40"/>
  <c r="H319" i="40"/>
  <c r="H13" i="45"/>
  <c r="AM57" i="3"/>
  <c r="U7" i="45" s="1"/>
  <c r="G343" i="40"/>
  <c r="D266" i="40"/>
  <c r="D222" i="40"/>
  <c r="D297" i="40"/>
  <c r="D40" i="40"/>
  <c r="H48" i="40"/>
  <c r="D109" i="40"/>
  <c r="AR57" i="3"/>
  <c r="T39" i="45"/>
  <c r="G267" i="40"/>
  <c r="G258" i="40"/>
  <c r="G428" i="40"/>
  <c r="G372" i="40"/>
  <c r="G310" i="40"/>
  <c r="G326" i="40"/>
  <c r="G397" i="40"/>
  <c r="G413" i="40"/>
  <c r="AQ23" i="3"/>
  <c r="G293" i="40"/>
  <c r="G314" i="40"/>
  <c r="E211" i="40"/>
  <c r="E27" i="40"/>
  <c r="G342" i="40"/>
  <c r="I421" i="40"/>
  <c r="I440" i="40"/>
  <c r="J255" i="40"/>
  <c r="C85" i="40"/>
  <c r="G253" i="40"/>
  <c r="G429" i="40"/>
  <c r="G349" i="40"/>
  <c r="G216" i="40"/>
  <c r="G380" i="40"/>
  <c r="G494" i="40"/>
  <c r="G132" i="40"/>
  <c r="C57" i="40"/>
  <c r="H21" i="45"/>
  <c r="C374" i="40"/>
  <c r="J495" i="40"/>
  <c r="E172" i="40"/>
  <c r="I359" i="40"/>
  <c r="G65" i="40"/>
  <c r="G306" i="40"/>
  <c r="J94" i="40"/>
  <c r="G138" i="40"/>
  <c r="I299" i="40"/>
  <c r="D352" i="40"/>
  <c r="G222" i="40"/>
  <c r="G232" i="40"/>
  <c r="G256" i="40"/>
  <c r="H191" i="40"/>
  <c r="G412" i="40"/>
  <c r="G434" i="40"/>
  <c r="G333" i="40"/>
  <c r="G249" i="40"/>
  <c r="G403" i="40"/>
  <c r="G251" i="40"/>
  <c r="G370" i="40"/>
  <c r="G394" i="40"/>
  <c r="G261" i="40"/>
  <c r="G184" i="40"/>
  <c r="G317" i="40"/>
  <c r="G192" i="40"/>
  <c r="G363" i="40"/>
  <c r="F288" i="40"/>
  <c r="G435" i="40"/>
  <c r="G441" i="40"/>
  <c r="G169" i="40"/>
  <c r="G424" i="40"/>
  <c r="G266" i="40"/>
  <c r="G313" i="40"/>
  <c r="G277" i="40"/>
  <c r="G202" i="40"/>
  <c r="G315" i="40"/>
  <c r="G240" i="40"/>
  <c r="G322" i="40"/>
  <c r="G406" i="40"/>
  <c r="G423" i="40"/>
  <c r="G200" i="40"/>
  <c r="G405" i="40"/>
  <c r="G449" i="40"/>
  <c r="G241" i="40"/>
  <c r="G481" i="40"/>
  <c r="G393" i="40"/>
  <c r="G468" i="40"/>
  <c r="G386" i="40"/>
  <c r="G432" i="40"/>
  <c r="AK48" i="3"/>
  <c r="D115" i="40"/>
  <c r="D476" i="40"/>
  <c r="H211" i="40"/>
  <c r="E6" i="40"/>
  <c r="I187" i="40"/>
  <c r="I61" i="40"/>
  <c r="J214" i="40"/>
  <c r="I121" i="40"/>
  <c r="E179" i="40"/>
  <c r="E252" i="40"/>
  <c r="G68" i="40"/>
  <c r="J414" i="40"/>
  <c r="AP23" i="3"/>
  <c r="J314" i="40"/>
  <c r="D408" i="40"/>
  <c r="D429" i="40"/>
  <c r="J358" i="40"/>
  <c r="T6" i="45"/>
  <c r="C112" i="40"/>
  <c r="G252" i="40"/>
  <c r="G282" i="40"/>
  <c r="G214" i="40"/>
  <c r="G194" i="40"/>
  <c r="G218" i="40"/>
  <c r="G369" i="40"/>
  <c r="G316" i="40"/>
  <c r="G464" i="40"/>
  <c r="G400" i="40"/>
  <c r="G264" i="40"/>
  <c r="G347" i="40"/>
  <c r="G262" i="40"/>
  <c r="F287" i="40"/>
  <c r="G348" i="40"/>
  <c r="F299" i="40"/>
  <c r="G271" i="40"/>
  <c r="G444" i="40"/>
  <c r="G384" i="40"/>
  <c r="F298" i="40"/>
  <c r="G323" i="40"/>
  <c r="G286" i="40"/>
  <c r="G187" i="40"/>
  <c r="AN48" i="3"/>
  <c r="AQ63" i="3"/>
  <c r="AN7" i="3"/>
  <c r="I425" i="40"/>
  <c r="H63" i="40"/>
  <c r="D43" i="40"/>
  <c r="H92" i="40"/>
  <c r="I445" i="40"/>
  <c r="G414" i="40"/>
  <c r="G173" i="40"/>
  <c r="G189" i="40"/>
  <c r="G167" i="40"/>
  <c r="F306" i="40"/>
  <c r="G385" i="40"/>
  <c r="G248" i="40"/>
  <c r="G233" i="40"/>
  <c r="G199" i="40"/>
  <c r="G204" i="40"/>
  <c r="G375" i="40"/>
  <c r="G197" i="40"/>
  <c r="G328" i="40"/>
  <c r="G334" i="40"/>
  <c r="G417" i="40"/>
  <c r="G442" i="40"/>
  <c r="G244" i="40"/>
  <c r="G421" i="40"/>
  <c r="G276" i="40"/>
  <c r="T12" i="45"/>
  <c r="G332" i="40"/>
  <c r="G419" i="40"/>
  <c r="G268" i="40"/>
  <c r="H147" i="40"/>
  <c r="G172" i="40"/>
  <c r="G493" i="40"/>
  <c r="G366" i="40"/>
  <c r="G176" i="40"/>
  <c r="G420" i="40"/>
  <c r="G379" i="40"/>
  <c r="G418" i="40"/>
  <c r="G454" i="40"/>
  <c r="G180" i="40"/>
  <c r="G340" i="40"/>
  <c r="G478" i="40"/>
  <c r="G376" i="40"/>
  <c r="G308" i="40"/>
  <c r="G209" i="40"/>
  <c r="G485" i="40"/>
  <c r="G170" i="40"/>
  <c r="G391" i="40"/>
  <c r="G415" i="40"/>
  <c r="G443" i="40"/>
  <c r="G438" i="40"/>
  <c r="G224" i="40"/>
  <c r="G383" i="40"/>
  <c r="G228" i="40"/>
  <c r="G451" i="40"/>
  <c r="G450" i="40"/>
  <c r="G430" i="40"/>
  <c r="G447" i="40"/>
  <c r="AT48" i="3"/>
  <c r="J46" i="45" s="1"/>
  <c r="G212" i="40"/>
  <c r="G273" i="40"/>
  <c r="AS48" i="3"/>
  <c r="G477" i="40"/>
  <c r="AO48" i="3"/>
  <c r="G250" i="40"/>
  <c r="AT86" i="3"/>
  <c r="V36" i="45" s="1"/>
  <c r="G226" i="40"/>
  <c r="G338" i="40"/>
  <c r="G247" i="40"/>
  <c r="G427" i="40"/>
  <c r="G459" i="40"/>
  <c r="G177" i="40"/>
  <c r="G365" i="40"/>
  <c r="G395" i="40"/>
  <c r="G466" i="40"/>
  <c r="G491" i="40"/>
  <c r="G318" i="40"/>
  <c r="G353" i="40"/>
  <c r="G219" i="40"/>
  <c r="G305" i="40"/>
  <c r="G378" i="40"/>
  <c r="G448" i="40"/>
  <c r="G289" i="40"/>
  <c r="G492" i="40"/>
  <c r="G257" i="40"/>
  <c r="G311" i="40"/>
  <c r="G390" i="40"/>
  <c r="H329" i="40"/>
  <c r="D112" i="40"/>
  <c r="D195" i="40"/>
  <c r="C372" i="40"/>
  <c r="J449" i="40"/>
  <c r="G234" i="40"/>
  <c r="G455" i="40"/>
  <c r="G185" i="40"/>
  <c r="G431" i="40"/>
  <c r="G475" i="40"/>
  <c r="G480" i="40"/>
  <c r="G255" i="40"/>
  <c r="G382" i="40"/>
  <c r="G235" i="40"/>
  <c r="G274" i="40"/>
  <c r="G269" i="40"/>
  <c r="G355" i="40"/>
  <c r="G335" i="40"/>
  <c r="G445" i="40"/>
  <c r="G188" i="40"/>
  <c r="F297" i="40"/>
  <c r="G474" i="40"/>
  <c r="G290" i="40"/>
  <c r="G381" i="40"/>
  <c r="G312" i="40"/>
  <c r="AK97" i="3"/>
  <c r="AP48" i="3"/>
  <c r="G389" i="40"/>
  <c r="H375" i="40"/>
  <c r="D405" i="40"/>
  <c r="H314" i="40"/>
  <c r="F280" i="40"/>
  <c r="H476" i="40"/>
  <c r="AT8" i="3"/>
  <c r="J6" i="45" s="1"/>
  <c r="AN8" i="3"/>
  <c r="T31" i="45"/>
  <c r="AS81" i="3"/>
  <c r="AN81" i="3"/>
  <c r="AT81" i="3"/>
  <c r="V31" i="45" s="1"/>
  <c r="AS22" i="3"/>
  <c r="AO22" i="3"/>
  <c r="I87" i="40"/>
  <c r="I28" i="40"/>
  <c r="I52" i="40"/>
  <c r="I147" i="40"/>
  <c r="I326" i="40"/>
  <c r="I287" i="40"/>
  <c r="I168" i="40"/>
  <c r="I27" i="40"/>
  <c r="I231" i="40"/>
  <c r="I358" i="40"/>
  <c r="I204" i="40"/>
  <c r="I198" i="40"/>
  <c r="I412" i="40"/>
  <c r="I114" i="40"/>
  <c r="I247" i="40"/>
  <c r="I42" i="40"/>
  <c r="I23" i="40"/>
  <c r="I58" i="40"/>
  <c r="I249" i="40"/>
  <c r="I178" i="40"/>
  <c r="I337" i="40"/>
  <c r="I152" i="40"/>
  <c r="I103" i="40"/>
  <c r="I277" i="40"/>
  <c r="I469" i="40"/>
  <c r="I108" i="40"/>
  <c r="I180" i="40"/>
  <c r="I213" i="40"/>
  <c r="I177" i="40"/>
  <c r="I232" i="40"/>
  <c r="I453" i="40"/>
  <c r="I101" i="40"/>
  <c r="I47" i="40"/>
  <c r="I492" i="40"/>
  <c r="I4" i="40"/>
  <c r="I111" i="40"/>
  <c r="I372" i="40"/>
  <c r="I62" i="40"/>
  <c r="I167" i="40"/>
  <c r="I288" i="40"/>
  <c r="I399" i="40"/>
  <c r="I239" i="40"/>
  <c r="I2" i="40"/>
  <c r="I472" i="40"/>
  <c r="I88" i="40"/>
  <c r="I289" i="40"/>
  <c r="I13" i="40"/>
  <c r="I44" i="40"/>
  <c r="I157" i="40"/>
  <c r="I346" i="40"/>
  <c r="I407" i="40"/>
  <c r="I80" i="40"/>
  <c r="I48" i="40"/>
  <c r="I6" i="40"/>
  <c r="I362" i="40"/>
  <c r="I404" i="40"/>
  <c r="I351" i="40"/>
  <c r="I38" i="40"/>
  <c r="I51" i="40"/>
  <c r="I207" i="40"/>
  <c r="I444" i="40"/>
  <c r="I194" i="40"/>
  <c r="I302" i="40"/>
  <c r="I139" i="40"/>
  <c r="I57" i="40"/>
  <c r="I83" i="40"/>
  <c r="I462" i="40"/>
  <c r="I86" i="40"/>
  <c r="I378" i="40"/>
  <c r="I261" i="40"/>
  <c r="I221" i="40"/>
  <c r="I55" i="40"/>
  <c r="I117" i="40"/>
  <c r="I39" i="40"/>
  <c r="I15" i="40"/>
  <c r="I436" i="40"/>
  <c r="I475" i="40"/>
  <c r="I137" i="40"/>
  <c r="I189" i="40"/>
  <c r="I119" i="40"/>
  <c r="I238" i="40"/>
  <c r="I85" i="40"/>
  <c r="I312" i="40"/>
  <c r="I434" i="40"/>
  <c r="I439" i="40"/>
  <c r="I30" i="40"/>
  <c r="I154" i="40"/>
  <c r="I298" i="40"/>
  <c r="I29" i="40"/>
  <c r="I271" i="40"/>
  <c r="I268" i="40"/>
  <c r="I258" i="40"/>
  <c r="I452" i="40"/>
  <c r="I184" i="40"/>
  <c r="I411" i="40"/>
  <c r="I392" i="40"/>
  <c r="I158" i="40"/>
  <c r="I20" i="40"/>
  <c r="I331" i="40"/>
  <c r="I5" i="40"/>
  <c r="I316" i="40"/>
  <c r="I328" i="40"/>
  <c r="I323" i="40"/>
  <c r="I443" i="40"/>
  <c r="I343" i="40"/>
  <c r="I483" i="40"/>
  <c r="I214" i="40"/>
  <c r="I428" i="40"/>
  <c r="I333" i="40"/>
  <c r="I240" i="40"/>
  <c r="I185" i="40"/>
  <c r="I93" i="40"/>
  <c r="I12" i="40"/>
  <c r="AK38" i="3"/>
  <c r="AM38" i="3"/>
  <c r="I36" i="45" s="1"/>
  <c r="AR38" i="3"/>
  <c r="AS38" i="3"/>
  <c r="H405" i="40"/>
  <c r="C165" i="40"/>
  <c r="C236" i="40"/>
  <c r="G67" i="40"/>
  <c r="H186" i="40"/>
  <c r="G136" i="40"/>
  <c r="C79" i="40"/>
  <c r="C143" i="40"/>
  <c r="G26" i="40"/>
  <c r="G4" i="40"/>
  <c r="C275" i="40"/>
  <c r="G8" i="40"/>
  <c r="H318" i="40"/>
  <c r="G10" i="40"/>
  <c r="G108" i="40"/>
  <c r="H313" i="40"/>
  <c r="G7" i="40"/>
  <c r="H294" i="40"/>
  <c r="G163" i="40"/>
  <c r="G35" i="40"/>
  <c r="C360" i="40"/>
  <c r="C250" i="40"/>
  <c r="G71" i="40"/>
  <c r="C469" i="40"/>
  <c r="C128" i="40"/>
  <c r="H185" i="40"/>
  <c r="G23" i="40"/>
  <c r="C229" i="40"/>
  <c r="C116" i="40"/>
  <c r="C107" i="40"/>
  <c r="C106" i="40"/>
  <c r="H349" i="40"/>
  <c r="C423" i="40"/>
  <c r="G156" i="40"/>
  <c r="C376" i="40"/>
  <c r="C346" i="40"/>
  <c r="G69" i="40"/>
  <c r="G29" i="40"/>
  <c r="C331" i="40"/>
  <c r="C425" i="40"/>
  <c r="C285" i="40"/>
  <c r="G22" i="40"/>
  <c r="G95" i="40"/>
  <c r="H348" i="40"/>
  <c r="G126" i="40"/>
  <c r="H395" i="40"/>
  <c r="G13" i="40"/>
  <c r="C88" i="40"/>
  <c r="C467" i="40"/>
  <c r="H309" i="40"/>
  <c r="C370" i="40"/>
  <c r="H52" i="40"/>
  <c r="C256" i="40"/>
  <c r="C249" i="40"/>
  <c r="C470" i="40"/>
  <c r="H172" i="40"/>
  <c r="H337" i="40"/>
  <c r="G296" i="40"/>
  <c r="H65" i="40"/>
  <c r="C490" i="40"/>
  <c r="C460" i="40"/>
  <c r="C287" i="40"/>
  <c r="G135" i="40"/>
  <c r="C311" i="40"/>
  <c r="G9" i="40"/>
  <c r="H345" i="40"/>
  <c r="C449" i="40"/>
  <c r="C11" i="40"/>
  <c r="C437" i="40"/>
  <c r="C496" i="40"/>
  <c r="H404" i="40"/>
  <c r="C56" i="40"/>
  <c r="C246" i="40"/>
  <c r="G99" i="40"/>
  <c r="C261" i="40"/>
  <c r="C466" i="40"/>
  <c r="H394" i="40"/>
  <c r="C208" i="40"/>
  <c r="G64" i="40"/>
  <c r="C200" i="40"/>
  <c r="C378" i="40"/>
  <c r="C428" i="40"/>
  <c r="C264" i="40"/>
  <c r="C255" i="40"/>
  <c r="G94" i="40"/>
  <c r="G72" i="40"/>
  <c r="G129" i="40"/>
  <c r="C481" i="40"/>
  <c r="C333" i="40"/>
  <c r="G97" i="40"/>
  <c r="E390" i="40"/>
  <c r="E377" i="40"/>
  <c r="E466" i="40"/>
  <c r="E128" i="40"/>
  <c r="E152" i="40"/>
  <c r="E319" i="40"/>
  <c r="E118" i="40"/>
  <c r="E71" i="40"/>
  <c r="E289" i="40"/>
  <c r="E445" i="40"/>
  <c r="E316" i="40"/>
  <c r="E164" i="40"/>
  <c r="E324" i="40"/>
  <c r="E419" i="40"/>
  <c r="E299" i="40"/>
  <c r="E379" i="40"/>
  <c r="E449" i="40"/>
  <c r="E485" i="40"/>
  <c r="E119" i="40"/>
  <c r="E421" i="40"/>
  <c r="E438" i="40"/>
  <c r="E391" i="40"/>
  <c r="E465" i="40"/>
  <c r="E70" i="40"/>
  <c r="E141" i="40"/>
  <c r="E155" i="40"/>
  <c r="E116" i="40"/>
  <c r="E163" i="40"/>
  <c r="E308" i="40"/>
  <c r="E413" i="40"/>
  <c r="E494" i="40"/>
  <c r="E318" i="40"/>
  <c r="E165" i="40"/>
  <c r="E105" i="40"/>
  <c r="E484" i="40"/>
  <c r="E74" i="40"/>
  <c r="E139" i="40"/>
  <c r="E54" i="40"/>
  <c r="E79" i="40"/>
  <c r="E325" i="40"/>
  <c r="E311" i="40"/>
  <c r="E451" i="40"/>
  <c r="E398" i="40"/>
  <c r="E459" i="40"/>
  <c r="E124" i="40"/>
  <c r="E298" i="40"/>
  <c r="E115" i="40"/>
  <c r="E76" i="40"/>
  <c r="E156" i="40"/>
  <c r="E292" i="40"/>
  <c r="E408" i="40"/>
  <c r="E310" i="40"/>
  <c r="E328" i="40"/>
  <c r="E94" i="40"/>
  <c r="E424" i="40"/>
  <c r="E349" i="40"/>
  <c r="E161" i="40"/>
  <c r="E428" i="40"/>
  <c r="E336" i="40"/>
  <c r="E362" i="40"/>
  <c r="E477" i="40"/>
  <c r="E476" i="40"/>
  <c r="E297" i="40"/>
  <c r="H6" i="45"/>
  <c r="I464" i="40"/>
  <c r="I70" i="40"/>
  <c r="I420" i="40"/>
  <c r="I395" i="40"/>
  <c r="I74" i="40"/>
  <c r="I341" i="40"/>
  <c r="AR81" i="3"/>
  <c r="AO81" i="3"/>
  <c r="I394" i="40"/>
  <c r="I485" i="40"/>
  <c r="I348" i="40"/>
  <c r="I380" i="40"/>
  <c r="C461" i="40"/>
  <c r="C239" i="40"/>
  <c r="C319" i="40"/>
  <c r="I329" i="40"/>
  <c r="J353" i="40"/>
  <c r="J481" i="40"/>
  <c r="AO15" i="3"/>
  <c r="D426" i="40"/>
  <c r="D389" i="40"/>
  <c r="D113" i="40"/>
  <c r="D424" i="40"/>
  <c r="D277" i="40"/>
  <c r="I327" i="40"/>
  <c r="I290" i="40"/>
  <c r="I364" i="40"/>
  <c r="I163" i="40"/>
  <c r="I297" i="40"/>
  <c r="I142" i="40"/>
  <c r="I294" i="40"/>
  <c r="I69" i="40"/>
  <c r="I17" i="40"/>
  <c r="I319" i="40"/>
  <c r="F354" i="40"/>
  <c r="I11" i="40"/>
  <c r="I300" i="40"/>
  <c r="I63" i="40"/>
  <c r="I306" i="40"/>
  <c r="I118" i="40"/>
  <c r="C218" i="40"/>
  <c r="C254" i="40"/>
  <c r="D235" i="40"/>
  <c r="D30" i="40"/>
  <c r="D236" i="40"/>
  <c r="D226" i="40"/>
  <c r="H343" i="40"/>
  <c r="AM46" i="3"/>
  <c r="I44" i="45" s="1"/>
  <c r="AP22" i="3"/>
  <c r="AR56" i="3"/>
  <c r="AQ38" i="3"/>
  <c r="H36" i="45"/>
  <c r="I65" i="40"/>
  <c r="I96" i="40"/>
  <c r="I84" i="40"/>
  <c r="I280" i="40"/>
  <c r="I3" i="40"/>
  <c r="I71" i="40"/>
  <c r="I267" i="40"/>
  <c r="I53" i="40"/>
  <c r="I237" i="40"/>
  <c r="I233" i="40"/>
  <c r="I292" i="40"/>
  <c r="I170" i="40"/>
  <c r="E488" i="40"/>
  <c r="E427" i="40"/>
  <c r="E399" i="40"/>
  <c r="E381" i="40"/>
  <c r="I488" i="40"/>
  <c r="C84" i="40"/>
  <c r="C347" i="40"/>
  <c r="C290" i="40"/>
  <c r="H339" i="40"/>
  <c r="C388" i="40"/>
  <c r="G98" i="40"/>
  <c r="C179" i="40"/>
  <c r="AK55" i="3"/>
  <c r="C317" i="40"/>
  <c r="C271" i="40"/>
  <c r="G54" i="40"/>
  <c r="C438" i="40"/>
  <c r="D394" i="40"/>
  <c r="J103" i="40"/>
  <c r="E237" i="40"/>
  <c r="G102" i="40"/>
  <c r="I250" i="40"/>
  <c r="J286" i="40"/>
  <c r="J420" i="40"/>
  <c r="J292" i="40"/>
  <c r="G288" i="40"/>
  <c r="G63" i="40"/>
  <c r="D283" i="40"/>
  <c r="C352" i="40"/>
  <c r="I369" i="40"/>
  <c r="I18" i="40"/>
  <c r="J416" i="40"/>
  <c r="J426" i="40"/>
  <c r="J195" i="40"/>
  <c r="E239" i="40"/>
  <c r="G294" i="40"/>
  <c r="J124" i="40"/>
  <c r="E210" i="40"/>
  <c r="J110" i="40"/>
  <c r="D383" i="40"/>
  <c r="C418" i="40"/>
  <c r="C336" i="40"/>
  <c r="I476" i="40"/>
  <c r="I109" i="40"/>
  <c r="G91" i="40"/>
  <c r="D196" i="40"/>
  <c r="D194" i="40"/>
  <c r="D348" i="40"/>
  <c r="D334" i="40"/>
  <c r="D180" i="40"/>
  <c r="G392" i="40"/>
  <c r="E34" i="40"/>
  <c r="J380" i="40"/>
  <c r="I340" i="40"/>
  <c r="G90" i="40"/>
  <c r="I192" i="40"/>
  <c r="J399" i="40"/>
  <c r="D323" i="40"/>
  <c r="G83" i="40"/>
  <c r="J471" i="40"/>
  <c r="I354" i="40"/>
  <c r="J39" i="40"/>
  <c r="E23" i="40"/>
  <c r="J44" i="40"/>
  <c r="I155" i="40"/>
  <c r="J80" i="40"/>
  <c r="AP40" i="3"/>
  <c r="E201" i="40"/>
  <c r="D491" i="40"/>
  <c r="E280" i="40"/>
  <c r="C10" i="40"/>
  <c r="D218" i="40"/>
  <c r="I220" i="40"/>
  <c r="F340" i="40"/>
  <c r="I107" i="40"/>
  <c r="C410" i="40"/>
  <c r="C132" i="40"/>
  <c r="E283" i="40"/>
  <c r="G114" i="40"/>
  <c r="C312" i="40"/>
  <c r="T38" i="45"/>
  <c r="H76" i="40"/>
  <c r="H447" i="40"/>
  <c r="E240" i="40"/>
  <c r="AK41" i="3"/>
  <c r="AP41" i="3"/>
  <c r="AR41" i="3"/>
  <c r="AN41" i="3"/>
  <c r="H39" i="45"/>
  <c r="AS41" i="3"/>
  <c r="AS78" i="3"/>
  <c r="W28" i="45" s="1"/>
  <c r="I320" i="40"/>
  <c r="J149" i="40"/>
  <c r="J75" i="40"/>
  <c r="AQ78" i="3"/>
  <c r="AR30" i="3"/>
  <c r="T28" i="45"/>
  <c r="H384" i="40"/>
  <c r="H2" i="40"/>
  <c r="D493" i="40"/>
  <c r="D179" i="40"/>
  <c r="D9" i="40"/>
  <c r="D391" i="40"/>
  <c r="D209" i="40"/>
  <c r="H95" i="40"/>
  <c r="D185" i="40"/>
  <c r="H317" i="40"/>
  <c r="D46" i="40"/>
  <c r="D201" i="40"/>
  <c r="D38" i="40"/>
  <c r="D45" i="40"/>
  <c r="D144" i="40"/>
  <c r="D281" i="40"/>
  <c r="H50" i="40"/>
  <c r="D162" i="40"/>
  <c r="D246" i="40"/>
  <c r="D229" i="40"/>
  <c r="D368" i="40"/>
  <c r="D333" i="40"/>
  <c r="D6" i="40"/>
  <c r="D19" i="40"/>
  <c r="D206" i="40"/>
  <c r="D349" i="40"/>
  <c r="D440" i="40"/>
  <c r="H344" i="40"/>
  <c r="D259" i="40"/>
  <c r="D108" i="40"/>
  <c r="D86" i="40"/>
  <c r="D186" i="40"/>
  <c r="AO71" i="3"/>
  <c r="AT71" i="3"/>
  <c r="V21" i="45" s="1"/>
  <c r="T21" i="45"/>
  <c r="AT31" i="3"/>
  <c r="J29" i="45" s="1"/>
  <c r="H29" i="45"/>
  <c r="AQ31" i="3"/>
  <c r="AS56" i="3"/>
  <c r="AM56" i="3"/>
  <c r="U6" i="45" s="1"/>
  <c r="G295" i="40"/>
  <c r="J269" i="40"/>
  <c r="J264" i="40"/>
  <c r="G336" i="40"/>
  <c r="J230" i="40"/>
  <c r="I335" i="40"/>
  <c r="D379" i="40"/>
  <c r="I100" i="40"/>
  <c r="J24" i="40"/>
  <c r="J298" i="40"/>
  <c r="J409" i="40"/>
  <c r="J173" i="40"/>
  <c r="G291" i="40"/>
  <c r="C383" i="40"/>
  <c r="C377" i="40"/>
  <c r="I174" i="40"/>
  <c r="E26" i="40"/>
  <c r="I145" i="40"/>
  <c r="E231" i="40"/>
  <c r="I236" i="40"/>
  <c r="J274" i="40"/>
  <c r="E218" i="40"/>
  <c r="J475" i="40"/>
  <c r="I136" i="40"/>
  <c r="J200" i="40"/>
  <c r="J487" i="40"/>
  <c r="E16" i="40"/>
  <c r="I76" i="40"/>
  <c r="I125" i="40"/>
  <c r="I54" i="40"/>
  <c r="C232" i="40"/>
  <c r="J9" i="40"/>
  <c r="G96" i="40"/>
  <c r="I381" i="40"/>
  <c r="C315" i="40"/>
  <c r="I431" i="40"/>
  <c r="J160" i="40"/>
  <c r="E8" i="40"/>
  <c r="D338" i="40"/>
  <c r="J360" i="40"/>
  <c r="J88" i="40"/>
  <c r="J251" i="40"/>
  <c r="G398" i="40"/>
  <c r="J154" i="40"/>
  <c r="I209" i="40"/>
  <c r="G87" i="40"/>
  <c r="I265" i="40"/>
  <c r="J348" i="40"/>
  <c r="G74" i="40"/>
  <c r="I410" i="40"/>
  <c r="C371" i="40"/>
  <c r="J17" i="40"/>
  <c r="I422" i="40"/>
  <c r="I140" i="40"/>
  <c r="G93" i="40"/>
  <c r="I25" i="40"/>
  <c r="J444" i="40"/>
  <c r="J469" i="40"/>
  <c r="E167" i="40"/>
  <c r="I385" i="40"/>
  <c r="E175" i="40"/>
  <c r="E176" i="40"/>
  <c r="E13" i="40"/>
  <c r="I391" i="40"/>
  <c r="I40" i="40"/>
  <c r="G62" i="40"/>
  <c r="I201" i="40"/>
  <c r="I390" i="40"/>
  <c r="I293" i="40"/>
  <c r="E258" i="40"/>
  <c r="D119" i="40"/>
  <c r="C316" i="40"/>
  <c r="J120" i="40"/>
  <c r="G52" i="40"/>
  <c r="J276" i="40"/>
  <c r="E203" i="40"/>
  <c r="J219" i="40"/>
  <c r="J223" i="40"/>
  <c r="J434" i="40"/>
  <c r="G38" i="40"/>
  <c r="E204" i="40"/>
  <c r="J282" i="40"/>
  <c r="J82" i="40"/>
  <c r="I275" i="40"/>
  <c r="J249" i="40"/>
  <c r="I457" i="40"/>
  <c r="I10" i="40"/>
  <c r="J135" i="40"/>
  <c r="E12" i="40"/>
  <c r="I376" i="40"/>
  <c r="J389" i="40"/>
  <c r="I405" i="40"/>
  <c r="E169" i="40"/>
  <c r="I245" i="40"/>
  <c r="J324" i="40"/>
  <c r="I325" i="40"/>
  <c r="G50" i="40"/>
  <c r="I104" i="40"/>
  <c r="I215" i="40"/>
  <c r="J99" i="40"/>
  <c r="J319" i="40"/>
  <c r="J235" i="40"/>
  <c r="C321" i="40"/>
  <c r="J266" i="40"/>
  <c r="J406" i="40"/>
  <c r="G117" i="40"/>
  <c r="J491" i="40"/>
  <c r="J108" i="40"/>
  <c r="J180" i="40"/>
  <c r="I256" i="40"/>
  <c r="I456" i="40"/>
  <c r="G287" i="40"/>
  <c r="J240" i="40"/>
  <c r="E185" i="40"/>
  <c r="E190" i="40"/>
  <c r="J375" i="40"/>
  <c r="G32" i="40"/>
  <c r="I304" i="40"/>
  <c r="G148" i="40"/>
  <c r="J131" i="40"/>
  <c r="E11" i="40"/>
  <c r="J384" i="40"/>
  <c r="E188" i="40"/>
  <c r="E243" i="40"/>
  <c r="D463" i="40"/>
  <c r="J404" i="40"/>
  <c r="J370" i="40"/>
  <c r="J46" i="40"/>
  <c r="I281" i="40"/>
  <c r="AQ72" i="3"/>
  <c r="AN72" i="3"/>
  <c r="AT72" i="3"/>
  <c r="V22" i="45" s="1"/>
  <c r="AR72" i="3"/>
  <c r="AM72" i="3"/>
  <c r="U22" i="45" s="1"/>
  <c r="AS72" i="3"/>
  <c r="F492" i="40"/>
  <c r="H235" i="40"/>
  <c r="H469" i="40"/>
  <c r="F149" i="40"/>
  <c r="F458" i="40"/>
  <c r="F164" i="40"/>
  <c r="H263" i="40"/>
  <c r="H433" i="40"/>
  <c r="H275" i="40"/>
  <c r="F70" i="40"/>
  <c r="H471" i="40"/>
  <c r="H246" i="40"/>
  <c r="H440" i="40"/>
  <c r="F40" i="40"/>
  <c r="H264" i="40"/>
  <c r="F197" i="40"/>
  <c r="F364" i="40"/>
  <c r="H29" i="40"/>
  <c r="F362" i="40"/>
  <c r="I276" i="40"/>
  <c r="F45" i="40"/>
  <c r="AP8" i="3"/>
  <c r="AK8" i="3"/>
  <c r="AK89" i="3"/>
  <c r="AO89" i="3"/>
  <c r="AR89" i="3"/>
  <c r="W39" i="45" s="1"/>
  <c r="AP89" i="3"/>
  <c r="I450" i="40"/>
  <c r="I486" i="40"/>
  <c r="G297" i="40"/>
  <c r="J439" i="40"/>
  <c r="J485" i="40"/>
  <c r="J146" i="40"/>
  <c r="C318" i="40"/>
  <c r="J259" i="40"/>
  <c r="G300" i="40"/>
  <c r="C289" i="40"/>
  <c r="H27" i="40"/>
  <c r="AK72" i="3"/>
  <c r="F445" i="40"/>
  <c r="J156" i="40"/>
  <c r="J280" i="40"/>
  <c r="AO72" i="3"/>
  <c r="I196" i="40"/>
  <c r="J144" i="40"/>
  <c r="J451" i="40"/>
  <c r="E268" i="40"/>
  <c r="J364" i="40"/>
  <c r="J129" i="40"/>
  <c r="D134" i="40"/>
  <c r="I67" i="40"/>
  <c r="I435" i="40"/>
  <c r="D70" i="40"/>
  <c r="C427" i="40"/>
  <c r="I313" i="40"/>
  <c r="J464" i="40"/>
  <c r="E183" i="40"/>
  <c r="D331" i="40"/>
  <c r="D124" i="40"/>
  <c r="D52" i="40"/>
  <c r="I260" i="40"/>
  <c r="F148" i="40"/>
  <c r="AA45" i="45"/>
  <c r="AQ57" i="3"/>
  <c r="C30" i="40"/>
  <c r="E36" i="40"/>
  <c r="C91" i="40"/>
  <c r="AR63" i="3"/>
  <c r="W13" i="45" s="1"/>
  <c r="I282" i="40"/>
  <c r="D358" i="40"/>
  <c r="C90" i="40"/>
  <c r="C135" i="40"/>
  <c r="C4" i="40"/>
  <c r="I153" i="40"/>
  <c r="J142" i="40"/>
  <c r="AS7" i="3"/>
  <c r="K5" i="45" s="1"/>
  <c r="C301" i="40"/>
  <c r="E39" i="40"/>
  <c r="I471" i="40"/>
  <c r="H120" i="40"/>
  <c r="H176" i="40"/>
  <c r="H157" i="40"/>
  <c r="AT57" i="3"/>
  <c r="V7" i="45" s="1"/>
  <c r="AS57" i="3"/>
  <c r="J488" i="40"/>
  <c r="C7" i="40"/>
  <c r="I143" i="40"/>
  <c r="C420" i="40"/>
  <c r="C144" i="40"/>
  <c r="AO40" i="3"/>
  <c r="C94" i="40"/>
  <c r="I162" i="40"/>
  <c r="C341" i="40"/>
  <c r="T13" i="45"/>
  <c r="C210" i="40"/>
  <c r="E40" i="40"/>
  <c r="D254" i="40"/>
  <c r="C303" i="40"/>
  <c r="C64" i="40"/>
  <c r="C465" i="40"/>
  <c r="I416" i="40"/>
  <c r="AQ7" i="3"/>
  <c r="C300" i="40"/>
  <c r="AP16" i="3"/>
  <c r="F170" i="40"/>
  <c r="AP78" i="3"/>
  <c r="AT7" i="3"/>
  <c r="J5" i="45" s="1"/>
  <c r="AM78" i="3"/>
  <c r="U28" i="45" s="1"/>
  <c r="BQ58" i="3"/>
  <c r="AT15" i="3"/>
  <c r="J13" i="45" s="1"/>
  <c r="AP15" i="3"/>
  <c r="D101" i="40"/>
  <c r="D78" i="40"/>
  <c r="H145" i="40"/>
  <c r="H111" i="40"/>
  <c r="F151" i="40"/>
  <c r="H26" i="40"/>
  <c r="H231" i="40"/>
  <c r="I165" i="40"/>
  <c r="F335" i="40"/>
  <c r="H262" i="40"/>
  <c r="F22" i="40"/>
  <c r="F44" i="40"/>
  <c r="F179" i="40"/>
  <c r="F350" i="40"/>
  <c r="F157" i="40"/>
  <c r="F4" i="40"/>
  <c r="F159" i="40"/>
  <c r="I489" i="40"/>
  <c r="AQ81" i="3"/>
  <c r="AK81" i="3"/>
  <c r="AS46" i="3"/>
  <c r="AK46" i="3"/>
  <c r="I355" i="40"/>
  <c r="I418" i="40"/>
  <c r="I190" i="40"/>
  <c r="I106" i="40"/>
  <c r="I49" i="40"/>
  <c r="I303" i="40"/>
  <c r="I430" i="40"/>
  <c r="I115" i="40"/>
  <c r="I322" i="40"/>
  <c r="I317" i="40"/>
  <c r="I336" i="40"/>
  <c r="I112" i="40"/>
  <c r="I377" i="40"/>
  <c r="I352" i="40"/>
  <c r="I338" i="40"/>
  <c r="I133" i="40"/>
  <c r="I217" i="40"/>
  <c r="I78" i="40"/>
  <c r="I455" i="40"/>
  <c r="I26" i="40"/>
  <c r="I66" i="40"/>
  <c r="I37" i="40"/>
  <c r="I283" i="40"/>
  <c r="I398" i="40"/>
  <c r="I449" i="40"/>
  <c r="I138" i="40"/>
  <c r="I148" i="40"/>
  <c r="I401" i="40"/>
  <c r="I373" i="40"/>
  <c r="I246" i="40"/>
  <c r="I60" i="40"/>
  <c r="I183" i="40"/>
  <c r="I353" i="40"/>
  <c r="I278" i="40"/>
  <c r="I389" i="40"/>
  <c r="I134" i="40"/>
  <c r="I182" i="40"/>
  <c r="I222" i="40"/>
  <c r="I160" i="40"/>
  <c r="I386" i="40"/>
  <c r="I375" i="40"/>
  <c r="I252" i="40"/>
  <c r="I414" i="40"/>
  <c r="I307" i="40"/>
  <c r="I301" i="40"/>
  <c r="I102" i="40"/>
  <c r="I309" i="40"/>
  <c r="I219" i="40"/>
  <c r="I200" i="40"/>
  <c r="I7" i="40"/>
  <c r="I310" i="40"/>
  <c r="I175" i="40"/>
  <c r="I73" i="40"/>
  <c r="I169" i="40"/>
  <c r="I124" i="40"/>
  <c r="I447" i="40"/>
  <c r="I226" i="40"/>
  <c r="I123" i="40"/>
  <c r="I206" i="40"/>
  <c r="I94" i="40"/>
  <c r="I305" i="40"/>
  <c r="I33" i="40"/>
  <c r="I179" i="40"/>
  <c r="I342" i="40"/>
  <c r="I315" i="40"/>
  <c r="I149" i="40"/>
  <c r="I225" i="40"/>
  <c r="I427" i="40"/>
  <c r="I383" i="40"/>
  <c r="I56" i="40"/>
  <c r="I228" i="40"/>
  <c r="I345" i="40"/>
  <c r="I132" i="40"/>
  <c r="I9" i="40"/>
  <c r="I442" i="40"/>
  <c r="I408" i="40"/>
  <c r="I393" i="40"/>
  <c r="I91" i="40"/>
  <c r="I384" i="40"/>
  <c r="I318" i="40"/>
  <c r="I97" i="40"/>
  <c r="I243" i="40"/>
  <c r="I191" i="40"/>
  <c r="I193" i="40"/>
  <c r="I339" i="40"/>
  <c r="I122" i="40"/>
  <c r="I203" i="40"/>
  <c r="I446" i="40"/>
  <c r="I295" i="40"/>
  <c r="I234" i="40"/>
  <c r="I387" i="40"/>
  <c r="I16" i="40"/>
  <c r="I105" i="40"/>
  <c r="I374" i="40"/>
  <c r="I321" i="40"/>
  <c r="AT38" i="3"/>
  <c r="J36" i="45" s="1"/>
  <c r="AP38" i="3"/>
  <c r="H290" i="40"/>
  <c r="H287" i="40"/>
  <c r="D24" i="40"/>
  <c r="D193" i="40"/>
  <c r="D93" i="40"/>
  <c r="D438" i="40"/>
  <c r="D472" i="40"/>
  <c r="H305" i="40"/>
  <c r="D291" i="40"/>
  <c r="D264" i="40"/>
  <c r="D437" i="40"/>
  <c r="AP81" i="3"/>
  <c r="C234" i="40"/>
  <c r="C324" i="40"/>
  <c r="G105" i="40"/>
  <c r="C58" i="40"/>
  <c r="H187" i="40"/>
  <c r="G81" i="40"/>
  <c r="C201" i="40"/>
  <c r="C3" i="40"/>
  <c r="C375" i="40"/>
  <c r="C225" i="40"/>
  <c r="G53" i="40"/>
  <c r="C480" i="40"/>
  <c r="C180" i="40"/>
  <c r="H340" i="40"/>
  <c r="C284" i="40"/>
  <c r="C412" i="40"/>
  <c r="H371" i="40"/>
  <c r="C283" i="40"/>
  <c r="G166" i="40"/>
  <c r="H171" i="40"/>
  <c r="C479" i="40"/>
  <c r="G133" i="40"/>
  <c r="H312" i="40"/>
  <c r="C386" i="40"/>
  <c r="G118" i="40"/>
  <c r="G141" i="40"/>
  <c r="C240" i="40"/>
  <c r="G2" i="40"/>
  <c r="H182" i="40"/>
  <c r="C314" i="40"/>
  <c r="C355" i="40"/>
  <c r="C265" i="40"/>
  <c r="H90" i="40"/>
  <c r="C325" i="40"/>
  <c r="G41" i="40"/>
  <c r="G152" i="40"/>
  <c r="C82" i="40"/>
  <c r="C226" i="40"/>
  <c r="H169" i="40"/>
  <c r="G42" i="40"/>
  <c r="G31" i="40"/>
  <c r="C111" i="40"/>
  <c r="C167" i="40"/>
  <c r="C390" i="40"/>
  <c r="H212" i="40"/>
  <c r="C310" i="40"/>
  <c r="C228" i="40"/>
  <c r="G155" i="40"/>
  <c r="G30" i="40"/>
  <c r="G127" i="40"/>
  <c r="G134" i="40"/>
  <c r="C292" i="40"/>
  <c r="C358" i="40"/>
  <c r="G5" i="40"/>
  <c r="C60" i="40"/>
  <c r="C198" i="40"/>
  <c r="G34" i="40"/>
  <c r="G151" i="40"/>
  <c r="C332" i="40"/>
  <c r="G120" i="40"/>
  <c r="C204" i="40"/>
  <c r="C251" i="40"/>
  <c r="C391" i="40"/>
  <c r="H210" i="40"/>
  <c r="C273" i="40"/>
  <c r="C181" i="40"/>
  <c r="C334" i="40"/>
  <c r="C373" i="40"/>
  <c r="C146" i="40"/>
  <c r="C209" i="40"/>
  <c r="C446" i="40"/>
  <c r="AP55" i="3"/>
  <c r="C191" i="40"/>
  <c r="G168" i="40"/>
  <c r="C322" i="40"/>
  <c r="C430" i="40"/>
  <c r="C471" i="40"/>
  <c r="H315" i="40"/>
  <c r="AO55" i="3"/>
  <c r="G48" i="40"/>
  <c r="C491" i="40"/>
  <c r="C233" i="40"/>
  <c r="C440" i="40"/>
  <c r="C403" i="40"/>
  <c r="C274" i="40"/>
  <c r="G25" i="40"/>
  <c r="G100" i="40"/>
  <c r="C192" i="40"/>
  <c r="C235" i="40"/>
  <c r="C203" i="40"/>
  <c r="C406" i="40"/>
  <c r="G46" i="40"/>
  <c r="C241" i="40"/>
  <c r="C359" i="40"/>
  <c r="C86" i="40"/>
  <c r="C436" i="40"/>
  <c r="G45" i="40"/>
  <c r="G12" i="40"/>
  <c r="C415" i="40"/>
  <c r="C197" i="40"/>
  <c r="H214" i="40"/>
  <c r="C89" i="40"/>
  <c r="AS55" i="3"/>
  <c r="AQ55" i="3"/>
  <c r="H215" i="40"/>
  <c r="C115" i="40"/>
  <c r="C414" i="40"/>
  <c r="G20" i="40"/>
  <c r="G15" i="40"/>
  <c r="H304" i="40"/>
  <c r="H213" i="40"/>
  <c r="G130" i="40"/>
  <c r="H401" i="40"/>
  <c r="C61" i="40"/>
  <c r="C468" i="40"/>
  <c r="H374" i="40"/>
  <c r="H184" i="40"/>
  <c r="C253" i="40"/>
  <c r="C335" i="40"/>
  <c r="C190" i="40"/>
  <c r="C110" i="40"/>
  <c r="G109" i="40"/>
  <c r="C47" i="40"/>
  <c r="G119" i="40"/>
  <c r="C350" i="40"/>
  <c r="G121" i="40"/>
  <c r="C380" i="40"/>
  <c r="C439" i="40"/>
  <c r="H49" i="40"/>
  <c r="H301" i="40"/>
  <c r="G77" i="40"/>
  <c r="H393" i="40"/>
  <c r="C113" i="40"/>
  <c r="C199" i="40"/>
  <c r="C330" i="40"/>
  <c r="H338" i="40"/>
  <c r="AN87" i="3"/>
  <c r="D44" i="40"/>
  <c r="D82" i="40"/>
  <c r="D3" i="40"/>
  <c r="D455" i="40"/>
  <c r="D425" i="40"/>
  <c r="H316" i="40"/>
  <c r="H295" i="40"/>
  <c r="D42" i="40"/>
  <c r="D73" i="40"/>
  <c r="D143" i="40"/>
  <c r="H310" i="40"/>
  <c r="D25" i="40"/>
  <c r="AP31" i="3"/>
  <c r="AK56" i="3"/>
  <c r="D418" i="40"/>
  <c r="H289" i="40"/>
  <c r="D18" i="40"/>
  <c r="AN71" i="3"/>
  <c r="D177" i="40"/>
  <c r="D184" i="40"/>
  <c r="D233" i="40"/>
  <c r="D345" i="40"/>
  <c r="D213" i="40"/>
  <c r="D140" i="40"/>
  <c r="F315" i="40"/>
  <c r="H341" i="40"/>
  <c r="F202" i="40"/>
  <c r="I460" i="40"/>
  <c r="H258" i="40"/>
  <c r="F147" i="40"/>
  <c r="H256" i="40"/>
  <c r="F66" i="40"/>
  <c r="H236" i="40"/>
  <c r="F192" i="40"/>
  <c r="F432" i="40"/>
  <c r="H441" i="40"/>
  <c r="H140" i="40"/>
  <c r="AM31" i="3"/>
  <c r="I29" i="45" s="1"/>
  <c r="H66" i="40"/>
  <c r="AN30" i="3"/>
  <c r="AS71" i="3"/>
  <c r="D215" i="40"/>
  <c r="D89" i="40"/>
  <c r="D130" i="40"/>
  <c r="H175" i="40"/>
  <c r="D104" i="40"/>
  <c r="BQ66" i="3"/>
  <c r="D225" i="40"/>
  <c r="H116" i="40"/>
  <c r="F80" i="40"/>
  <c r="F442" i="40"/>
  <c r="F454" i="40"/>
  <c r="F163" i="40"/>
  <c r="H481" i="40"/>
  <c r="H136" i="40"/>
  <c r="H249" i="40"/>
  <c r="AP57" i="3"/>
  <c r="F443" i="40"/>
  <c r="I496" i="40"/>
  <c r="H463" i="40"/>
  <c r="F351" i="40"/>
  <c r="AO14" i="3"/>
  <c r="AR87" i="3"/>
  <c r="D123" i="40"/>
  <c r="D230" i="40"/>
  <c r="D496" i="40"/>
  <c r="D125" i="40"/>
  <c r="D58" i="40"/>
  <c r="D159" i="40"/>
  <c r="H54" i="40"/>
  <c r="D251" i="40"/>
  <c r="D473" i="40"/>
  <c r="D197" i="40"/>
  <c r="D37" i="40"/>
  <c r="F332" i="40"/>
  <c r="F493" i="40"/>
  <c r="H430" i="40"/>
  <c r="F320" i="40"/>
  <c r="F201" i="40"/>
  <c r="H238" i="40"/>
  <c r="F282" i="40"/>
  <c r="F181" i="40"/>
  <c r="H265" i="40"/>
  <c r="H342" i="40"/>
  <c r="F120" i="40"/>
  <c r="F281" i="40"/>
  <c r="F453" i="40"/>
  <c r="AO16" i="3"/>
  <c r="AN14" i="3"/>
  <c r="H299" i="40"/>
  <c r="D386" i="40"/>
  <c r="D27" i="40"/>
  <c r="D85" i="40"/>
  <c r="H296" i="40"/>
  <c r="F333" i="40"/>
  <c r="F194" i="40"/>
  <c r="H134" i="40"/>
  <c r="F10" i="40"/>
  <c r="AK16" i="3"/>
  <c r="H14" i="45"/>
  <c r="D171" i="40"/>
  <c r="D421" i="40"/>
  <c r="H311" i="40"/>
  <c r="D107" i="40"/>
  <c r="AR71" i="3"/>
  <c r="W21" i="45" s="1"/>
  <c r="AO65" i="3"/>
  <c r="AP71" i="3"/>
  <c r="D477" i="40"/>
  <c r="H402" i="40"/>
  <c r="D139" i="40"/>
  <c r="D137" i="40"/>
  <c r="D227" i="40"/>
  <c r="D279" i="40"/>
  <c r="D161" i="40"/>
  <c r="H292" i="40"/>
  <c r="D138" i="40"/>
  <c r="D146" i="40"/>
  <c r="D80" i="40"/>
  <c r="AS15" i="3"/>
  <c r="AM15" i="3"/>
  <c r="I13" i="45" s="1"/>
  <c r="T37" i="45"/>
  <c r="AR31" i="3"/>
  <c r="AN94" i="3"/>
  <c r="J187" i="40"/>
  <c r="AO56" i="3"/>
  <c r="BQ59" i="3"/>
  <c r="D362" i="40"/>
  <c r="F57" i="40"/>
  <c r="H432" i="40"/>
  <c r="H350" i="40"/>
  <c r="H397" i="40"/>
  <c r="D127" i="40"/>
  <c r="H4" i="40"/>
  <c r="H346" i="40"/>
  <c r="AS8" i="3"/>
  <c r="F435" i="40"/>
  <c r="E29" i="40"/>
  <c r="J60" i="40"/>
  <c r="C205" i="40"/>
  <c r="F82" i="40"/>
  <c r="F24" i="40"/>
  <c r="H139" i="40"/>
  <c r="I308" i="40"/>
  <c r="J350" i="40"/>
  <c r="F155" i="40"/>
  <c r="F361" i="40"/>
  <c r="F32" i="40"/>
  <c r="AP72" i="3"/>
  <c r="M116" i="3"/>
  <c r="I72" i="40"/>
  <c r="F191" i="40"/>
  <c r="F341" i="40"/>
  <c r="F55" i="40"/>
  <c r="T22" i="45"/>
  <c r="H490" i="40"/>
  <c r="H412" i="40"/>
  <c r="AQ65" i="3"/>
  <c r="AP65" i="3"/>
  <c r="D172" i="40"/>
  <c r="D404" i="40"/>
  <c r="H53" i="40"/>
  <c r="D420" i="40"/>
  <c r="D41" i="40"/>
  <c r="D263" i="40"/>
  <c r="H293" i="40"/>
  <c r="D461" i="40"/>
  <c r="D309" i="40"/>
  <c r="D242" i="40"/>
  <c r="D457" i="40"/>
  <c r="D365" i="40"/>
  <c r="H385" i="40"/>
  <c r="D174" i="40"/>
  <c r="D202" i="40"/>
  <c r="D369" i="40"/>
  <c r="D8" i="40"/>
  <c r="D479" i="40"/>
  <c r="D265" i="40"/>
  <c r="H307" i="40"/>
  <c r="D332" i="40"/>
  <c r="D205" i="40"/>
  <c r="D318" i="40"/>
  <c r="H434" i="40"/>
  <c r="D330" i="40"/>
  <c r="D79" i="40"/>
  <c r="D145" i="40"/>
  <c r="D158" i="40"/>
  <c r="D76" i="40"/>
  <c r="D278" i="40"/>
  <c r="D212" i="40"/>
  <c r="D105" i="40"/>
  <c r="D142" i="40"/>
  <c r="D370" i="40"/>
  <c r="H308" i="40"/>
  <c r="H372" i="40"/>
  <c r="D247" i="40"/>
  <c r="D243" i="40"/>
  <c r="H167" i="40"/>
  <c r="D419" i="40"/>
  <c r="D441" i="40"/>
  <c r="D388" i="40"/>
  <c r="D129" i="40"/>
  <c r="D401" i="40"/>
  <c r="H406" i="40"/>
  <c r="D232" i="40"/>
  <c r="H399" i="40"/>
  <c r="D23" i="40"/>
  <c r="D187" i="40"/>
  <c r="D15" i="40"/>
  <c r="D261" i="40"/>
  <c r="D128" i="40"/>
  <c r="D284" i="40"/>
  <c r="D460" i="40"/>
  <c r="D214" i="40"/>
  <c r="H55" i="40"/>
  <c r="D367" i="40"/>
  <c r="D282" i="40"/>
  <c r="D39" i="40"/>
  <c r="D173" i="40"/>
  <c r="D312" i="40"/>
  <c r="D417" i="40"/>
  <c r="H347" i="40"/>
  <c r="D249" i="40"/>
  <c r="D57" i="40"/>
  <c r="D313" i="40"/>
  <c r="D17" i="40"/>
  <c r="D207" i="40"/>
  <c r="D87" i="40"/>
  <c r="D16" i="40"/>
  <c r="D398" i="40"/>
  <c r="D7" i="40"/>
  <c r="D436" i="40"/>
  <c r="H203" i="40"/>
  <c r="D208" i="40"/>
  <c r="H400" i="40"/>
  <c r="H183" i="40"/>
  <c r="D88" i="40"/>
  <c r="H51" i="40"/>
  <c r="D387" i="40"/>
  <c r="D160" i="40"/>
  <c r="D77" i="40"/>
  <c r="D364" i="40"/>
  <c r="D224" i="40"/>
  <c r="D245" i="40"/>
  <c r="AM30" i="3"/>
  <c r="I28" i="45" s="1"/>
  <c r="AK30" i="3"/>
  <c r="AO30" i="3"/>
  <c r="AP30" i="3"/>
  <c r="AK78" i="3"/>
  <c r="AT78" i="3"/>
  <c r="V28" i="45" s="1"/>
  <c r="AO78" i="3"/>
  <c r="AP94" i="3"/>
  <c r="AK94" i="3"/>
  <c r="AR94" i="3"/>
  <c r="AQ47" i="3"/>
  <c r="N104" i="3"/>
  <c r="AN47" i="3"/>
  <c r="AR64" i="3"/>
  <c r="AN64" i="3"/>
  <c r="AR86" i="3"/>
  <c r="AS86" i="3"/>
  <c r="T46" i="45"/>
  <c r="AS96" i="3"/>
  <c r="AQ96" i="3"/>
  <c r="AS6" i="3"/>
  <c r="AK6" i="3"/>
  <c r="AR6" i="3"/>
  <c r="AP6" i="3"/>
  <c r="AQ6" i="3"/>
  <c r="AT6" i="3"/>
  <c r="J4" i="45" s="1"/>
  <c r="AO87" i="3"/>
  <c r="D164" i="40"/>
  <c r="H12" i="40"/>
  <c r="D74" i="40"/>
  <c r="D262" i="40"/>
  <c r="AN78" i="3"/>
  <c r="D492" i="40"/>
  <c r="H326" i="40"/>
  <c r="D165" i="40"/>
  <c r="D390" i="40"/>
  <c r="D106" i="40"/>
  <c r="D494" i="40"/>
  <c r="D122" i="40"/>
  <c r="D422" i="40"/>
  <c r="AM6" i="3"/>
  <c r="I4" i="45" s="1"/>
  <c r="D453" i="40"/>
  <c r="AS87" i="3"/>
  <c r="D131" i="40"/>
  <c r="D59" i="40"/>
  <c r="D480" i="40"/>
  <c r="D163" i="40"/>
  <c r="D248" i="40"/>
  <c r="D459" i="40"/>
  <c r="H403" i="40"/>
  <c r="D228" i="40"/>
  <c r="AT65" i="3"/>
  <c r="V15" i="45" s="1"/>
  <c r="AM64" i="3"/>
  <c r="U14" i="45" s="1"/>
  <c r="H328" i="40"/>
  <c r="AR65" i="3"/>
  <c r="AT87" i="3"/>
  <c r="V37" i="45" s="1"/>
  <c r="AK64" i="3"/>
  <c r="AS64" i="3"/>
  <c r="H170" i="40"/>
  <c r="H94" i="40"/>
  <c r="D29" i="40"/>
  <c r="D474" i="40"/>
  <c r="D495" i="40"/>
  <c r="D102" i="40"/>
  <c r="D21" i="40"/>
  <c r="D199" i="40"/>
  <c r="D200" i="40"/>
  <c r="D481" i="40"/>
  <c r="H298" i="40"/>
  <c r="D114" i="40"/>
  <c r="H435" i="40"/>
  <c r="D116" i="40"/>
  <c r="D478" i="40"/>
  <c r="D234" i="40"/>
  <c r="D258" i="40"/>
  <c r="AS30" i="3"/>
  <c r="D11" i="40"/>
  <c r="H266" i="40"/>
  <c r="I490" i="40"/>
  <c r="H477" i="40"/>
  <c r="F129" i="40"/>
  <c r="H252" i="40"/>
  <c r="AM14" i="3"/>
  <c r="I12" i="45" s="1"/>
  <c r="AS14" i="3"/>
  <c r="H488" i="40"/>
  <c r="H271" i="40"/>
  <c r="F63" i="40"/>
  <c r="F237" i="40"/>
  <c r="H137" i="40"/>
  <c r="H274" i="40"/>
  <c r="F152" i="40"/>
  <c r="F322" i="40"/>
  <c r="F43" i="40"/>
  <c r="F370" i="40"/>
  <c r="F68" i="40"/>
  <c r="F365" i="40"/>
  <c r="F244" i="40"/>
  <c r="F166" i="40"/>
  <c r="F353" i="40"/>
  <c r="H464" i="40"/>
  <c r="T7" i="45"/>
  <c r="AM23" i="3"/>
  <c r="I21" i="45" s="1"/>
  <c r="H470" i="40"/>
  <c r="AO8" i="3"/>
  <c r="F368" i="40"/>
  <c r="F73" i="40"/>
  <c r="F150" i="40"/>
  <c r="F3" i="40"/>
  <c r="F37" i="40"/>
  <c r="F64" i="40"/>
  <c r="F189" i="40"/>
  <c r="F452" i="40"/>
  <c r="F34" i="40"/>
  <c r="H142" i="40"/>
  <c r="H260" i="40"/>
  <c r="H480" i="40"/>
  <c r="F61" i="40"/>
  <c r="F175" i="40"/>
  <c r="F358" i="40"/>
  <c r="F177" i="40"/>
  <c r="H462" i="40"/>
  <c r="F487" i="40"/>
  <c r="H439" i="40"/>
  <c r="H475" i="40"/>
  <c r="H427" i="40"/>
  <c r="F7" i="40"/>
  <c r="F269" i="40"/>
  <c r="AT14" i="3"/>
  <c r="J12" i="45" s="1"/>
  <c r="AK63" i="3"/>
  <c r="AS31" i="3"/>
  <c r="J381" i="40"/>
  <c r="AN15" i="3"/>
  <c r="AM89" i="3"/>
  <c r="U39" i="45" s="1"/>
  <c r="AS23" i="3"/>
  <c r="K21" i="45" s="1"/>
  <c r="AQ8" i="3"/>
  <c r="I131" i="40"/>
  <c r="H239" i="40"/>
  <c r="I459" i="40"/>
  <c r="F278" i="40"/>
  <c r="H336" i="40"/>
  <c r="F327" i="40"/>
  <c r="H474" i="40"/>
  <c r="F456" i="40"/>
  <c r="F245" i="40"/>
  <c r="F447" i="40"/>
  <c r="H146" i="40"/>
  <c r="AM48" i="3"/>
  <c r="I46" i="45" s="1"/>
  <c r="F338" i="40"/>
  <c r="H450" i="40"/>
  <c r="F268" i="40"/>
  <c r="F81" i="40"/>
  <c r="H132" i="40"/>
  <c r="F185" i="40"/>
  <c r="F319" i="40"/>
  <c r="F156" i="40"/>
  <c r="H232" i="40"/>
  <c r="H141" i="40"/>
  <c r="H144" i="40"/>
  <c r="AM71" i="3"/>
  <c r="U21" i="45" s="1"/>
  <c r="AQ71" i="3"/>
  <c r="AR15" i="3"/>
  <c r="AN23" i="3"/>
  <c r="AK31" i="3"/>
  <c r="AQ89" i="3"/>
  <c r="AN89" i="3"/>
  <c r="AT89" i="3"/>
  <c r="V39" i="45" s="1"/>
  <c r="AT56" i="3"/>
  <c r="V6" i="45" s="1"/>
  <c r="AK23" i="3"/>
  <c r="AK71" i="3"/>
  <c r="H234" i="40"/>
  <c r="F343" i="40"/>
  <c r="H257" i="40"/>
  <c r="F494" i="40"/>
  <c r="H143" i="40"/>
  <c r="H428" i="40"/>
  <c r="F39" i="40"/>
  <c r="F195" i="40"/>
  <c r="F21" i="40"/>
  <c r="F326" i="40"/>
  <c r="F485" i="40"/>
  <c r="F122" i="40"/>
  <c r="F67" i="40"/>
  <c r="F77" i="40"/>
  <c r="F196" i="40"/>
  <c r="F339" i="40"/>
  <c r="F188" i="40"/>
  <c r="F65" i="40"/>
  <c r="F60" i="40"/>
  <c r="F360" i="40"/>
  <c r="F62" i="40"/>
  <c r="H449" i="40"/>
  <c r="H466" i="40"/>
  <c r="F69" i="40"/>
  <c r="AT16" i="3"/>
  <c r="J14" i="45" s="1"/>
  <c r="AO63" i="3"/>
  <c r="BQ68" i="3"/>
  <c r="BQ67" i="3"/>
  <c r="F35" i="40"/>
  <c r="AS94" i="3"/>
  <c r="H465" i="40"/>
  <c r="T14" i="45"/>
  <c r="AN6" i="3"/>
  <c r="J445" i="40"/>
  <c r="AN16" i="3"/>
  <c r="J421" i="40"/>
  <c r="AQ14" i="3"/>
  <c r="AQ16" i="3"/>
  <c r="AK14" i="3"/>
  <c r="AM16" i="3"/>
  <c r="I14" i="45" s="1"/>
  <c r="C142" i="31"/>
  <c r="BQ60" i="3"/>
  <c r="AM47" i="3"/>
  <c r="I45" i="45" s="1"/>
  <c r="J121" i="40"/>
  <c r="AQ94" i="3"/>
  <c r="BQ61" i="3"/>
  <c r="D10" i="40"/>
  <c r="D327" i="40"/>
  <c r="D166" i="40"/>
  <c r="D366" i="40"/>
  <c r="D285" i="40"/>
  <c r="H382" i="40"/>
  <c r="D244" i="40"/>
  <c r="H373" i="40"/>
  <c r="D454" i="40"/>
  <c r="D60" i="40"/>
  <c r="D61" i="40"/>
  <c r="D75" i="40"/>
  <c r="D423" i="40"/>
  <c r="D223" i="40"/>
  <c r="D126" i="40"/>
  <c r="D14" i="40"/>
  <c r="D363" i="40"/>
  <c r="AP96" i="3"/>
  <c r="F270" i="40"/>
  <c r="AT64" i="3"/>
  <c r="V14" i="45" s="1"/>
  <c r="D342" i="40"/>
  <c r="AQ56" i="3"/>
  <c r="F356" i="40"/>
  <c r="F154" i="40"/>
  <c r="F119" i="40"/>
  <c r="H261" i="40"/>
  <c r="F486" i="40"/>
  <c r="F329" i="40"/>
  <c r="F20" i="40"/>
  <c r="H272" i="40"/>
  <c r="F321" i="40"/>
  <c r="E207" i="40"/>
  <c r="D443" i="40"/>
  <c r="AM65" i="3"/>
  <c r="U15" i="45" s="1"/>
  <c r="H472" i="40"/>
  <c r="F359" i="40"/>
  <c r="F74" i="40"/>
  <c r="F345" i="40"/>
  <c r="F349" i="40"/>
  <c r="I396" i="40"/>
  <c r="F444" i="40"/>
  <c r="H438" i="40"/>
  <c r="F118" i="40"/>
  <c r="F367" i="40"/>
  <c r="AT96" i="3"/>
  <c r="V46" i="45" s="1"/>
  <c r="F482" i="40"/>
  <c r="J71" i="40"/>
  <c r="AS88" i="3"/>
  <c r="F124" i="40"/>
  <c r="F187" i="40"/>
  <c r="F178" i="40"/>
  <c r="F267" i="40"/>
  <c r="H467" i="40"/>
  <c r="F117" i="40"/>
  <c r="AM87" i="3"/>
  <c r="U37" i="45" s="1"/>
  <c r="F483" i="40"/>
  <c r="H283" i="40"/>
  <c r="AN31" i="3"/>
  <c r="I248" i="40"/>
  <c r="F323" i="40"/>
  <c r="J325" i="40"/>
  <c r="J217" i="40"/>
  <c r="C417" i="40"/>
  <c r="D374" i="40"/>
  <c r="D181" i="40"/>
  <c r="D306" i="40"/>
  <c r="D198" i="40"/>
  <c r="D65" i="40"/>
  <c r="D335" i="40"/>
  <c r="D439" i="40"/>
  <c r="D81" i="40"/>
  <c r="D260" i="40"/>
  <c r="H67" i="40"/>
  <c r="D361" i="40"/>
  <c r="H64" i="40"/>
  <c r="D31" i="40"/>
  <c r="D458" i="40"/>
  <c r="D456" i="40"/>
  <c r="D103" i="40"/>
  <c r="D28" i="40"/>
  <c r="D433" i="40"/>
  <c r="D157" i="40"/>
  <c r="H83" i="40"/>
  <c r="F243" i="40"/>
  <c r="AT30" i="3"/>
  <c r="J28" i="45" s="1"/>
  <c r="AO64" i="3"/>
  <c r="H168" i="40"/>
  <c r="H250" i="40"/>
  <c r="I451" i="40"/>
  <c r="H446" i="40"/>
  <c r="F347" i="40"/>
  <c r="F25" i="40"/>
  <c r="F33" i="40"/>
  <c r="F160" i="40"/>
  <c r="F318" i="40"/>
  <c r="F158" i="40"/>
  <c r="F161" i="40"/>
  <c r="J35" i="40"/>
  <c r="J339" i="40"/>
  <c r="T15" i="45"/>
  <c r="F242" i="40"/>
  <c r="F5" i="40"/>
  <c r="H30" i="40"/>
  <c r="F455" i="40"/>
  <c r="F200" i="40"/>
  <c r="F59" i="40"/>
  <c r="H255" i="40"/>
  <c r="F495" i="40"/>
  <c r="I286" i="40"/>
  <c r="F180" i="40"/>
  <c r="I448" i="40"/>
  <c r="F127" i="40"/>
  <c r="AK65" i="3"/>
  <c r="H431" i="40"/>
  <c r="H436" i="40"/>
  <c r="F56" i="40"/>
  <c r="AQ87" i="3"/>
  <c r="I461" i="40"/>
  <c r="H88" i="40"/>
  <c r="H361" i="40"/>
  <c r="BQ62" i="3"/>
  <c r="J397" i="40"/>
  <c r="J213" i="40"/>
  <c r="J263" i="40"/>
  <c r="J12" i="40"/>
  <c r="J176" i="40"/>
  <c r="J155" i="40"/>
  <c r="AM86" i="3"/>
  <c r="U36" i="45" s="1"/>
  <c r="G207" i="40"/>
  <c r="G238" i="40"/>
  <c r="G181" i="40"/>
  <c r="G469" i="40"/>
  <c r="G196" i="40"/>
  <c r="G215" i="40"/>
  <c r="G374" i="40"/>
  <c r="G401" i="40"/>
  <c r="G467" i="40"/>
  <c r="G473" i="40"/>
  <c r="G364" i="40"/>
  <c r="G302" i="40"/>
  <c r="G319" i="40"/>
  <c r="G462" i="40"/>
  <c r="G220" i="40"/>
  <c r="G260" i="40"/>
  <c r="G182" i="40"/>
  <c r="G396" i="40"/>
  <c r="G458" i="40"/>
  <c r="G356" i="40"/>
  <c r="G236" i="40"/>
  <c r="F291" i="40"/>
  <c r="G331" i="40"/>
  <c r="G452" i="40"/>
  <c r="G410" i="40"/>
  <c r="G324" i="40"/>
  <c r="G225" i="40"/>
  <c r="G259" i="40"/>
  <c r="G337" i="40"/>
  <c r="G283" i="40"/>
  <c r="G495" i="40"/>
  <c r="G171" i="40"/>
  <c r="F296" i="40"/>
  <c r="G368" i="40"/>
  <c r="AT94" i="3"/>
  <c r="V44" i="45" s="1"/>
  <c r="AT23" i="3"/>
  <c r="J21" i="45" s="1"/>
  <c r="AR48" i="3"/>
  <c r="J51" i="40"/>
  <c r="AO23" i="3"/>
  <c r="J145" i="40"/>
  <c r="J372" i="40"/>
  <c r="H303" i="40"/>
  <c r="C59" i="40"/>
  <c r="C368" i="40"/>
  <c r="G341" i="40"/>
  <c r="G437" i="40"/>
  <c r="G280" i="40"/>
  <c r="G351" i="40"/>
  <c r="G377" i="40"/>
  <c r="G446" i="40"/>
  <c r="G307" i="40"/>
  <c r="G486" i="40"/>
  <c r="G195" i="40"/>
  <c r="G425" i="40"/>
  <c r="G175" i="40"/>
  <c r="G373" i="40"/>
  <c r="F294" i="40"/>
  <c r="G471" i="40"/>
  <c r="G496" i="40"/>
  <c r="G223" i="40"/>
  <c r="G198" i="40"/>
  <c r="F168" i="40"/>
  <c r="G371" i="40"/>
  <c r="G243" i="40"/>
  <c r="G402" i="40"/>
  <c r="G265" i="40"/>
  <c r="F398" i="40"/>
  <c r="G358" i="40"/>
  <c r="G245" i="40"/>
  <c r="G237" i="40"/>
  <c r="G354" i="40"/>
  <c r="G367" i="40"/>
  <c r="G479" i="40"/>
  <c r="G309" i="40"/>
  <c r="G329" i="40"/>
  <c r="H28" i="45"/>
  <c r="G360" i="40"/>
  <c r="G488" i="40"/>
  <c r="D257" i="40"/>
  <c r="D280" i="40"/>
  <c r="AT47" i="3"/>
  <c r="J45" i="45" s="1"/>
  <c r="J233" i="40"/>
  <c r="J112" i="40"/>
  <c r="J3" i="40"/>
  <c r="C367" i="40"/>
  <c r="G388" i="40"/>
  <c r="G217" i="40"/>
  <c r="G487" i="40"/>
  <c r="G213" i="40"/>
  <c r="G476" i="40"/>
  <c r="G270" i="40"/>
  <c r="G440" i="40"/>
  <c r="G407" i="40"/>
  <c r="G193" i="40"/>
  <c r="G472" i="40"/>
  <c r="G362" i="40"/>
  <c r="G484" i="40"/>
  <c r="G460" i="40"/>
  <c r="G463" i="40"/>
  <c r="G409" i="40"/>
  <c r="G284" i="40"/>
  <c r="G483" i="40"/>
  <c r="G186" i="40"/>
  <c r="G439" i="40"/>
  <c r="G453" i="40"/>
  <c r="G482" i="40"/>
  <c r="G205" i="40"/>
  <c r="G211" i="40"/>
  <c r="G210" i="40"/>
  <c r="G281" i="40"/>
  <c r="G174" i="40"/>
  <c r="G183" i="40"/>
  <c r="G254" i="40"/>
  <c r="G350" i="40"/>
  <c r="G203" i="40"/>
  <c r="G411" i="40"/>
  <c r="G456" i="40"/>
  <c r="AQ30" i="3"/>
  <c r="G399" i="40"/>
  <c r="G178" i="40"/>
  <c r="AO94" i="3"/>
  <c r="AP47" i="3"/>
  <c r="AK87" i="3"/>
  <c r="AM94" i="3"/>
  <c r="U44" i="45" s="1"/>
  <c r="AS47" i="3"/>
  <c r="J470" i="40"/>
  <c r="J242" i="40"/>
  <c r="J86" i="40"/>
  <c r="AO46" i="3"/>
  <c r="C416" i="40"/>
  <c r="C227" i="40"/>
  <c r="J289" i="40"/>
  <c r="C248" i="40"/>
  <c r="C206" i="40"/>
  <c r="G43" i="40"/>
  <c r="J407" i="40"/>
  <c r="J354" i="40"/>
  <c r="J67" i="40"/>
  <c r="J352" i="40"/>
  <c r="J170" i="40"/>
  <c r="J153" i="40"/>
  <c r="J62" i="40"/>
  <c r="J376" i="40"/>
  <c r="J38" i="40"/>
  <c r="J413" i="40"/>
  <c r="J26" i="40"/>
  <c r="J89" i="40"/>
  <c r="I95" i="40"/>
  <c r="I470" i="40"/>
  <c r="AP56" i="3"/>
  <c r="AN96" i="3"/>
  <c r="AP88" i="3"/>
  <c r="J225" i="40"/>
  <c r="J137" i="40"/>
  <c r="J326" i="40"/>
  <c r="J254" i="40"/>
  <c r="J236" i="40"/>
  <c r="J238" i="40"/>
  <c r="J344" i="40"/>
  <c r="J357" i="40"/>
  <c r="J211" i="40"/>
  <c r="J250" i="40"/>
  <c r="J428" i="40"/>
  <c r="J271" i="40"/>
  <c r="J4" i="40"/>
  <c r="J19" i="40"/>
  <c r="J10" i="40"/>
  <c r="J111" i="40"/>
  <c r="J90" i="40"/>
  <c r="G227" i="40"/>
  <c r="F392" i="40"/>
  <c r="G422" i="40"/>
  <c r="G346" i="40"/>
  <c r="G330" i="40"/>
  <c r="G206" i="40"/>
  <c r="G278" i="40"/>
  <c r="G436" i="40"/>
  <c r="G231" i="40"/>
  <c r="G465" i="40"/>
  <c r="G357" i="40"/>
  <c r="G470" i="40"/>
  <c r="G229" i="40"/>
  <c r="F295" i="40"/>
  <c r="G275" i="40"/>
  <c r="G179" i="40"/>
  <c r="G457" i="40"/>
  <c r="G303" i="40"/>
  <c r="G221" i="40"/>
  <c r="G285" i="40"/>
  <c r="G433" i="40"/>
  <c r="G321" i="40"/>
  <c r="G325" i="40"/>
  <c r="F342" i="40"/>
  <c r="G304" i="40"/>
  <c r="G345" i="40"/>
  <c r="G416" i="40"/>
  <c r="G230" i="40"/>
  <c r="G263" i="40"/>
  <c r="G490" i="40"/>
  <c r="G461" i="40"/>
  <c r="G239" i="40"/>
  <c r="G387" i="40"/>
  <c r="G191" i="40"/>
  <c r="G190" i="40"/>
  <c r="G359" i="40"/>
  <c r="AO96" i="3"/>
  <c r="G361" i="40"/>
  <c r="G327" i="40"/>
  <c r="E5" i="40"/>
  <c r="C177" i="40"/>
  <c r="I181" i="40"/>
  <c r="G123" i="40"/>
  <c r="E48" i="40"/>
  <c r="C186" i="40"/>
  <c r="C95" i="40"/>
  <c r="D355" i="40"/>
  <c r="J93" i="40"/>
  <c r="J185" i="40"/>
  <c r="J440" i="40"/>
  <c r="J459" i="40"/>
  <c r="J204" i="40"/>
  <c r="J248" i="40"/>
  <c r="H286" i="40"/>
  <c r="H270" i="40"/>
  <c r="H156" i="40"/>
  <c r="AN63" i="3"/>
  <c r="H12" i="45"/>
  <c r="C220" i="40"/>
  <c r="C44" i="40"/>
  <c r="F406" i="40"/>
  <c r="F475" i="40"/>
  <c r="F165" i="40"/>
  <c r="F233" i="40"/>
  <c r="C46" i="40"/>
  <c r="F251" i="40"/>
  <c r="F11" i="40"/>
  <c r="F459" i="40"/>
  <c r="F396" i="40"/>
  <c r="F116" i="40"/>
  <c r="F93" i="40"/>
  <c r="F114" i="40"/>
  <c r="F414" i="40"/>
  <c r="F448" i="40"/>
  <c r="C267" i="40"/>
  <c r="F436" i="40"/>
  <c r="C444" i="40"/>
  <c r="F413" i="40"/>
  <c r="C282" i="40"/>
  <c r="F411" i="40"/>
  <c r="F472" i="40"/>
  <c r="F225" i="40"/>
  <c r="F253" i="40"/>
  <c r="F389" i="40"/>
  <c r="F395" i="40"/>
  <c r="F422" i="40"/>
  <c r="F374" i="40"/>
  <c r="F102" i="40"/>
  <c r="F464" i="40"/>
  <c r="C122" i="40"/>
  <c r="F490" i="40"/>
  <c r="C124" i="40"/>
  <c r="F113" i="40"/>
  <c r="F101" i="40"/>
  <c r="F284" i="40"/>
  <c r="F86" i="40"/>
  <c r="F272" i="40"/>
  <c r="F236" i="40"/>
  <c r="F207" i="40"/>
  <c r="F488" i="40"/>
  <c r="C157" i="40"/>
  <c r="F232" i="40"/>
  <c r="F466" i="40"/>
  <c r="C33" i="40"/>
  <c r="F91" i="40"/>
  <c r="C42" i="40"/>
  <c r="F276" i="40"/>
  <c r="F128" i="40"/>
  <c r="F425" i="40"/>
  <c r="F224" i="40"/>
  <c r="F481" i="40"/>
  <c r="F18" i="40"/>
  <c r="F141" i="40"/>
  <c r="F250" i="40"/>
  <c r="F471" i="40"/>
  <c r="C37" i="40"/>
  <c r="C493" i="40"/>
  <c r="F29" i="40"/>
  <c r="F401" i="40"/>
  <c r="F235" i="40"/>
  <c r="F491" i="40"/>
  <c r="F27" i="40"/>
  <c r="C453" i="40"/>
  <c r="F470" i="40"/>
  <c r="F213" i="40"/>
  <c r="F430" i="40"/>
  <c r="C159" i="40"/>
  <c r="C457" i="40"/>
  <c r="C21" i="40"/>
  <c r="F469" i="40"/>
  <c r="F446" i="40"/>
  <c r="C35" i="40"/>
  <c r="F441" i="40"/>
  <c r="F263" i="40"/>
  <c r="C445" i="40"/>
  <c r="C458" i="40"/>
  <c r="F496" i="40"/>
  <c r="F146" i="40"/>
  <c r="C382" i="40"/>
  <c r="F31" i="40"/>
  <c r="F409" i="40"/>
  <c r="F105" i="40"/>
  <c r="F228" i="40"/>
  <c r="F271" i="40"/>
  <c r="F17" i="40"/>
  <c r="F473" i="40"/>
  <c r="F415" i="40"/>
  <c r="F424" i="40"/>
  <c r="F421" i="40"/>
  <c r="C118" i="40"/>
  <c r="F96" i="40"/>
  <c r="F408" i="40"/>
  <c r="C22" i="40"/>
  <c r="F107" i="40"/>
  <c r="C494" i="40"/>
  <c r="F489" i="40"/>
  <c r="C23" i="40"/>
  <c r="F229" i="40"/>
  <c r="F474" i="40"/>
  <c r="F388" i="40"/>
  <c r="F264" i="40"/>
  <c r="F246" i="40"/>
  <c r="F252" i="40"/>
  <c r="F234" i="40"/>
  <c r="C147" i="40"/>
  <c r="F262" i="40"/>
  <c r="C152" i="40"/>
  <c r="F220" i="40"/>
  <c r="C483" i="40"/>
  <c r="F450" i="40"/>
  <c r="AS32" i="3"/>
  <c r="AT32" i="3"/>
  <c r="J30" i="45" s="1"/>
  <c r="AR32" i="3"/>
  <c r="H22" i="45"/>
  <c r="AS24" i="3"/>
  <c r="AK24" i="3"/>
  <c r="M105" i="3"/>
  <c r="AQ70" i="3"/>
  <c r="AN70" i="3"/>
  <c r="AN86" i="3"/>
  <c r="AO86" i="3"/>
  <c r="AP62" i="3"/>
  <c r="AS62" i="3"/>
  <c r="AN62" i="3"/>
  <c r="AM62" i="3"/>
  <c r="U12" i="45" s="1"/>
  <c r="J443" i="40"/>
  <c r="J48" i="40"/>
  <c r="J32" i="40"/>
  <c r="J177" i="40"/>
  <c r="J209" i="40"/>
  <c r="J40" i="40"/>
  <c r="J450" i="40"/>
  <c r="J8" i="40"/>
  <c r="J122" i="40"/>
  <c r="J408" i="40"/>
  <c r="J97" i="40"/>
  <c r="J55" i="40"/>
  <c r="J20" i="40"/>
  <c r="J405" i="40"/>
  <c r="J317" i="40"/>
  <c r="J261" i="40"/>
  <c r="J101" i="40"/>
  <c r="J363" i="40"/>
  <c r="J123" i="40"/>
  <c r="J11" i="40"/>
  <c r="J340" i="40"/>
  <c r="J313" i="40"/>
  <c r="J361" i="40"/>
  <c r="J189" i="40"/>
  <c r="J323" i="40"/>
  <c r="J175" i="40"/>
  <c r="J27" i="40"/>
  <c r="J179" i="40"/>
  <c r="J388" i="40"/>
  <c r="J141" i="40"/>
  <c r="J188" i="40"/>
  <c r="J197" i="40"/>
  <c r="J436" i="40"/>
  <c r="J95" i="40"/>
  <c r="J76" i="40"/>
  <c r="J221" i="40"/>
  <c r="J210" i="40"/>
  <c r="J41" i="40"/>
  <c r="J294" i="40"/>
  <c r="J234" i="40"/>
  <c r="J474" i="40"/>
  <c r="J258" i="40"/>
  <c r="J171" i="40"/>
  <c r="J374" i="40"/>
  <c r="J169" i="40"/>
  <c r="J134" i="40"/>
  <c r="J296" i="40"/>
  <c r="J456" i="40"/>
  <c r="J479" i="40"/>
  <c r="J427" i="40"/>
  <c r="J220" i="40"/>
  <c r="J253" i="40"/>
  <c r="J81" i="40"/>
  <c r="J410" i="40"/>
  <c r="J489" i="40"/>
  <c r="J378" i="40"/>
  <c r="J351" i="40"/>
  <c r="J7" i="40"/>
  <c r="J22" i="40"/>
  <c r="J50" i="40"/>
  <c r="J334" i="40"/>
  <c r="J229" i="40"/>
  <c r="J91" i="40"/>
  <c r="J199" i="40"/>
  <c r="J83" i="40"/>
  <c r="J256" i="40"/>
  <c r="J260" i="40"/>
  <c r="J377" i="40"/>
  <c r="J279" i="40"/>
  <c r="J178" i="40"/>
  <c r="J37" i="40"/>
  <c r="AP86" i="3"/>
  <c r="AR96" i="3"/>
  <c r="AP70" i="3"/>
  <c r="H45" i="45"/>
  <c r="AO47" i="3"/>
  <c r="AR47" i="3"/>
  <c r="F183" i="40"/>
  <c r="F344" i="40"/>
  <c r="H133" i="40"/>
  <c r="F330" i="40"/>
  <c r="H253" i="40"/>
  <c r="F190" i="40"/>
  <c r="F71" i="40"/>
  <c r="H113" i="40"/>
  <c r="H115" i="40"/>
  <c r="H138" i="40"/>
  <c r="F23" i="40"/>
  <c r="F193" i="40"/>
  <c r="H478" i="40"/>
  <c r="H31" i="40"/>
  <c r="F434" i="40"/>
  <c r="H429" i="40"/>
  <c r="H112" i="40"/>
  <c r="H114" i="40"/>
  <c r="I128" i="40"/>
  <c r="F46" i="40"/>
  <c r="F186" i="40"/>
  <c r="F369" i="40"/>
  <c r="F126" i="40"/>
  <c r="F324" i="40"/>
  <c r="H479" i="40"/>
  <c r="F316" i="40"/>
  <c r="F352" i="40"/>
  <c r="F366" i="40"/>
  <c r="F41" i="40"/>
  <c r="F42" i="40"/>
  <c r="F457" i="40"/>
  <c r="F36" i="40"/>
  <c r="I273" i="40"/>
  <c r="F247" i="40"/>
  <c r="F162" i="40"/>
  <c r="F184" i="40"/>
  <c r="F153" i="40"/>
  <c r="I284" i="40"/>
  <c r="H28" i="40"/>
  <c r="F348" i="40"/>
  <c r="F363" i="40"/>
  <c r="F78" i="40"/>
  <c r="AK96" i="3"/>
  <c r="G301" i="40"/>
  <c r="G426" i="40"/>
  <c r="C435" i="40"/>
  <c r="F400" i="40"/>
  <c r="C119" i="40"/>
  <c r="F218" i="40"/>
  <c r="AO32" i="3"/>
  <c r="F431" i="40"/>
  <c r="C432" i="40"/>
  <c r="C487" i="40"/>
  <c r="F108" i="40"/>
  <c r="F383" i="40"/>
  <c r="F429" i="40"/>
  <c r="F211" i="40"/>
  <c r="C41" i="40"/>
  <c r="C24" i="40"/>
  <c r="F373" i="40"/>
  <c r="F468" i="40"/>
  <c r="F106" i="40"/>
  <c r="F16" i="40"/>
  <c r="F98" i="40"/>
  <c r="F216" i="40"/>
  <c r="F226" i="40"/>
  <c r="F92" i="40"/>
  <c r="F419" i="40"/>
  <c r="F132" i="40"/>
  <c r="F285" i="40"/>
  <c r="F131" i="40"/>
  <c r="J462" i="40"/>
  <c r="F26" i="40"/>
  <c r="C20" i="40"/>
  <c r="J452" i="40"/>
  <c r="J321" i="40"/>
  <c r="J105" i="40"/>
  <c r="J257" i="40"/>
  <c r="J205" i="40"/>
  <c r="J224" i="40"/>
  <c r="AR70" i="3"/>
  <c r="J396" i="40"/>
  <c r="J184" i="40"/>
  <c r="J330" i="40"/>
  <c r="J73" i="40"/>
  <c r="J484" i="40"/>
  <c r="J371" i="40"/>
  <c r="J306" i="40"/>
  <c r="I477" i="40"/>
  <c r="I349" i="40"/>
  <c r="I229" i="40"/>
  <c r="AR88" i="3"/>
  <c r="AM88" i="3"/>
  <c r="U38" i="45" s="1"/>
  <c r="AO88" i="3"/>
  <c r="AT88" i="3"/>
  <c r="V38" i="45" s="1"/>
  <c r="M107" i="3"/>
  <c r="AA107" i="3" s="1"/>
  <c r="AO6" i="3"/>
  <c r="AQ64" i="3"/>
  <c r="AP64" i="3"/>
  <c r="C127" i="40"/>
  <c r="C160" i="40"/>
  <c r="F219" i="40"/>
  <c r="F12" i="40"/>
  <c r="F283" i="40"/>
  <c r="C242" i="40"/>
  <c r="H398" i="40"/>
  <c r="F463" i="40"/>
  <c r="C39" i="40"/>
  <c r="F222" i="40"/>
  <c r="F84" i="40"/>
  <c r="C443" i="40"/>
  <c r="F379" i="40"/>
  <c r="C452" i="40"/>
  <c r="C385" i="40"/>
  <c r="F110" i="40"/>
  <c r="C38" i="40"/>
  <c r="C40" i="40"/>
  <c r="F140" i="40"/>
  <c r="AK62" i="3"/>
  <c r="J16" i="40"/>
  <c r="J79" i="40"/>
  <c r="AS70" i="3"/>
  <c r="J383" i="40"/>
  <c r="J332" i="40"/>
  <c r="J466" i="40"/>
  <c r="J116" i="40"/>
  <c r="J403" i="40"/>
  <c r="J222" i="40"/>
  <c r="J355" i="40"/>
  <c r="J65" i="40"/>
  <c r="J33" i="40"/>
  <c r="J316" i="40"/>
  <c r="J468" i="40"/>
  <c r="J143" i="40"/>
  <c r="J68" i="40"/>
  <c r="F143" i="40"/>
  <c r="F417" i="40"/>
  <c r="C36" i="40"/>
  <c r="C166" i="40"/>
  <c r="F255" i="40"/>
  <c r="F258" i="40"/>
  <c r="F100" i="40"/>
  <c r="C244" i="40"/>
  <c r="C492" i="40"/>
  <c r="F372" i="40"/>
  <c r="F203" i="40"/>
  <c r="F205" i="40"/>
  <c r="C126" i="40"/>
  <c r="F249" i="40"/>
  <c r="F478" i="40"/>
  <c r="F210" i="40"/>
  <c r="F254" i="40"/>
  <c r="C456" i="40"/>
  <c r="F142" i="40"/>
  <c r="F214" i="40"/>
  <c r="AK47" i="3"/>
  <c r="AK88" i="3"/>
  <c r="J337" i="40"/>
  <c r="J411" i="40"/>
  <c r="J493" i="40"/>
  <c r="J14" i="40"/>
  <c r="J25" i="40"/>
  <c r="J85" i="40"/>
  <c r="J168" i="40"/>
  <c r="J290" i="40"/>
  <c r="J174" i="40"/>
  <c r="J486" i="40"/>
  <c r="J227" i="40"/>
  <c r="J304" i="40"/>
  <c r="J52" i="40"/>
  <c r="J311" i="40"/>
  <c r="J309" i="40"/>
  <c r="J130" i="40"/>
  <c r="J203" i="40"/>
  <c r="G320" i="40"/>
  <c r="G279" i="40"/>
  <c r="G352" i="40"/>
  <c r="T36" i="45"/>
  <c r="C25" i="40"/>
  <c r="C384" i="40"/>
  <c r="AN32" i="3"/>
  <c r="F88" i="40"/>
  <c r="F439" i="40"/>
  <c r="C117" i="40"/>
  <c r="F440" i="40"/>
  <c r="AP32" i="3"/>
  <c r="F85" i="40"/>
  <c r="C455" i="40"/>
  <c r="F240" i="40"/>
  <c r="F28" i="40"/>
  <c r="F380" i="40"/>
  <c r="C454" i="40"/>
  <c r="C149" i="40"/>
  <c r="F381" i="40"/>
  <c r="F405" i="40"/>
  <c r="F138" i="40"/>
  <c r="C434" i="40"/>
  <c r="C156" i="40"/>
  <c r="F137" i="40"/>
  <c r="C442" i="40"/>
  <c r="C163" i="40"/>
  <c r="F104" i="40"/>
  <c r="F209" i="40"/>
  <c r="F212" i="40"/>
  <c r="F231" i="40"/>
  <c r="AN88" i="3"/>
  <c r="J293" i="40"/>
  <c r="AT70" i="3"/>
  <c r="V20" i="45" s="1"/>
  <c r="J237" i="40"/>
  <c r="J74" i="40"/>
  <c r="J190" i="40"/>
  <c r="J231" i="40"/>
  <c r="J5" i="40"/>
  <c r="J386" i="40"/>
  <c r="J245" i="40"/>
  <c r="J320" i="40"/>
  <c r="J270" i="40"/>
  <c r="J373" i="40"/>
  <c r="J167" i="40"/>
  <c r="J194" i="40"/>
  <c r="J64" i="40"/>
  <c r="AT62" i="3"/>
  <c r="V12" i="45" s="1"/>
  <c r="AP14" i="3"/>
  <c r="AR14" i="3"/>
  <c r="AS16" i="3"/>
  <c r="K14" i="45" s="1"/>
  <c r="J104" i="40"/>
  <c r="J393" i="40"/>
  <c r="J159" i="40"/>
  <c r="J57" i="40"/>
  <c r="J308" i="40"/>
  <c r="J96" i="40"/>
  <c r="J31" i="40"/>
  <c r="J338" i="40"/>
  <c r="J164" i="40"/>
  <c r="J438" i="40"/>
  <c r="J47" i="40"/>
  <c r="J284" i="40"/>
  <c r="J54" i="40"/>
  <c r="J161" i="40"/>
  <c r="J107" i="40"/>
  <c r="J365" i="40"/>
  <c r="J287" i="40"/>
  <c r="J212" i="40"/>
  <c r="BQ65" i="3"/>
  <c r="J43" i="40"/>
  <c r="J69" i="40"/>
  <c r="J305" i="40"/>
  <c r="J454" i="40"/>
  <c r="J432" i="40"/>
  <c r="J87" i="40"/>
  <c r="J150" i="40"/>
  <c r="J34" i="40"/>
  <c r="J267" i="40"/>
  <c r="J29" i="40"/>
  <c r="J117" i="40"/>
  <c r="J424" i="40"/>
  <c r="J232" i="40"/>
  <c r="J13" i="40"/>
  <c r="J268" i="40"/>
  <c r="J277" i="40"/>
  <c r="J70" i="40"/>
  <c r="J119" i="40"/>
  <c r="J45" i="40"/>
  <c r="J295" i="40"/>
  <c r="J265" i="40"/>
  <c r="J300" i="40"/>
  <c r="J138" i="40"/>
  <c r="J98" i="40"/>
  <c r="J59" i="40"/>
  <c r="J246" i="40"/>
  <c r="J206" i="40"/>
  <c r="J136" i="40"/>
  <c r="J28" i="40"/>
  <c r="J302" i="40"/>
  <c r="J288" i="40"/>
  <c r="J359" i="40"/>
  <c r="J429" i="40"/>
  <c r="J113" i="40"/>
  <c r="J392" i="40"/>
  <c r="J291" i="40"/>
  <c r="J207" i="40"/>
  <c r="J281" i="40"/>
  <c r="J102" i="40"/>
  <c r="J442" i="40"/>
  <c r="J329" i="40"/>
  <c r="J463" i="40"/>
  <c r="J297" i="40"/>
  <c r="J49" i="40"/>
  <c r="J472" i="40"/>
  <c r="J126" i="40"/>
  <c r="J181" i="40"/>
  <c r="J133" i="40"/>
  <c r="J385" i="40"/>
  <c r="J433" i="40"/>
  <c r="J419" i="40"/>
  <c r="J114" i="40"/>
  <c r="J77" i="40"/>
  <c r="J72" i="40"/>
  <c r="J379" i="40"/>
  <c r="J58" i="40"/>
  <c r="J118" i="40"/>
  <c r="J61" i="40"/>
  <c r="J401" i="40"/>
  <c r="J482" i="40"/>
  <c r="J394" i="40"/>
  <c r="J147" i="40"/>
  <c r="J347" i="40"/>
  <c r="J415" i="40"/>
  <c r="J273" i="40"/>
  <c r="J322" i="40"/>
  <c r="J109" i="40"/>
  <c r="J216" i="40"/>
  <c r="J218" i="40"/>
  <c r="J63" i="40"/>
  <c r="J341" i="40"/>
  <c r="J345" i="40"/>
  <c r="J23" i="40"/>
  <c r="J446" i="40"/>
  <c r="J215" i="40"/>
  <c r="J400" i="40"/>
  <c r="J243" i="40"/>
  <c r="J318" i="40"/>
  <c r="J21" i="40"/>
  <c r="AN39" i="3"/>
  <c r="AT39" i="3"/>
  <c r="J37" i="45" s="1"/>
  <c r="AR39" i="3"/>
  <c r="H37" i="45"/>
  <c r="J299" i="40"/>
  <c r="J56" i="40"/>
  <c r="J349" i="40"/>
  <c r="J239" i="40"/>
  <c r="J84" i="40"/>
  <c r="F38" i="40"/>
  <c r="H468" i="40"/>
  <c r="I251" i="40"/>
  <c r="H135" i="40"/>
  <c r="F325" i="40"/>
  <c r="H473" i="40"/>
  <c r="F334" i="40"/>
  <c r="H240" i="40"/>
  <c r="F328" i="40"/>
  <c r="F125" i="40"/>
  <c r="H254" i="40"/>
  <c r="H19" i="40"/>
  <c r="H437" i="40"/>
  <c r="F75" i="40"/>
  <c r="F76" i="40"/>
  <c r="F279" i="40"/>
  <c r="F130" i="40"/>
  <c r="F176" i="40"/>
  <c r="F123" i="40"/>
  <c r="F182" i="40"/>
  <c r="H233" i="40"/>
  <c r="I285" i="40"/>
  <c r="F337" i="40"/>
  <c r="F121" i="40"/>
  <c r="F346" i="40"/>
  <c r="F79" i="40"/>
  <c r="F199" i="40"/>
  <c r="F9" i="40"/>
  <c r="F331" i="40"/>
  <c r="F8" i="40"/>
  <c r="H241" i="40"/>
  <c r="H259" i="40"/>
  <c r="F357" i="40"/>
  <c r="F58" i="40"/>
  <c r="F198" i="40"/>
  <c r="F6" i="40"/>
  <c r="I491" i="40"/>
  <c r="F277" i="40"/>
  <c r="F317" i="40"/>
  <c r="F355" i="40"/>
  <c r="F484" i="40"/>
  <c r="F72" i="40"/>
  <c r="AM7" i="3"/>
  <c r="I5" i="45" s="1"/>
  <c r="AO7" i="3"/>
  <c r="J448" i="40"/>
  <c r="J36" i="40"/>
  <c r="J431" i="40"/>
  <c r="J476" i="40"/>
  <c r="J92" i="40"/>
  <c r="J327" i="40"/>
  <c r="J435" i="40"/>
  <c r="AS39" i="3"/>
  <c r="AP7" i="3"/>
  <c r="J368" i="40"/>
  <c r="J148" i="40"/>
  <c r="J241" i="40"/>
  <c r="J196" i="40"/>
  <c r="J140" i="40"/>
  <c r="J2" i="40"/>
  <c r="J172" i="40"/>
  <c r="J100" i="40"/>
  <c r="J132" i="40"/>
  <c r="J398" i="40"/>
  <c r="J315" i="40"/>
  <c r="J252" i="40"/>
  <c r="J342" i="40"/>
  <c r="J182" i="40"/>
  <c r="J417" i="40"/>
  <c r="J301" i="40"/>
  <c r="J128" i="40"/>
  <c r="J382" i="40"/>
  <c r="J183" i="40"/>
  <c r="J151" i="40"/>
  <c r="J6" i="40"/>
  <c r="J465" i="40"/>
  <c r="J201" i="40"/>
  <c r="J275" i="40"/>
  <c r="J157" i="40"/>
  <c r="J125" i="40"/>
  <c r="J193" i="40"/>
  <c r="J336" i="40"/>
  <c r="J15" i="40"/>
  <c r="AQ39" i="3"/>
  <c r="M101" i="3"/>
  <c r="AA101" i="3" s="1"/>
  <c r="BQ64" i="3"/>
  <c r="H30" i="45"/>
  <c r="C362" i="40"/>
  <c r="AK70" i="3"/>
  <c r="AQ62" i="3"/>
  <c r="AQ15" i="3"/>
  <c r="C421" i="40"/>
  <c r="D482" i="40"/>
  <c r="I468" i="40"/>
  <c r="C369" i="40"/>
  <c r="C263" i="40"/>
  <c r="G92" i="40"/>
  <c r="J247" i="40"/>
  <c r="BQ69" i="3"/>
  <c r="C379" i="40"/>
  <c r="C411" i="40"/>
  <c r="C276" i="40"/>
  <c r="C230" i="40"/>
  <c r="G154" i="40"/>
  <c r="C323" i="40"/>
  <c r="AO33" i="3"/>
  <c r="AP33" i="3"/>
  <c r="H42" i="40"/>
  <c r="H97" i="40"/>
  <c r="H322" i="40"/>
  <c r="H242" i="40"/>
  <c r="F293" i="40"/>
  <c r="H426" i="40"/>
  <c r="F171" i="40"/>
  <c r="D337" i="40"/>
  <c r="H420" i="40"/>
  <c r="F49" i="40"/>
  <c r="H458" i="40"/>
  <c r="H482" i="40"/>
  <c r="H86" i="40"/>
  <c r="H364" i="40"/>
  <c r="D430" i="40"/>
  <c r="BQ63" i="3"/>
  <c r="T30" i="45"/>
  <c r="E24" i="40"/>
  <c r="E238" i="40"/>
  <c r="H353" i="40"/>
  <c r="H218" i="40"/>
  <c r="H415" i="40"/>
  <c r="H129" i="40"/>
  <c r="H281" i="40"/>
  <c r="H117" i="40"/>
  <c r="D392" i="40"/>
  <c r="J494" i="40"/>
  <c r="D427" i="40"/>
  <c r="D317" i="40"/>
  <c r="D336" i="40"/>
  <c r="D216" i="40"/>
  <c r="I454" i="40"/>
  <c r="D170" i="40"/>
  <c r="H3" i="40"/>
  <c r="H448" i="40"/>
  <c r="H178" i="40"/>
  <c r="H40" i="40"/>
  <c r="H198" i="40"/>
  <c r="H23" i="45"/>
  <c r="AO25" i="3"/>
  <c r="AQ25" i="3"/>
  <c r="AP25" i="3"/>
  <c r="AM25" i="3"/>
  <c r="I23" i="45" s="1"/>
  <c r="F301" i="40"/>
  <c r="H222" i="40"/>
  <c r="H416" i="40"/>
  <c r="F47" i="40"/>
  <c r="H110" i="40"/>
  <c r="H153" i="40"/>
  <c r="H181" i="40"/>
  <c r="H282" i="40"/>
  <c r="H23" i="40"/>
  <c r="H121" i="40"/>
  <c r="H179" i="40"/>
  <c r="AP39" i="3"/>
  <c r="AM39" i="3"/>
  <c r="I37" i="45" s="1"/>
  <c r="M106" i="3"/>
  <c r="AK39" i="3"/>
  <c r="AO39" i="3"/>
  <c r="AQ48" i="3"/>
  <c r="D289" i="40"/>
  <c r="E173" i="40"/>
  <c r="D273" i="40"/>
  <c r="D407" i="40"/>
  <c r="E196" i="40"/>
  <c r="D231" i="40"/>
  <c r="E43" i="40"/>
  <c r="AM80" i="3"/>
  <c r="U30" i="45" s="1"/>
  <c r="D319" i="40"/>
  <c r="D118" i="40"/>
  <c r="D147" i="40"/>
  <c r="D133" i="40"/>
  <c r="D311" i="40"/>
  <c r="E209" i="40"/>
  <c r="D92" i="40"/>
  <c r="G73" i="40"/>
  <c r="G39" i="40"/>
  <c r="G37" i="40"/>
  <c r="D307" i="40"/>
  <c r="D293" i="40"/>
  <c r="D299" i="40"/>
  <c r="D132" i="40"/>
  <c r="J387" i="40"/>
  <c r="J473" i="40"/>
  <c r="E221" i="40"/>
  <c r="D111" i="40"/>
  <c r="E233" i="40"/>
  <c r="E177" i="40"/>
  <c r="D339" i="40"/>
  <c r="G6" i="40"/>
  <c r="H237" i="40"/>
  <c r="H152" i="40"/>
  <c r="H10" i="40"/>
  <c r="H46" i="40"/>
  <c r="H119" i="40"/>
  <c r="E42" i="40"/>
  <c r="D167" i="40"/>
  <c r="I332" i="40"/>
  <c r="D267" i="40"/>
  <c r="D432" i="40"/>
  <c r="J453" i="40"/>
  <c r="G159" i="40"/>
  <c r="F289" i="40"/>
  <c r="H269" i="40"/>
  <c r="H41" i="40"/>
  <c r="H194" i="40"/>
  <c r="H414" i="40"/>
  <c r="H230" i="40"/>
  <c r="H8" i="40"/>
  <c r="AR8" i="3"/>
  <c r="AM8" i="3"/>
  <c r="I6" i="45" s="1"/>
  <c r="H148" i="40"/>
  <c r="H391" i="40"/>
  <c r="H277" i="40"/>
  <c r="H189" i="40"/>
  <c r="E257" i="40"/>
  <c r="H85" i="40"/>
  <c r="F292" i="40"/>
  <c r="H16" i="40"/>
  <c r="E249" i="40"/>
  <c r="H459" i="40"/>
  <c r="F172" i="40"/>
  <c r="E193" i="40"/>
  <c r="M103" i="3"/>
  <c r="AT46" i="3"/>
  <c r="J44" i="45" s="1"/>
  <c r="AQ46" i="3"/>
  <c r="H44" i="45"/>
  <c r="AR46" i="3"/>
  <c r="H325" i="40"/>
  <c r="H70" i="40"/>
  <c r="H243" i="40"/>
  <c r="H155" i="40"/>
  <c r="H487" i="40"/>
  <c r="H78" i="40"/>
  <c r="H24" i="40"/>
  <c r="H485" i="40"/>
  <c r="F50" i="40"/>
  <c r="H380" i="40"/>
  <c r="D487" i="40"/>
  <c r="G208" i="40"/>
  <c r="G292" i="40"/>
  <c r="F336" i="40"/>
  <c r="G201" i="40"/>
  <c r="G339" i="40"/>
  <c r="G272" i="40"/>
  <c r="G408" i="40"/>
  <c r="G489" i="40"/>
  <c r="G242" i="40"/>
  <c r="F300" i="40"/>
  <c r="G404" i="40"/>
  <c r="AR62" i="3"/>
  <c r="AO62" i="3"/>
  <c r="AA36" i="45"/>
  <c r="C137" i="31"/>
  <c r="D112" i="3" l="1"/>
  <c r="AG112" i="3" s="1"/>
  <c r="AA16" i="45"/>
  <c r="AA19" i="45"/>
  <c r="D111" i="3"/>
  <c r="AG111" i="3" s="1"/>
  <c r="AA103" i="3"/>
  <c r="C132" i="31" s="1"/>
  <c r="K46" i="45"/>
  <c r="C159" i="31"/>
  <c r="C104" i="31"/>
  <c r="K22" i="45"/>
  <c r="W29" i="45"/>
  <c r="C139" i="31"/>
  <c r="K23" i="45"/>
  <c r="B175" i="31"/>
  <c r="AA116" i="3"/>
  <c r="C105" i="31"/>
  <c r="W47" i="45"/>
  <c r="C138" i="31"/>
  <c r="K47" i="45"/>
  <c r="B174" i="31"/>
  <c r="K15" i="45"/>
  <c r="C140" i="31"/>
  <c r="C174" i="31"/>
  <c r="C175" i="31"/>
  <c r="C141" i="31"/>
  <c r="AA15" i="45"/>
  <c r="C98" i="31"/>
  <c r="W5" i="45"/>
  <c r="W45" i="45"/>
  <c r="K20" i="45"/>
  <c r="K38" i="45"/>
  <c r="W31" i="45"/>
  <c r="C107" i="31"/>
  <c r="K36" i="45"/>
  <c r="W22" i="45"/>
  <c r="C106" i="31"/>
  <c r="C112" i="31"/>
  <c r="AA39" i="45"/>
  <c r="C89" i="31"/>
  <c r="K44" i="45"/>
  <c r="AA106" i="3"/>
  <c r="C135" i="31" s="1"/>
  <c r="C101" i="31"/>
  <c r="C91" i="31"/>
  <c r="K7" i="45"/>
  <c r="C90" i="31"/>
  <c r="C88" i="31"/>
  <c r="K4" i="45"/>
  <c r="K13" i="45"/>
  <c r="W37" i="45"/>
  <c r="C103" i="31"/>
  <c r="K6" i="45"/>
  <c r="C83" i="31"/>
  <c r="C116" i="31"/>
  <c r="C108" i="31"/>
  <c r="C119" i="31"/>
  <c r="C124" i="31"/>
  <c r="W46" i="45"/>
  <c r="K29" i="45"/>
  <c r="C117" i="31"/>
  <c r="W15" i="45"/>
  <c r="C111" i="31"/>
  <c r="K28" i="45"/>
  <c r="C81" i="31"/>
  <c r="C80" i="31"/>
  <c r="C123" i="31"/>
  <c r="C82" i="31"/>
  <c r="C100" i="31"/>
  <c r="W7" i="45"/>
  <c r="W36" i="45"/>
  <c r="C102" i="31"/>
  <c r="C93" i="31"/>
  <c r="C87" i="31"/>
  <c r="AA114" i="3"/>
  <c r="AA42" i="45" s="1"/>
  <c r="C118" i="31"/>
  <c r="AA105" i="3"/>
  <c r="C134" i="31" s="1"/>
  <c r="W12" i="45"/>
  <c r="C110" i="31"/>
  <c r="W44" i="45"/>
  <c r="C85" i="31"/>
  <c r="C84" i="31"/>
  <c r="W6" i="45"/>
  <c r="C126" i="31"/>
  <c r="C109" i="31"/>
  <c r="K39" i="45"/>
  <c r="W38" i="45"/>
  <c r="C95" i="31"/>
  <c r="C125" i="31"/>
  <c r="C127" i="31"/>
  <c r="AA102" i="3"/>
  <c r="AA104" i="3"/>
  <c r="C122" i="31"/>
  <c r="W14" i="45"/>
  <c r="K12" i="45"/>
  <c r="K45" i="45"/>
  <c r="C115" i="31"/>
  <c r="W20" i="45"/>
  <c r="C113" i="31"/>
  <c r="C114" i="31"/>
  <c r="C97" i="31"/>
  <c r="C99" i="31"/>
  <c r="C86" i="31"/>
  <c r="C96" i="31"/>
  <c r="C92" i="31"/>
  <c r="K30" i="45"/>
  <c r="BR65" i="3"/>
  <c r="BS65" i="3" s="1"/>
  <c r="C94" i="31"/>
  <c r="C120" i="31"/>
  <c r="C121" i="31"/>
  <c r="BR58" i="3"/>
  <c r="BS58" i="3" s="1"/>
  <c r="BR69" i="3"/>
  <c r="BS69" i="3" s="1"/>
  <c r="C136" i="31"/>
  <c r="AA33" i="45"/>
  <c r="AA9" i="45"/>
  <c r="BR68" i="3"/>
  <c r="BS68" i="3" s="1"/>
  <c r="K37" i="45"/>
  <c r="BR64" i="3"/>
  <c r="BS64" i="3" s="1"/>
  <c r="BR62" i="3"/>
  <c r="BS62" i="3" s="1"/>
  <c r="BR67" i="3"/>
  <c r="BS67" i="3" s="1"/>
  <c r="BR63" i="3"/>
  <c r="BS63" i="3" s="1"/>
  <c r="BR60" i="3"/>
  <c r="BS60" i="3" s="1"/>
  <c r="BR59" i="3"/>
  <c r="BS59" i="3" s="1"/>
  <c r="BR61" i="3"/>
  <c r="BS61" i="3" s="1"/>
  <c r="C130" i="31"/>
  <c r="BR66" i="3"/>
  <c r="BS66" i="3" s="1"/>
  <c r="M124" i="3"/>
  <c r="AA124" i="3" s="1"/>
  <c r="C186" i="31" s="1"/>
  <c r="AA3" i="45" l="1"/>
  <c r="N124" i="3"/>
  <c r="AF124" i="3" s="1"/>
  <c r="B204" i="31" s="1"/>
  <c r="AA48" i="45"/>
  <c r="C145" i="31"/>
  <c r="AA6" i="45"/>
  <c r="AA30" i="45"/>
  <c r="D114" i="3"/>
  <c r="C177" i="31"/>
  <c r="C143" i="31"/>
  <c r="B177" i="31"/>
  <c r="C131" i="31"/>
  <c r="AA27" i="45"/>
  <c r="AA12" i="45"/>
  <c r="C133" i="31"/>
  <c r="BT62" i="3"/>
  <c r="BT69" i="3"/>
  <c r="BT60" i="3"/>
  <c r="BT58" i="3"/>
  <c r="BT66" i="3"/>
  <c r="BT61" i="3"/>
  <c r="BT64" i="3"/>
  <c r="D124" i="3"/>
  <c r="AG124" i="3" s="1"/>
  <c r="BT59" i="3"/>
  <c r="BT67" i="3"/>
  <c r="AE16" i="45"/>
  <c r="BT63" i="3"/>
  <c r="BT65" i="3"/>
  <c r="BT68" i="3"/>
  <c r="C194" i="31" l="1"/>
  <c r="AE17" i="45"/>
  <c r="C204" i="31"/>
  <c r="AG114" i="3"/>
  <c r="N126" i="3"/>
  <c r="AF126" i="3" s="1"/>
  <c r="M132" i="3"/>
  <c r="AA132" i="3" s="1"/>
  <c r="BU65" i="3"/>
  <c r="BV65" i="3" s="1"/>
  <c r="BU66" i="3"/>
  <c r="BV66" i="3" s="1"/>
  <c r="BU61" i="3"/>
  <c r="BV61" i="3" s="1"/>
  <c r="BU69" i="3"/>
  <c r="BV69" i="3" s="1"/>
  <c r="BU58" i="3"/>
  <c r="BV58" i="3" s="1"/>
  <c r="BU67" i="3"/>
  <c r="BV67" i="3" s="1"/>
  <c r="BU68" i="3"/>
  <c r="BV68" i="3" s="1"/>
  <c r="BU59" i="3"/>
  <c r="BV59" i="3" s="1"/>
  <c r="BU60" i="3"/>
  <c r="BV60" i="3" s="1"/>
  <c r="BU62" i="3"/>
  <c r="BV62" i="3" s="1"/>
  <c r="BU64" i="3"/>
  <c r="BV64" i="3" s="1"/>
  <c r="BU63" i="3"/>
  <c r="BV63" i="3" s="1"/>
  <c r="AI19" i="45" l="1"/>
  <c r="C211" i="31"/>
  <c r="AE41" i="45"/>
  <c r="C196" i="31"/>
  <c r="BW60" i="3"/>
  <c r="BW65" i="3"/>
  <c r="BW66" i="3"/>
  <c r="BW59" i="3"/>
  <c r="BW62" i="3"/>
  <c r="BW67" i="3"/>
  <c r="BW68" i="3"/>
  <c r="BW64" i="3"/>
  <c r="BW61" i="3"/>
  <c r="BW69" i="3"/>
  <c r="BW63" i="3"/>
  <c r="BW58" i="3"/>
  <c r="BX64" i="3" l="1"/>
  <c r="BY64" i="3" s="1"/>
  <c r="BX63" i="3"/>
  <c r="BY63" i="3" s="1"/>
  <c r="BX66" i="3"/>
  <c r="BY66" i="3" s="1"/>
  <c r="BX60" i="3"/>
  <c r="BY60" i="3" s="1"/>
  <c r="BX62" i="3"/>
  <c r="BY62" i="3" s="1"/>
  <c r="BX61" i="3"/>
  <c r="BY61" i="3" s="1"/>
  <c r="BX67" i="3"/>
  <c r="BY67" i="3" s="1"/>
  <c r="BX59" i="3"/>
  <c r="BY59" i="3" s="1"/>
  <c r="BX69" i="3"/>
  <c r="BY69" i="3" s="1"/>
  <c r="BX65" i="3"/>
  <c r="BY65" i="3" s="1"/>
  <c r="BX68" i="3"/>
  <c r="BY68" i="3" s="1"/>
  <c r="BX58" i="3"/>
  <c r="BY58" i="3" s="1"/>
  <c r="BZ68" i="3" l="1"/>
  <c r="BM68" i="3" s="1"/>
  <c r="BZ66" i="3"/>
  <c r="BM66" i="3" s="1"/>
  <c r="BZ67" i="3"/>
  <c r="BM67" i="3" s="1"/>
  <c r="BZ58" i="3"/>
  <c r="BM58" i="3" s="1"/>
  <c r="BZ65" i="3"/>
  <c r="BM65" i="3" s="1"/>
  <c r="BZ61" i="3"/>
  <c r="BM61" i="3" s="1"/>
  <c r="BZ63" i="3"/>
  <c r="BM63" i="3" s="1"/>
  <c r="BZ62" i="3"/>
  <c r="BM62" i="3" s="1"/>
  <c r="BZ69" i="3"/>
  <c r="BM69" i="3" s="1"/>
  <c r="BZ64" i="3"/>
  <c r="BM64" i="3" s="1"/>
  <c r="BZ60" i="3"/>
  <c r="BM60" i="3" s="1"/>
  <c r="BZ59" i="3"/>
  <c r="BM59" i="3" s="1"/>
  <c r="DO64" i="3" l="1"/>
  <c r="DH64" i="3" s="1"/>
  <c r="DO59" i="3"/>
  <c r="DH59" i="3" s="1"/>
  <c r="AV103" i="3"/>
  <c r="AV102" i="3"/>
  <c r="DO62" i="3"/>
  <c r="DH62" i="3" s="1"/>
  <c r="DO58" i="3"/>
  <c r="DH58" i="3" s="1"/>
  <c r="DO60" i="3"/>
  <c r="DH60" i="3" s="1"/>
  <c r="AV112" i="3"/>
  <c r="DO67" i="3"/>
  <c r="DH67" i="3" s="1"/>
  <c r="DO61" i="3"/>
  <c r="DH61" i="3" s="1"/>
  <c r="AV111" i="3"/>
  <c r="AV109" i="3"/>
  <c r="DO66" i="3"/>
  <c r="DH66" i="3" s="1"/>
  <c r="DO63" i="3"/>
  <c r="DH63" i="3" s="1"/>
  <c r="DO68" i="3"/>
  <c r="DH68" i="3" s="1"/>
  <c r="DO69" i="3"/>
  <c r="DH69" i="3" s="1"/>
  <c r="AV113" i="3"/>
  <c r="AV104" i="3"/>
  <c r="AV108" i="3"/>
  <c r="AV107" i="3"/>
  <c r="AV110" i="3"/>
  <c r="AV106" i="3"/>
  <c r="AV105" i="3"/>
  <c r="DO65" i="3"/>
  <c r="DH65" i="3" s="1"/>
  <c r="DJ63" i="3" l="1"/>
  <c r="AU107" i="3" s="1"/>
  <c r="DJ58" i="3"/>
  <c r="AU102" i="3" s="1"/>
  <c r="DJ66" i="3"/>
  <c r="AU110" i="3" s="1"/>
  <c r="DJ62" i="3"/>
  <c r="AU106" i="3" s="1"/>
  <c r="DJ65" i="3"/>
  <c r="AU109" i="3" s="1"/>
  <c r="CB64" i="3"/>
  <c r="CB69" i="3"/>
  <c r="CB63" i="3"/>
  <c r="CB66" i="3"/>
  <c r="CB68" i="3"/>
  <c r="CB65" i="3"/>
  <c r="CB58" i="3"/>
  <c r="CB59" i="3"/>
  <c r="CB61" i="3"/>
  <c r="CB60" i="3"/>
  <c r="CB67" i="3"/>
  <c r="CB62" i="3"/>
  <c r="DJ61" i="3"/>
  <c r="AU105" i="3" s="1"/>
  <c r="DJ59" i="3"/>
  <c r="DJ69" i="3"/>
  <c r="AU113" i="3" s="1"/>
  <c r="DJ67" i="3"/>
  <c r="AU111" i="3" s="1"/>
  <c r="DJ68" i="3"/>
  <c r="AU112" i="3" s="1"/>
  <c r="DJ60" i="3"/>
  <c r="AU104" i="3" s="1"/>
  <c r="DJ64" i="3"/>
  <c r="CC67" i="3" l="1"/>
  <c r="CC66" i="3"/>
  <c r="CC65" i="3"/>
  <c r="CC64" i="3"/>
  <c r="CC63" i="3"/>
  <c r="CC62" i="3"/>
  <c r="CC61" i="3"/>
  <c r="CC60" i="3"/>
  <c r="CC59" i="3"/>
  <c r="CC58" i="3"/>
  <c r="DL66" i="3" a="1"/>
  <c r="DL66" i="3" s="1"/>
  <c r="DK66" i="3"/>
  <c r="DL65" i="3" a="1"/>
  <c r="DL65" i="3" s="1"/>
  <c r="DL63" i="3" a="1"/>
  <c r="DL63" i="3" s="1"/>
  <c r="DK67" i="3"/>
  <c r="CC68" i="3"/>
  <c r="DK68" i="3"/>
  <c r="DL69" i="3" a="1"/>
  <c r="DL69" i="3" s="1"/>
  <c r="DK61" i="3"/>
  <c r="DL62" i="3" a="1"/>
  <c r="DL62" i="3" s="1"/>
  <c r="DL58" i="3" a="1"/>
  <c r="DL58" i="3" s="1"/>
  <c r="DL68" i="3" a="1"/>
  <c r="DL68" i="3" s="1"/>
  <c r="DK69" i="3"/>
  <c r="DL61" i="3" a="1"/>
  <c r="DL61" i="3" s="1"/>
  <c r="CC69" i="3"/>
  <c r="DK62" i="3"/>
  <c r="DK58" i="3"/>
  <c r="AU108" i="3"/>
  <c r="DL64" i="3" a="1"/>
  <c r="DL64" i="3" s="1"/>
  <c r="DK64" i="3"/>
  <c r="DK59" i="3"/>
  <c r="DL59" i="3" a="1"/>
  <c r="DL59" i="3" s="1"/>
  <c r="AU103" i="3"/>
  <c r="DK65" i="3"/>
  <c r="DK63" i="3"/>
  <c r="DL60" i="3" a="1"/>
  <c r="DL60" i="3" s="1"/>
  <c r="DK60" i="3"/>
  <c r="DL67" i="3" a="1"/>
  <c r="DL67" i="3" s="1"/>
  <c r="CD61" i="3" l="1"/>
  <c r="BN61" i="3" s="1"/>
  <c r="CD65" i="3"/>
  <c r="BN65" i="3" s="1"/>
  <c r="CD67" i="3"/>
  <c r="BN67" i="3" s="1"/>
  <c r="CD64" i="3"/>
  <c r="BN64" i="3" s="1"/>
  <c r="CD62" i="3"/>
  <c r="BN62" i="3" s="1"/>
  <c r="CD66" i="3"/>
  <c r="BN66" i="3" s="1"/>
  <c r="CD60" i="3"/>
  <c r="BN60" i="3" s="1"/>
  <c r="CD63" i="3"/>
  <c r="BN63" i="3" s="1"/>
  <c r="CD59" i="3"/>
  <c r="BN59" i="3" s="1"/>
  <c r="CD58" i="3"/>
  <c r="BN58" i="3" s="1"/>
  <c r="CD69" i="3"/>
  <c r="BN69" i="3" s="1"/>
  <c r="CD68" i="3"/>
  <c r="BN68" i="3" s="1"/>
  <c r="AU101" i="3"/>
  <c r="AV100" i="3" s="1"/>
  <c r="AL105" i="3" l="1"/>
  <c r="AQ105" i="3" s="1"/>
  <c r="AL113" i="3"/>
  <c r="AL110" i="3"/>
  <c r="AL106" i="3"/>
  <c r="AL107" i="3"/>
  <c r="AL102" i="3"/>
  <c r="AL112" i="3"/>
  <c r="AL111" i="3"/>
  <c r="AL109" i="3"/>
  <c r="AL108" i="3"/>
  <c r="AL103" i="3"/>
  <c r="BF104" i="3" s="1"/>
  <c r="AL104" i="3"/>
  <c r="AS104" i="3" s="1"/>
  <c r="AK105" i="3" l="1"/>
  <c r="BF106" i="3"/>
  <c r="AM105" i="3"/>
  <c r="AT105" i="3"/>
  <c r="AR105" i="3"/>
  <c r="AO105" i="3"/>
  <c r="AS105" i="3"/>
  <c r="AP105" i="3"/>
  <c r="AN105" i="3"/>
  <c r="AT111" i="3"/>
  <c r="AP111" i="3"/>
  <c r="AO111" i="3"/>
  <c r="AS111" i="3"/>
  <c r="AN111" i="3"/>
  <c r="AM111" i="3"/>
  <c r="AQ111" i="3"/>
  <c r="AR111" i="3"/>
  <c r="AK111" i="3"/>
  <c r="AN112" i="3"/>
  <c r="AR112" i="3"/>
  <c r="AK112" i="3"/>
  <c r="AP112" i="3"/>
  <c r="AQ112" i="3"/>
  <c r="AT112" i="3"/>
  <c r="AM112" i="3"/>
  <c r="AO112" i="3"/>
  <c r="AS112" i="3"/>
  <c r="AP102" i="3"/>
  <c r="AR102" i="3"/>
  <c r="AO102" i="3"/>
  <c r="AQ102" i="3"/>
  <c r="AT102" i="3"/>
  <c r="AM102" i="3"/>
  <c r="AK102" i="3"/>
  <c r="AS102" i="3"/>
  <c r="BF103" i="3"/>
  <c r="AN102" i="3"/>
  <c r="AN106" i="3"/>
  <c r="AQ106" i="3"/>
  <c r="AK106" i="3"/>
  <c r="AP106" i="3"/>
  <c r="AM106" i="3"/>
  <c r="AT106" i="3"/>
  <c r="AO106" i="3"/>
  <c r="AR106" i="3"/>
  <c r="AS106" i="3"/>
  <c r="BF107" i="3"/>
  <c r="AQ110" i="3"/>
  <c r="AS110" i="3"/>
  <c r="AO110" i="3"/>
  <c r="AM110" i="3"/>
  <c r="AK110" i="3"/>
  <c r="AN110" i="3"/>
  <c r="AT110" i="3"/>
  <c r="AR110" i="3"/>
  <c r="AP110" i="3"/>
  <c r="AO107" i="3"/>
  <c r="AR107" i="3"/>
  <c r="AS107" i="3"/>
  <c r="AP107" i="3"/>
  <c r="BF108" i="3"/>
  <c r="AT107" i="3"/>
  <c r="AQ107" i="3"/>
  <c r="AK107" i="3"/>
  <c r="AM107" i="3"/>
  <c r="AN107" i="3"/>
  <c r="AR108" i="3"/>
  <c r="AT108" i="3"/>
  <c r="BF109" i="3"/>
  <c r="AQ108" i="3"/>
  <c r="AO108" i="3"/>
  <c r="AS108" i="3"/>
  <c r="AN108" i="3"/>
  <c r="AM108" i="3"/>
  <c r="AK108" i="3"/>
  <c r="AP108" i="3"/>
  <c r="AT113" i="3"/>
  <c r="AR113" i="3"/>
  <c r="AQ113" i="3"/>
  <c r="AP113" i="3"/>
  <c r="AK113" i="3"/>
  <c r="AM113" i="3"/>
  <c r="AS113" i="3"/>
  <c r="AO113" i="3"/>
  <c r="AN113" i="3"/>
  <c r="AP109" i="3"/>
  <c r="AQ109" i="3"/>
  <c r="BF110" i="3"/>
  <c r="AN109" i="3"/>
  <c r="AR109" i="3"/>
  <c r="AO109" i="3"/>
  <c r="AT109" i="3"/>
  <c r="AM109" i="3"/>
  <c r="AS109" i="3"/>
  <c r="AK109" i="3"/>
  <c r="AP104" i="3"/>
  <c r="BF105" i="3"/>
  <c r="AM104" i="3"/>
  <c r="AT104" i="3"/>
  <c r="AK104" i="3"/>
  <c r="AO104" i="3"/>
  <c r="AT103" i="3"/>
  <c r="AP103" i="3"/>
  <c r="AR103" i="3"/>
  <c r="AR104" i="3"/>
  <c r="AQ104" i="3"/>
  <c r="AQ103" i="3"/>
  <c r="AS103" i="3"/>
  <c r="AM103" i="3"/>
  <c r="AN103" i="3"/>
  <c r="AK103" i="3"/>
  <c r="AO103" i="3"/>
  <c r="AN104" i="3"/>
  <c r="BG106" i="3" l="1"/>
  <c r="BG109" i="3"/>
  <c r="BG103" i="3"/>
  <c r="BG104" i="3"/>
  <c r="BG105" i="3"/>
  <c r="BG107" i="3"/>
  <c r="BG110" i="3"/>
  <c r="BG108" i="3"/>
  <c r="BJ107" i="3" l="1"/>
  <c r="BJ104" i="3"/>
  <c r="BJ103" i="3"/>
  <c r="BJ108" i="3"/>
  <c r="BJ106" i="3"/>
  <c r="BJ109" i="3"/>
  <c r="BJ105" i="3"/>
  <c r="BJ110" i="3"/>
  <c r="BI112" i="3" l="1"/>
  <c r="AZ101" i="3" s="1"/>
  <c r="B7" i="40" l="1"/>
  <c r="B457" i="40"/>
  <c r="B259" i="40"/>
  <c r="B315" i="40"/>
  <c r="B476" i="40"/>
  <c r="B123" i="40"/>
  <c r="B106" i="40"/>
  <c r="B384" i="40"/>
  <c r="B460" i="40"/>
  <c r="B28" i="40"/>
  <c r="B410" i="40"/>
  <c r="B120" i="40"/>
  <c r="B342" i="40"/>
  <c r="B175" i="40"/>
  <c r="B340" i="40"/>
  <c r="B368" i="40"/>
  <c r="B195" i="40"/>
  <c r="B212" i="40"/>
  <c r="B329" i="40"/>
  <c r="B278" i="40"/>
  <c r="B218" i="40"/>
  <c r="B112" i="40"/>
  <c r="B279" i="40"/>
  <c r="B284" i="40"/>
  <c r="B131" i="40"/>
  <c r="B401" i="40"/>
  <c r="B192" i="40"/>
  <c r="B47" i="40"/>
  <c r="B477" i="40"/>
  <c r="B148" i="40"/>
  <c r="B482" i="40"/>
  <c r="B265" i="40"/>
  <c r="B423" i="40"/>
  <c r="B214" i="40"/>
  <c r="B140" i="40"/>
  <c r="B90" i="40"/>
  <c r="B48" i="40"/>
  <c r="B365" i="40"/>
  <c r="B235" i="40"/>
  <c r="B39" i="40"/>
  <c r="B491" i="40"/>
  <c r="B485" i="40"/>
  <c r="B10" i="40"/>
  <c r="B36" i="40"/>
  <c r="B220" i="40"/>
  <c r="B490" i="40"/>
  <c r="B273" i="40"/>
  <c r="B128" i="40"/>
  <c r="B414" i="40"/>
  <c r="B461" i="40"/>
  <c r="B84" i="40"/>
  <c r="B354" i="40"/>
  <c r="B73" i="40"/>
  <c r="B359" i="40"/>
  <c r="B429" i="40"/>
  <c r="B8" i="40"/>
  <c r="B24" i="40"/>
  <c r="B479" i="40"/>
  <c r="B349" i="40"/>
  <c r="B107" i="40"/>
  <c r="B285" i="40"/>
  <c r="B270" i="40"/>
  <c r="B465" i="40"/>
  <c r="B59" i="40"/>
  <c r="B487" i="40"/>
  <c r="B396" i="40"/>
  <c r="B363" i="40"/>
  <c r="B27" i="40"/>
  <c r="B156" i="40"/>
  <c r="B426" i="40"/>
  <c r="B209" i="40"/>
  <c r="B64" i="40"/>
  <c r="B350" i="40"/>
  <c r="B453" i="40"/>
  <c r="B17" i="40"/>
  <c r="B290" i="40"/>
  <c r="B4" i="40"/>
  <c r="B295" i="40"/>
  <c r="B413" i="40"/>
  <c r="B435" i="40"/>
  <c r="B321" i="40"/>
  <c r="B415" i="40"/>
  <c r="B341" i="40"/>
  <c r="B441" i="40"/>
  <c r="B261" i="40"/>
  <c r="B348" i="40"/>
  <c r="B111" i="40"/>
  <c r="B298" i="40"/>
  <c r="B145" i="40"/>
  <c r="B431" i="40"/>
  <c r="B222" i="40"/>
  <c r="B381" i="40"/>
  <c r="B379" i="40"/>
  <c r="B162" i="40"/>
  <c r="B440" i="40"/>
  <c r="B103" i="40"/>
  <c r="B405" i="40"/>
  <c r="B243" i="40"/>
  <c r="B193" i="40"/>
  <c r="B287" i="40"/>
  <c r="B325" i="40"/>
  <c r="B185" i="40"/>
  <c r="B99" i="40"/>
  <c r="B98" i="40"/>
  <c r="B376" i="40"/>
  <c r="B38" i="40"/>
  <c r="B397" i="40"/>
  <c r="B179" i="40"/>
  <c r="B129" i="40"/>
  <c r="B95" i="40"/>
  <c r="B324" i="40"/>
  <c r="B57" i="40"/>
  <c r="B266" i="40"/>
  <c r="B407" i="40"/>
  <c r="B256" i="40"/>
  <c r="B18" i="40"/>
  <c r="B26" i="40"/>
  <c r="B9" i="40"/>
  <c r="B451" i="40"/>
  <c r="B234" i="40"/>
  <c r="B81" i="40"/>
  <c r="B367" i="40"/>
  <c r="B158" i="40"/>
  <c r="B309" i="40"/>
  <c r="B373" i="40"/>
  <c r="B323" i="40"/>
  <c r="B170" i="40"/>
  <c r="B448" i="40"/>
  <c r="B239" i="40"/>
  <c r="B94" i="40"/>
  <c r="B404" i="40"/>
  <c r="B187" i="40"/>
  <c r="B33" i="40"/>
  <c r="B248" i="40"/>
  <c r="B406" i="40"/>
  <c r="B317" i="40"/>
  <c r="B51" i="40"/>
  <c r="B65" i="40"/>
  <c r="B334" i="40"/>
  <c r="B68" i="40"/>
  <c r="B40" i="40"/>
  <c r="B433" i="40"/>
  <c r="B402" i="40"/>
  <c r="B151" i="40"/>
  <c r="B305" i="40"/>
  <c r="B14" i="40"/>
  <c r="B326" i="40"/>
  <c r="B224" i="40"/>
  <c r="B205" i="40"/>
  <c r="B488" i="40"/>
  <c r="B269" i="40"/>
  <c r="B197" i="40"/>
  <c r="B19" i="40"/>
  <c r="B204" i="40"/>
  <c r="B346" i="40"/>
  <c r="B432" i="40"/>
  <c r="B462" i="40"/>
  <c r="B388" i="40"/>
  <c r="B210" i="40"/>
  <c r="B343" i="40"/>
  <c r="B316" i="40"/>
  <c r="B118" i="40"/>
  <c r="B180" i="40"/>
  <c r="B116" i="40"/>
  <c r="B124" i="40"/>
  <c r="B335" i="40"/>
  <c r="B322" i="40"/>
  <c r="B355" i="40"/>
  <c r="B271" i="40"/>
  <c r="B489" i="40"/>
  <c r="B11" i="40"/>
  <c r="B233" i="40"/>
  <c r="B398" i="40"/>
  <c r="B253" i="40"/>
  <c r="B466" i="40"/>
  <c r="B424" i="40"/>
  <c r="B293" i="40"/>
  <c r="B394" i="40"/>
  <c r="B318" i="40"/>
  <c r="B472" i="40"/>
  <c r="B390" i="40"/>
  <c r="B252" i="40"/>
  <c r="B177" i="40"/>
  <c r="B308" i="40"/>
  <c r="B165" i="40"/>
  <c r="B149" i="40"/>
  <c r="B236" i="40"/>
  <c r="B408" i="40"/>
  <c r="B83" i="40"/>
  <c r="B227" i="40"/>
  <c r="B49" i="40"/>
  <c r="B190" i="40"/>
  <c r="B347" i="40"/>
  <c r="B391" i="40"/>
  <c r="B442" i="40"/>
  <c r="B416" i="40"/>
  <c r="B126" i="40"/>
  <c r="B91" i="40"/>
  <c r="B263" i="40"/>
  <c r="B378" i="40"/>
  <c r="B458" i="40"/>
  <c r="B288" i="40"/>
  <c r="B229" i="40"/>
  <c r="B25" i="40"/>
  <c r="B374" i="40"/>
  <c r="B186" i="40"/>
  <c r="B289" i="40"/>
  <c r="B255" i="40"/>
  <c r="B127" i="40"/>
  <c r="B238" i="40"/>
  <c r="B69" i="40"/>
  <c r="B152" i="40"/>
  <c r="B428" i="40"/>
  <c r="B481" i="40"/>
  <c r="B484" i="40"/>
  <c r="B292" i="40"/>
  <c r="B172" i="40"/>
  <c r="B400" i="40"/>
  <c r="B35" i="40"/>
  <c r="B207" i="40"/>
  <c r="B53" i="40"/>
  <c r="B194" i="40"/>
  <c r="B71" i="40"/>
  <c r="B108" i="40"/>
  <c r="B383" i="40"/>
  <c r="B345" i="40"/>
  <c r="B132" i="40"/>
  <c r="B274" i="40"/>
  <c r="B232" i="40"/>
  <c r="B198" i="40"/>
  <c r="B188" i="40"/>
  <c r="B74" i="40"/>
  <c r="B399" i="40"/>
  <c r="B62" i="40"/>
  <c r="B475" i="40"/>
  <c r="B41" i="40"/>
  <c r="B182" i="40"/>
  <c r="B339" i="40"/>
  <c r="B12" i="40"/>
  <c r="B100" i="40"/>
  <c r="B97" i="40"/>
  <c r="B110" i="40"/>
  <c r="B395" i="40"/>
  <c r="B46" i="40"/>
  <c r="B6" i="40"/>
  <c r="B272" i="40"/>
  <c r="B15" i="40"/>
  <c r="B306" i="40"/>
  <c r="B281" i="40"/>
  <c r="B434" i="40"/>
  <c r="B45" i="40"/>
  <c r="B412" i="40"/>
  <c r="B387" i="40"/>
  <c r="B362" i="40"/>
  <c r="B337" i="40"/>
  <c r="B320" i="40"/>
  <c r="B303" i="40"/>
  <c r="B286" i="40"/>
  <c r="B469" i="40"/>
  <c r="B276" i="40"/>
  <c r="B251" i="40"/>
  <c r="B226" i="40"/>
  <c r="B137" i="40"/>
  <c r="B56" i="40"/>
  <c r="B470" i="40"/>
  <c r="B421" i="40"/>
  <c r="B268" i="40"/>
  <c r="B115" i="40"/>
  <c r="B449" i="40"/>
  <c r="B176" i="40"/>
  <c r="B29" i="40"/>
  <c r="B357" i="40"/>
  <c r="B260" i="40"/>
  <c r="B43" i="40"/>
  <c r="B313" i="40"/>
  <c r="B471" i="40"/>
  <c r="B262" i="40"/>
  <c r="B444" i="40"/>
  <c r="B163" i="40"/>
  <c r="B369" i="40"/>
  <c r="B96" i="40"/>
  <c r="B254" i="40"/>
  <c r="B125" i="40"/>
  <c r="B219" i="40"/>
  <c r="B105" i="40"/>
  <c r="B199" i="40"/>
  <c r="B133" i="40"/>
  <c r="B16" i="40"/>
  <c r="B464" i="40"/>
  <c r="B430" i="40"/>
  <c r="B420" i="40"/>
  <c r="B370" i="40"/>
  <c r="B50" i="40"/>
  <c r="B445" i="40"/>
  <c r="B92" i="40"/>
  <c r="B67" i="40"/>
  <c r="B42" i="40"/>
  <c r="B13" i="40"/>
  <c r="B495" i="40"/>
  <c r="B478" i="40"/>
  <c r="B493" i="40"/>
  <c r="B468" i="40"/>
  <c r="B443" i="40"/>
  <c r="B418" i="40"/>
  <c r="B393" i="40"/>
  <c r="B312" i="40"/>
  <c r="B231" i="40"/>
  <c r="B86" i="40"/>
  <c r="B245" i="40"/>
  <c r="B371" i="40"/>
  <c r="B154" i="40"/>
  <c r="B496" i="40"/>
  <c r="B351" i="40"/>
  <c r="B142" i="40"/>
  <c r="B452" i="40"/>
  <c r="B299" i="40"/>
  <c r="B82" i="40"/>
  <c r="B360" i="40"/>
  <c r="B454" i="40"/>
  <c r="B277" i="40"/>
  <c r="B483" i="40"/>
  <c r="B138" i="40"/>
  <c r="B352" i="40"/>
  <c r="B143" i="40"/>
  <c r="B213" i="40"/>
  <c r="B52" i="40"/>
  <c r="B130" i="40"/>
  <c r="B455" i="40"/>
  <c r="B23" i="40"/>
  <c r="B44" i="40"/>
  <c r="B353" i="40"/>
  <c r="B319" i="40"/>
  <c r="B101" i="40"/>
  <c r="B203" i="40"/>
  <c r="B217" i="40"/>
  <c r="B72" i="40"/>
  <c r="B153" i="40"/>
  <c r="B456" i="40"/>
  <c r="B377" i="40"/>
  <c r="B296" i="40"/>
  <c r="B215" i="40"/>
  <c r="B134" i="40"/>
  <c r="B117" i="40"/>
  <c r="B419" i="40"/>
  <c r="B330" i="40"/>
  <c r="B241" i="40"/>
  <c r="B160" i="40"/>
  <c r="B79" i="40"/>
  <c r="B31" i="40"/>
  <c r="B372" i="40"/>
  <c r="B283" i="40"/>
  <c r="B66" i="40"/>
  <c r="B280" i="40"/>
  <c r="B438" i="40"/>
  <c r="B141" i="40"/>
  <c r="B467" i="40"/>
  <c r="B58" i="40"/>
  <c r="B336" i="40"/>
  <c r="B63" i="40"/>
  <c r="B85" i="40"/>
  <c r="B459" i="40"/>
  <c r="B242" i="40"/>
  <c r="B328" i="40"/>
  <c r="B201" i="40"/>
  <c r="B184" i="40"/>
  <c r="B167" i="40"/>
  <c r="B150" i="40"/>
  <c r="B389" i="40"/>
  <c r="B76" i="40"/>
  <c r="B474" i="40"/>
  <c r="B385" i="40"/>
  <c r="B304" i="40"/>
  <c r="B159" i="40"/>
  <c r="B78" i="40"/>
  <c r="B181" i="40"/>
  <c r="B427" i="40"/>
  <c r="B338" i="40"/>
  <c r="B249" i="40"/>
  <c r="B168" i="40"/>
  <c r="B20" i="40"/>
  <c r="B301" i="40"/>
  <c r="B380" i="40"/>
  <c r="B291" i="40"/>
  <c r="B202" i="40"/>
  <c r="B113" i="40"/>
  <c r="B30" i="40"/>
  <c r="B382" i="40"/>
  <c r="B221" i="40"/>
  <c r="B244" i="40"/>
  <c r="B155" i="40"/>
  <c r="B425" i="40"/>
  <c r="B21" i="40"/>
  <c r="B246" i="40"/>
  <c r="B61" i="40"/>
  <c r="B147" i="40"/>
  <c r="B417" i="40"/>
  <c r="B144" i="40"/>
  <c r="B302" i="40"/>
  <c r="B437" i="40"/>
  <c r="B331" i="40"/>
  <c r="B409" i="40"/>
  <c r="B375" i="40"/>
  <c r="B264" i="40"/>
  <c r="B247" i="40"/>
  <c r="B200" i="40"/>
  <c r="B450" i="40"/>
  <c r="B297" i="40"/>
  <c r="B216" i="40"/>
  <c r="B135" i="40"/>
  <c r="B54" i="40"/>
  <c r="B492" i="40"/>
  <c r="B403" i="40"/>
  <c r="B314" i="40"/>
  <c r="B161" i="40"/>
  <c r="B80" i="40"/>
  <c r="B494" i="40"/>
  <c r="B109" i="40"/>
  <c r="B356" i="40"/>
  <c r="B267" i="40"/>
  <c r="B178" i="40"/>
  <c r="B22" i="40"/>
  <c r="B311" i="40"/>
  <c r="B258" i="40"/>
  <c r="B169" i="40"/>
  <c r="B88" i="40"/>
  <c r="B2" i="40"/>
  <c r="B173" i="40"/>
  <c r="B364" i="40"/>
  <c r="B211" i="40"/>
  <c r="B122" i="40"/>
  <c r="B32" i="40"/>
  <c r="B447" i="40"/>
  <c r="B366" i="40"/>
  <c r="B93" i="40"/>
  <c r="B228" i="40"/>
  <c r="B75" i="40"/>
  <c r="B473" i="40"/>
  <c r="B392" i="40"/>
  <c r="B358" i="40"/>
  <c r="B166" i="40"/>
  <c r="B183" i="40"/>
  <c r="B55" i="40"/>
  <c r="B422" i="40"/>
  <c r="B332" i="40"/>
  <c r="B307" i="40"/>
  <c r="B282" i="40"/>
  <c r="B257" i="40"/>
  <c r="B240" i="40"/>
  <c r="B223" i="40"/>
  <c r="B206" i="40"/>
  <c r="B333" i="40"/>
  <c r="B196" i="40"/>
  <c r="B171" i="40"/>
  <c r="B146" i="40"/>
  <c r="B121" i="40"/>
  <c r="B104" i="40"/>
  <c r="B87" i="40"/>
  <c r="B70" i="40"/>
  <c r="B189" i="40"/>
  <c r="B60" i="40"/>
  <c r="B34" i="40"/>
  <c r="B5" i="40"/>
  <c r="B480" i="40"/>
  <c r="B463" i="40"/>
  <c r="B446" i="40"/>
  <c r="B237" i="40"/>
  <c r="B436" i="40"/>
  <c r="B411" i="40"/>
  <c r="B386" i="40"/>
  <c r="B361" i="40"/>
  <c r="B344" i="40"/>
  <c r="B327" i="40"/>
  <c r="B310" i="40"/>
  <c r="B157" i="40"/>
  <c r="B300" i="40"/>
  <c r="B275" i="40"/>
  <c r="B250" i="40"/>
  <c r="B225" i="40"/>
  <c r="B208" i="40"/>
  <c r="B191" i="40"/>
  <c r="B174" i="40"/>
  <c r="B77" i="40"/>
  <c r="B164" i="40"/>
  <c r="B139" i="40"/>
  <c r="B114" i="40"/>
  <c r="B89" i="40"/>
  <c r="B439" i="40"/>
  <c r="B294" i="40"/>
  <c r="B37" i="40"/>
  <c r="B230" i="40"/>
  <c r="B136" i="40"/>
  <c r="B119" i="40"/>
  <c r="B102" i="40"/>
  <c r="B3" i="40"/>
  <c r="B486" i="40"/>
  <c r="N102" i="3" l="1"/>
  <c r="N110" i="3"/>
  <c r="N113" i="3"/>
  <c r="AF113" i="3" s="1"/>
  <c r="N105" i="3"/>
  <c r="N107" i="3"/>
  <c r="AF107" i="3" s="1"/>
  <c r="N115" i="3"/>
  <c r="N108" i="3"/>
  <c r="AF108" i="3" s="1"/>
  <c r="N109" i="3"/>
  <c r="B497" i="40"/>
  <c r="BG124" i="3" l="1"/>
  <c r="AZ110" i="3" s="1"/>
  <c r="BG123" i="3"/>
  <c r="AZ109" i="3" s="1"/>
  <c r="BG122" i="3"/>
  <c r="AZ108" i="3" s="1"/>
  <c r="BG121" i="3"/>
  <c r="AZ107" i="3" s="1"/>
  <c r="BG120" i="3"/>
  <c r="AZ106" i="3" s="1"/>
  <c r="BG117" i="3"/>
  <c r="AZ103" i="3" s="1"/>
  <c r="BG118" i="3"/>
  <c r="AZ104" i="3" s="1"/>
  <c r="BG119" i="3"/>
  <c r="AZ105" i="3" s="1"/>
  <c r="AF109" i="3"/>
  <c r="AA25" i="45" s="1"/>
  <c r="AF105" i="3"/>
  <c r="C168" i="31" s="1"/>
  <c r="AF106" i="3"/>
  <c r="D106" i="3" s="1"/>
  <c r="AG106" i="3" s="1"/>
  <c r="AF115" i="3"/>
  <c r="B178" i="31" s="1"/>
  <c r="AF116" i="3"/>
  <c r="AF110" i="3"/>
  <c r="D110" i="3" s="1"/>
  <c r="AF103" i="3"/>
  <c r="AF104" i="3"/>
  <c r="D104" i="3" s="1"/>
  <c r="AG104" i="3" s="1"/>
  <c r="AF102" i="3"/>
  <c r="AF101" i="3"/>
  <c r="D101" i="3" s="1"/>
  <c r="B171" i="31"/>
  <c r="D108" i="3"/>
  <c r="C170" i="31"/>
  <c r="D107" i="3"/>
  <c r="C176" i="31"/>
  <c r="D113" i="3"/>
  <c r="D102" i="3"/>
  <c r="C171" i="31"/>
  <c r="AA37" i="45"/>
  <c r="C153" i="31"/>
  <c r="C158" i="31"/>
  <c r="AA46" i="45"/>
  <c r="B176" i="31"/>
  <c r="B170" i="31"/>
  <c r="AA34" i="45"/>
  <c r="C152" i="31"/>
  <c r="D115" i="3" l="1"/>
  <c r="M126" i="3" s="1"/>
  <c r="AA126" i="3" s="1"/>
  <c r="AE40" i="45" s="1"/>
  <c r="AA49" i="45"/>
  <c r="D116" i="3"/>
  <c r="AG116" i="3" s="1"/>
  <c r="D109" i="3"/>
  <c r="AG109" i="3" s="1"/>
  <c r="M121" i="3"/>
  <c r="AG101" i="3"/>
  <c r="D105" i="3"/>
  <c r="AG105" i="3" s="1"/>
  <c r="C148" i="31"/>
  <c r="D103" i="3"/>
  <c r="AG103" i="3" s="1"/>
  <c r="B172" i="31"/>
  <c r="C154" i="31"/>
  <c r="B168" i="31"/>
  <c r="C172" i="31"/>
  <c r="C150" i="31"/>
  <c r="C160" i="31"/>
  <c r="C173" i="31"/>
  <c r="B173" i="31"/>
  <c r="C155" i="31"/>
  <c r="C178" i="31"/>
  <c r="AA22" i="45"/>
  <c r="C179" i="31"/>
  <c r="B179" i="31"/>
  <c r="C161" i="31"/>
  <c r="AA40" i="45"/>
  <c r="C151" i="31"/>
  <c r="C169" i="31"/>
  <c r="B169" i="31"/>
  <c r="AA31" i="45"/>
  <c r="AA7" i="45"/>
  <c r="D126" i="3"/>
  <c r="C206" i="31"/>
  <c r="N120" i="3"/>
  <c r="C166" i="31"/>
  <c r="B166" i="31"/>
  <c r="C149" i="31"/>
  <c r="C167" i="31"/>
  <c r="B167" i="31"/>
  <c r="AA13" i="45"/>
  <c r="M122" i="3"/>
  <c r="AA122" i="3" s="1"/>
  <c r="N121" i="3"/>
  <c r="AA28" i="45"/>
  <c r="B165" i="31"/>
  <c r="AA10" i="45"/>
  <c r="C147" i="31"/>
  <c r="C165" i="31"/>
  <c r="AA4" i="45"/>
  <c r="C164" i="31"/>
  <c r="C146" i="31"/>
  <c r="B164" i="31"/>
  <c r="AG115" i="3"/>
  <c r="AG107" i="3"/>
  <c r="M123" i="3"/>
  <c r="AA123" i="3" s="1"/>
  <c r="AG110" i="3"/>
  <c r="N123" i="3"/>
  <c r="AF123" i="3" s="1"/>
  <c r="AG108" i="3"/>
  <c r="AG113" i="3"/>
  <c r="M127" i="3"/>
  <c r="AA127" i="3" s="1"/>
  <c r="M125" i="3"/>
  <c r="AA125" i="3" s="1"/>
  <c r="AG102" i="3"/>
  <c r="N125" i="3" l="1"/>
  <c r="AF125" i="3" s="1"/>
  <c r="C188" i="31"/>
  <c r="B206" i="31"/>
  <c r="N127" i="3"/>
  <c r="AF127" i="3" s="1"/>
  <c r="AE47" i="45" s="1"/>
  <c r="N122" i="3"/>
  <c r="AF122" i="3" s="1"/>
  <c r="C202" i="31" s="1"/>
  <c r="M120" i="3"/>
  <c r="AA121" i="3" s="1"/>
  <c r="AE4" i="45" s="1"/>
  <c r="AF121" i="3"/>
  <c r="C191" i="31" s="1"/>
  <c r="AA120" i="3"/>
  <c r="C182" i="31" s="1"/>
  <c r="AF120" i="3"/>
  <c r="D120" i="3" s="1"/>
  <c r="AG126" i="3"/>
  <c r="M134" i="3"/>
  <c r="AA134" i="3" s="1"/>
  <c r="AE28" i="45"/>
  <c r="C184" i="31"/>
  <c r="C195" i="31"/>
  <c r="AE23" i="45"/>
  <c r="AE35" i="45"/>
  <c r="D123" i="3"/>
  <c r="C193" i="31"/>
  <c r="B205" i="31"/>
  <c r="D125" i="3"/>
  <c r="C187" i="31"/>
  <c r="AE22" i="45"/>
  <c r="C205" i="31"/>
  <c r="C185" i="31"/>
  <c r="C203" i="31"/>
  <c r="AE34" i="45"/>
  <c r="B203" i="31"/>
  <c r="D127" i="3"/>
  <c r="AE46" i="45"/>
  <c r="B207" i="31"/>
  <c r="C189" i="31"/>
  <c r="C197" i="31" l="1"/>
  <c r="C207" i="31"/>
  <c r="D122" i="3"/>
  <c r="AG122" i="3" s="1"/>
  <c r="AE29" i="45"/>
  <c r="C192" i="31"/>
  <c r="B202" i="31"/>
  <c r="AE5" i="45"/>
  <c r="B201" i="31"/>
  <c r="B200" i="31"/>
  <c r="C190" i="31"/>
  <c r="AE10" i="45"/>
  <c r="AE11" i="45"/>
  <c r="D121" i="3"/>
  <c r="AG121" i="3" s="1"/>
  <c r="C183" i="31"/>
  <c r="C200" i="31"/>
  <c r="C201" i="31"/>
  <c r="N131" i="3"/>
  <c r="AF131" i="3" s="1"/>
  <c r="AI43" i="45"/>
  <c r="C213" i="31"/>
  <c r="AG120" i="3"/>
  <c r="N132" i="3"/>
  <c r="AF132" i="3" s="1"/>
  <c r="D132" i="3" s="1"/>
  <c r="AG125" i="3"/>
  <c r="N133" i="3"/>
  <c r="AF133" i="3" s="1"/>
  <c r="AG123" i="3"/>
  <c r="N134" i="3"/>
  <c r="AF134" i="3" s="1"/>
  <c r="D134" i="3" s="1"/>
  <c r="AG127" i="3"/>
  <c r="N138" i="3" l="1"/>
  <c r="AF138" i="3" s="1"/>
  <c r="AG132" i="3"/>
  <c r="M133" i="3"/>
  <c r="AA133" i="3" s="1"/>
  <c r="C212" i="31" s="1"/>
  <c r="M131" i="3"/>
  <c r="AA131" i="3" s="1"/>
  <c r="C220" i="31" s="1"/>
  <c r="C214" i="31"/>
  <c r="AI8" i="45"/>
  <c r="AG134" i="3"/>
  <c r="N139" i="3"/>
  <c r="AF139" i="3" s="1"/>
  <c r="C223" i="31"/>
  <c r="B223" i="31"/>
  <c r="AI44" i="45"/>
  <c r="C217" i="31"/>
  <c r="C216" i="31"/>
  <c r="AI32" i="45"/>
  <c r="AI20" i="45"/>
  <c r="C215" i="31"/>
  <c r="C221" i="31"/>
  <c r="B221" i="31"/>
  <c r="H138" i="3" l="1"/>
  <c r="AA143" i="3"/>
  <c r="D133" i="3"/>
  <c r="AG133" i="3" s="1"/>
  <c r="AM14" i="45"/>
  <c r="C228" i="31"/>
  <c r="D131" i="3"/>
  <c r="M138" i="3" s="1"/>
  <c r="AA138" i="3" s="1"/>
  <c r="C226" i="31" s="1"/>
  <c r="B222" i="31"/>
  <c r="AI31" i="45"/>
  <c r="C222" i="31"/>
  <c r="AI7" i="45"/>
  <c r="C210" i="31"/>
  <c r="B220" i="31"/>
  <c r="C229" i="31"/>
  <c r="AM38" i="45" a="1"/>
  <c r="AM38" i="45" s="1"/>
  <c r="AQ31" i="45" l="1"/>
  <c r="C236" i="31"/>
  <c r="AA147" i="3"/>
  <c r="AU25" i="45" s="1"/>
  <c r="D138" i="3"/>
  <c r="AG138" i="3" s="1"/>
  <c r="M139" i="3"/>
  <c r="AA139" i="3" s="1"/>
  <c r="B232" i="31"/>
  <c r="C232" i="31"/>
  <c r="AM13" i="45"/>
  <c r="AG131" i="3"/>
  <c r="D139" i="3"/>
  <c r="AG139" i="3" s="1"/>
  <c r="AF147" i="3"/>
  <c r="AA152" i="3"/>
  <c r="D143" i="3"/>
  <c r="AG143" i="3" s="1"/>
  <c r="M147" i="3" l="1"/>
  <c r="AA150" i="3"/>
  <c r="AG150" i="3" s="1"/>
  <c r="C240" i="31"/>
  <c r="D147" i="3"/>
  <c r="AG147" i="3" s="1"/>
  <c r="M143" i="3"/>
  <c r="C227" i="31"/>
  <c r="AF143" i="3"/>
  <c r="H139" i="3"/>
  <c r="AM37" i="45"/>
  <c r="B233" i="31"/>
  <c r="C233" i="31"/>
  <c r="AA151" i="3"/>
  <c r="BB23" i="45" s="1"/>
  <c r="N143" i="3"/>
  <c r="N147" i="3"/>
  <c r="B247" i="31"/>
  <c r="H147" i="3"/>
  <c r="AU26" i="45"/>
  <c r="C241" i="31"/>
  <c r="C247" i="31"/>
  <c r="C252" i="31"/>
  <c r="AG152" i="3"/>
  <c r="AZ25" i="45"/>
  <c r="BA21" i="45" l="1"/>
  <c r="C250" i="31"/>
  <c r="BO26" i="45" s="1"/>
  <c r="B244" i="31"/>
  <c r="AQ32" i="45"/>
  <c r="C237" i="31"/>
  <c r="C244" i="31"/>
  <c r="C251" i="31"/>
  <c r="BN41" i="45" s="1"/>
  <c r="AG151" i="3"/>
  <c r="AJ155" i="3" s="1"/>
  <c r="BM5" i="45"/>
  <c r="BM47" i="45"/>
  <c r="BM8" i="45"/>
  <c r="BM18" i="45"/>
  <c r="BM11" i="45"/>
  <c r="BM4" i="45"/>
  <c r="BM17" i="45"/>
  <c r="BM16" i="45"/>
  <c r="BM12" i="45"/>
  <c r="BM19" i="45"/>
  <c r="BM38" i="45"/>
  <c r="BM39" i="45"/>
  <c r="BM40" i="45"/>
  <c r="BM6" i="45"/>
  <c r="BM15" i="45"/>
  <c r="BM46" i="45"/>
  <c r="BM24" i="45"/>
  <c r="BM29" i="45"/>
  <c r="BM48" i="45"/>
  <c r="BM45" i="45"/>
  <c r="BM20" i="45"/>
  <c r="BM43" i="45"/>
  <c r="BM9" i="45"/>
  <c r="BM49" i="45"/>
  <c r="BM14" i="45"/>
  <c r="BM41" i="45"/>
  <c r="BM50" i="45"/>
  <c r="BM7" i="45"/>
  <c r="BM25" i="45"/>
  <c r="BM27" i="45"/>
  <c r="BM36" i="45"/>
  <c r="BM44" i="45"/>
  <c r="BM33" i="45"/>
  <c r="BM32" i="45"/>
  <c r="BM28" i="45"/>
  <c r="BM10" i="45"/>
  <c r="BM30" i="45"/>
  <c r="BM22" i="45"/>
  <c r="BM23" i="45"/>
  <c r="BM37" i="45"/>
  <c r="BM42" i="45"/>
  <c r="BM26" i="45"/>
  <c r="BM35" i="45"/>
  <c r="BM34" i="45"/>
  <c r="BM21" i="45"/>
  <c r="BM51" i="45"/>
  <c r="BM13" i="45"/>
  <c r="BM31" i="45"/>
  <c r="BO4" i="45" l="1"/>
  <c r="BO24" i="45"/>
  <c r="BO14" i="45"/>
  <c r="BO32" i="45"/>
  <c r="BO27" i="45"/>
  <c r="BO47" i="45"/>
  <c r="BO45" i="45"/>
  <c r="BO13" i="45"/>
  <c r="BO17" i="45"/>
  <c r="BO5" i="45"/>
  <c r="BO40" i="45"/>
  <c r="BO36" i="45"/>
  <c r="BO16" i="45"/>
  <c r="BO38" i="45"/>
  <c r="BO21" i="45"/>
  <c r="BO25" i="45"/>
  <c r="BO51" i="45"/>
  <c r="BO46" i="45"/>
  <c r="BO44" i="45"/>
  <c r="BO35" i="45"/>
  <c r="BO37" i="45"/>
  <c r="BO20" i="45"/>
  <c r="BO48" i="45"/>
  <c r="BO23" i="45"/>
  <c r="BO6" i="45"/>
  <c r="BO41" i="45"/>
  <c r="BL41" i="45" s="1"/>
  <c r="BK41" i="45" s="1"/>
  <c r="BJ41" i="45" s="1"/>
  <c r="BI41" i="45" s="1"/>
  <c r="BH41" i="45" s="1"/>
  <c r="BO9" i="45"/>
  <c r="BO34" i="45"/>
  <c r="BO33" i="45"/>
  <c r="BO42" i="45"/>
  <c r="BO19" i="45"/>
  <c r="BO22" i="45"/>
  <c r="BO7" i="45"/>
  <c r="BO30" i="45"/>
  <c r="BO11" i="45"/>
  <c r="BO12" i="45"/>
  <c r="BO28" i="45"/>
  <c r="BO8" i="45"/>
  <c r="BO18" i="45"/>
  <c r="BO29" i="45"/>
  <c r="BO39" i="45"/>
  <c r="BO50" i="45"/>
  <c r="BO43" i="45"/>
  <c r="BO15" i="45"/>
  <c r="BO31" i="45"/>
  <c r="BO10" i="45"/>
  <c r="BO49" i="45"/>
  <c r="BN36" i="45"/>
  <c r="BN12" i="45"/>
  <c r="BN22" i="45"/>
  <c r="BN34" i="45"/>
  <c r="BN14" i="45"/>
  <c r="BN42" i="45"/>
  <c r="BN19" i="45"/>
  <c r="BN16" i="45"/>
  <c r="BN26" i="45"/>
  <c r="BL26" i="45" s="1"/>
  <c r="BK26" i="45" s="1"/>
  <c r="BJ26" i="45" s="1"/>
  <c r="BI26" i="45" s="1"/>
  <c r="BH26" i="45" s="1"/>
  <c r="BN32" i="45"/>
  <c r="BN37" i="45"/>
  <c r="BN48" i="45"/>
  <c r="BN38" i="45"/>
  <c r="BN20" i="45"/>
  <c r="BN44" i="45"/>
  <c r="BN17" i="45"/>
  <c r="BN31" i="45"/>
  <c r="BN43" i="45"/>
  <c r="BN50" i="45"/>
  <c r="BL50" i="45" s="1"/>
  <c r="BK50" i="45" s="1"/>
  <c r="BJ50" i="45" s="1"/>
  <c r="BI50" i="45" s="1"/>
  <c r="BH50" i="45" s="1"/>
  <c r="BN18" i="45"/>
  <c r="BN35" i="45"/>
  <c r="BL35" i="45" s="1"/>
  <c r="BK35" i="45" s="1"/>
  <c r="BJ35" i="45" s="1"/>
  <c r="BI35" i="45" s="1"/>
  <c r="BH35" i="45" s="1"/>
  <c r="BN21" i="45"/>
  <c r="BN13" i="45"/>
  <c r="BN30" i="45"/>
  <c r="BN40" i="45"/>
  <c r="BN47" i="45"/>
  <c r="BN39" i="45"/>
  <c r="BN11" i="45"/>
  <c r="BL11" i="45" s="1"/>
  <c r="BK11" i="45" s="1"/>
  <c r="BJ11" i="45" s="1"/>
  <c r="BI11" i="45" s="1"/>
  <c r="BH11" i="45" s="1"/>
  <c r="BN25" i="45"/>
  <c r="BN5" i="45"/>
  <c r="BN8" i="45"/>
  <c r="BL8" i="45" s="1"/>
  <c r="BK8" i="45" s="1"/>
  <c r="BJ8" i="45" s="1"/>
  <c r="BI8" i="45" s="1"/>
  <c r="BH8" i="45" s="1"/>
  <c r="BN6" i="45"/>
  <c r="BN46" i="45"/>
  <c r="BN45" i="45"/>
  <c r="BN10" i="45"/>
  <c r="BN51" i="45"/>
  <c r="BN24" i="45"/>
  <c r="BL24" i="45" s="1"/>
  <c r="BK24" i="45" s="1"/>
  <c r="BJ24" i="45" s="1"/>
  <c r="BI24" i="45" s="1"/>
  <c r="BH24" i="45" s="1"/>
  <c r="BN49" i="45"/>
  <c r="BN29" i="45"/>
  <c r="BN27" i="45"/>
  <c r="BN7" i="45"/>
  <c r="BN33" i="45"/>
  <c r="BN4" i="45"/>
  <c r="BL4" i="45" s="1"/>
  <c r="BK4" i="45" s="1"/>
  <c r="BJ4" i="45" s="1"/>
  <c r="BI4" i="45" s="1"/>
  <c r="BH4" i="45" s="1"/>
  <c r="BN9" i="45"/>
  <c r="BL9" i="45" s="1"/>
  <c r="BK9" i="45" s="1"/>
  <c r="BJ9" i="45" s="1"/>
  <c r="BI9" i="45" s="1"/>
  <c r="BH9" i="45" s="1"/>
  <c r="BN15" i="45"/>
  <c r="BL15" i="45" s="1"/>
  <c r="BK15" i="45" s="1"/>
  <c r="BJ15" i="45" s="1"/>
  <c r="BI15" i="45" s="1"/>
  <c r="BH15" i="45" s="1"/>
  <c r="BN23" i="45"/>
  <c r="BN28" i="45"/>
  <c r="AJ151" i="3"/>
  <c r="BL47" i="45" l="1"/>
  <c r="BK47" i="45" s="1"/>
  <c r="BJ47" i="45" s="1"/>
  <c r="BI47" i="45" s="1"/>
  <c r="BH47" i="45" s="1"/>
  <c r="BL45" i="45"/>
  <c r="BK45" i="45" s="1"/>
  <c r="BJ45" i="45" s="1"/>
  <c r="BI45" i="45" s="1"/>
  <c r="BH45" i="45" s="1"/>
  <c r="BL48" i="45"/>
  <c r="BK48" i="45" s="1"/>
  <c r="BJ48" i="45" s="1"/>
  <c r="BI48" i="45" s="1"/>
  <c r="BH48" i="45" s="1"/>
  <c r="BL25" i="45"/>
  <c r="BK25" i="45" s="1"/>
  <c r="BJ25" i="45" s="1"/>
  <c r="BI25" i="45" s="1"/>
  <c r="BH25" i="45" s="1"/>
  <c r="BL14" i="45"/>
  <c r="BK14" i="45" s="1"/>
  <c r="BJ14" i="45" s="1"/>
  <c r="BI14" i="45" s="1"/>
  <c r="BH14" i="45" s="1"/>
  <c r="BL27" i="45"/>
  <c r="BK27" i="45" s="1"/>
  <c r="BJ27" i="45" s="1"/>
  <c r="BI27" i="45" s="1"/>
  <c r="BH27" i="45" s="1"/>
  <c r="BL32" i="45"/>
  <c r="BK32" i="45" s="1"/>
  <c r="BJ32" i="45" s="1"/>
  <c r="BI32" i="45" s="1"/>
  <c r="BH32" i="45" s="1"/>
  <c r="BL17" i="45"/>
  <c r="BK17" i="45" s="1"/>
  <c r="BJ17" i="45" s="1"/>
  <c r="BI17" i="45" s="1"/>
  <c r="BH17" i="45" s="1"/>
  <c r="BL7" i="45"/>
  <c r="BK7" i="45" s="1"/>
  <c r="BJ7" i="45" s="1"/>
  <c r="BI7" i="45" s="1"/>
  <c r="BH7" i="45" s="1"/>
  <c r="BL6" i="45"/>
  <c r="BK6" i="45" s="1"/>
  <c r="BJ6" i="45" s="1"/>
  <c r="BI6" i="45" s="1"/>
  <c r="BH6" i="45" s="1"/>
  <c r="BL46" i="45"/>
  <c r="BK46" i="45" s="1"/>
  <c r="BJ46" i="45" s="1"/>
  <c r="BI46" i="45" s="1"/>
  <c r="BH46" i="45" s="1"/>
  <c r="BL30" i="45"/>
  <c r="BK30" i="45" s="1"/>
  <c r="BJ30" i="45" s="1"/>
  <c r="BI30" i="45" s="1"/>
  <c r="BH30" i="45" s="1"/>
  <c r="BL5" i="45"/>
  <c r="BK5" i="45" s="1"/>
  <c r="BJ5" i="45" s="1"/>
  <c r="BI5" i="45" s="1"/>
  <c r="BH5" i="45" s="1"/>
  <c r="BL43" i="45"/>
  <c r="BK43" i="45" s="1"/>
  <c r="BJ43" i="45" s="1"/>
  <c r="BI43" i="45" s="1"/>
  <c r="BH43" i="45" s="1"/>
  <c r="BL40" i="45"/>
  <c r="BK40" i="45" s="1"/>
  <c r="BJ40" i="45" s="1"/>
  <c r="BI40" i="45" s="1"/>
  <c r="BH40" i="45" s="1"/>
  <c r="BL51" i="45"/>
  <c r="BK51" i="45" s="1"/>
  <c r="BJ51" i="45" s="1"/>
  <c r="BI51" i="45" s="1"/>
  <c r="BH51" i="45" s="1"/>
  <c r="BL36" i="45"/>
  <c r="BK36" i="45" s="1"/>
  <c r="BJ36" i="45" s="1"/>
  <c r="BI36" i="45" s="1"/>
  <c r="BH36" i="45" s="1"/>
  <c r="BL16" i="45"/>
  <c r="BK16" i="45" s="1"/>
  <c r="BJ16" i="45" s="1"/>
  <c r="BI16" i="45" s="1"/>
  <c r="BH16" i="45" s="1"/>
  <c r="BL18" i="45"/>
  <c r="BK18" i="45" s="1"/>
  <c r="BJ18" i="45" s="1"/>
  <c r="BI18" i="45" s="1"/>
  <c r="BH18" i="45" s="1"/>
  <c r="BL13" i="45"/>
  <c r="BK13" i="45" s="1"/>
  <c r="BJ13" i="45" s="1"/>
  <c r="BI13" i="45" s="1"/>
  <c r="BH13" i="45" s="1"/>
  <c r="BL49" i="45"/>
  <c r="BK49" i="45" s="1"/>
  <c r="BJ49" i="45" s="1"/>
  <c r="BI49" i="45" s="1"/>
  <c r="BH49" i="45" s="1"/>
  <c r="BL21" i="45"/>
  <c r="BK21" i="45" s="1"/>
  <c r="BJ21" i="45" s="1"/>
  <c r="BI21" i="45" s="1"/>
  <c r="BH21" i="45" s="1"/>
  <c r="BL34" i="45"/>
  <c r="BK34" i="45" s="1"/>
  <c r="BJ34" i="45" s="1"/>
  <c r="BI34" i="45" s="1"/>
  <c r="BH34" i="45" s="1"/>
  <c r="BL38" i="45"/>
  <c r="BK38" i="45" s="1"/>
  <c r="BJ38" i="45" s="1"/>
  <c r="BI38" i="45" s="1"/>
  <c r="BH38" i="45" s="1"/>
  <c r="BL28" i="45"/>
  <c r="BK28" i="45" s="1"/>
  <c r="BJ28" i="45" s="1"/>
  <c r="BI28" i="45" s="1"/>
  <c r="BH28" i="45" s="1"/>
  <c r="BL31" i="45"/>
  <c r="BK31" i="45" s="1"/>
  <c r="BJ31" i="45" s="1"/>
  <c r="BI31" i="45" s="1"/>
  <c r="BH31" i="45" s="1"/>
  <c r="BL23" i="45"/>
  <c r="BK23" i="45" s="1"/>
  <c r="BJ23" i="45" s="1"/>
  <c r="BI23" i="45" s="1"/>
  <c r="BH23" i="45" s="1"/>
  <c r="BL20" i="45"/>
  <c r="BK20" i="45" s="1"/>
  <c r="BJ20" i="45" s="1"/>
  <c r="BI20" i="45" s="1"/>
  <c r="BH20" i="45" s="1"/>
  <c r="BL42" i="45"/>
  <c r="BK42" i="45" s="1"/>
  <c r="BJ42" i="45" s="1"/>
  <c r="BI42" i="45" s="1"/>
  <c r="BH42" i="45" s="1"/>
  <c r="BL44" i="45"/>
  <c r="BK44" i="45" s="1"/>
  <c r="BJ44" i="45" s="1"/>
  <c r="BI44" i="45" s="1"/>
  <c r="BH44" i="45" s="1"/>
  <c r="BL19" i="45"/>
  <c r="BK19" i="45" s="1"/>
  <c r="BJ19" i="45" s="1"/>
  <c r="BI19" i="45" s="1"/>
  <c r="BH19" i="45" s="1"/>
  <c r="BL37" i="45"/>
  <c r="BK37" i="45" s="1"/>
  <c r="BJ37" i="45" s="1"/>
  <c r="BI37" i="45" s="1"/>
  <c r="BH37" i="45" s="1"/>
  <c r="BL29" i="45"/>
  <c r="BK29" i="45" s="1"/>
  <c r="BJ29" i="45" s="1"/>
  <c r="BI29" i="45" s="1"/>
  <c r="BH29" i="45" s="1"/>
  <c r="BL22" i="45"/>
  <c r="BK22" i="45" s="1"/>
  <c r="BJ22" i="45" s="1"/>
  <c r="BI22" i="45" s="1"/>
  <c r="BH22" i="45" s="1"/>
  <c r="BL33" i="45"/>
  <c r="BK33" i="45" s="1"/>
  <c r="BJ33" i="45" s="1"/>
  <c r="BI33" i="45" s="1"/>
  <c r="BH33" i="45" s="1"/>
  <c r="BL12" i="45"/>
  <c r="BK12" i="45" s="1"/>
  <c r="BJ12" i="45" s="1"/>
  <c r="BI12" i="45" s="1"/>
  <c r="BH12" i="45" s="1"/>
  <c r="BL39" i="45"/>
  <c r="BK39" i="45" s="1"/>
  <c r="BJ39" i="45" s="1"/>
  <c r="BI39" i="45" s="1"/>
  <c r="BH39" i="45" s="1"/>
  <c r="BL10" i="45"/>
  <c r="BK10" i="45" s="1"/>
  <c r="BJ10" i="45" s="1"/>
  <c r="BI10" i="45" s="1"/>
  <c r="BH1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<sst xmlns="http://schemas.openxmlformats.org/spreadsheetml/2006/main" count="6729" uniqueCount="1476">
  <si>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</si>
  <si>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</si>
  <si>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</si>
  <si>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</si>
  <si>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</si>
  <si>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</si>
  <si>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</si>
  <si>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</si>
  <si>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</si>
  <si>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</si>
  <si>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</si>
  <si>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</si>
  <si>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</si>
  <si>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</si>
  <si>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</si>
  <si>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</si>
  <si>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</si>
  <si>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</si>
  <si>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</si>
  <si>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</si>
  <si>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</si>
  <si>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</si>
  <si>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</si>
  <si>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</si>
  <si>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</si>
  <si>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</si>
  <si>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</si>
  <si>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</si>
  <si>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</si>
  <si>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</si>
  <si>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</si>
  <si>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</si>
  <si>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</si>
  <si>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</si>
  <si>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</si>
  <si>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</si>
  <si>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</si>
  <si>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</si>
  <si>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</si>
  <si>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</si>
  <si>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</si>
  <si>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</si>
  <si>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</si>
  <si>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</si>
  <si>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</si>
  <si>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</si>
  <si>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</si>
  <si>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</si>
  <si>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</si>
  <si>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</si>
  <si>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</si>
  <si>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</si>
  <si>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</si>
  <si>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</si>
  <si>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</si>
  <si>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</si>
  <si>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</si>
  <si>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</si>
  <si>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</si>
  <si>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</si>
  <si>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</si>
  <si>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</si>
  <si>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</si>
  <si>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</si>
  <si>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</si>
  <si>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</si>
  <si>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</si>
  <si>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</si>
  <si>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</si>
  <si>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</si>
  <si>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</si>
  <si>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</si>
  <si>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</si>
  <si>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</si>
  <si>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mat</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</si>
  <si>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</si>
  <si>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</si>
  <si>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</si>
  <si>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</si>
  <si>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</si>
  <si>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</si>
  <si>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</si>
  <si>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</si>
  <si>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</si>
  <si>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</si>
  <si>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</si>
  <si>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</si>
  <si>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</si>
  <si>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</si>
  <si>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</si>
  <si>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</si>
  <si>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</si>
  <si>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</si>
  <si>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</si>
  <si>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</si>
  <si>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</si>
  <si>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</si>
  <si>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</si>
  <si>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</si>
  <si>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</si>
  <si>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</si>
  <si>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</si>
  <si>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</si>
  <si>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</si>
  <si>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</si>
  <si>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</si>
  <si>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</si>
  <si>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</si>
  <si>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</si>
  <si>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</si>
  <si>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</si>
  <si>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</si>
  <si>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</si>
  <si>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1234&gt;56</t>
  </si>
  <si>
    <t>ce</t>
  </si>
  <si>
    <t>cc</t>
  </si>
  <si>
    <t>cf</t>
  </si>
  <si>
    <t>cg</t>
  </si>
  <si>
    <t>12&gt;3&gt;4- 5&gt;6</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</si>
  <si>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</si>
  <si>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</si>
  <si>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</si>
  <si>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</si>
  <si>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</si>
  <si>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</si>
  <si>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</si>
  <si>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</si>
  <si>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</si>
  <si>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</si>
  <si>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</si>
  <si>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</si>
  <si>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</si>
  <si>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</si>
  <si>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</si>
  <si>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</si>
  <si>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</si>
  <si>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</si>
  <si>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</si>
  <si>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</si>
  <si>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</si>
  <si>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</si>
  <si>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</si>
  <si>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</si>
  <si>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</si>
  <si>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</si>
  <si>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</si>
  <si>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</si>
  <si>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</si>
  <si>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</si>
  <si>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</si>
  <si>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</si>
  <si>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</si>
  <si>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</si>
  <si>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</si>
  <si>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</si>
  <si>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</si>
  <si>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</si>
  <si>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</si>
  <si>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</si>
  <si>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</si>
  <si>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</si>
  <si>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</si>
  <si>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</si>
  <si>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</si>
  <si>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</si>
  <si>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</si>
  <si>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</si>
  <si>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</si>
  <si>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</si>
  <si>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</si>
  <si>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</si>
  <si>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</si>
  <si>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</si>
  <si>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</si>
  <si>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</si>
  <si>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</si>
  <si>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</si>
  <si>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</si>
  <si>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</si>
  <si>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</si>
  <si>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</si>
  <si>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</si>
  <si>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</si>
  <si>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</si>
  <si>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</si>
  <si>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</si>
  <si>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</si>
  <si>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</si>
  <si>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</si>
  <si>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</si>
  <si>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</si>
  <si>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</si>
  <si>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</si>
  <si>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</si>
  <si>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</si>
  <si>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</si>
  <si>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</si>
  <si>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</si>
  <si>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</si>
  <si>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</si>
  <si>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</si>
  <si>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</si>
  <si>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</si>
  <si>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</si>
  <si>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</si>
  <si>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</si>
  <si>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</si>
  <si>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</si>
  <si>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</si>
  <si>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</si>
  <si>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</si>
  <si>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</si>
  <si>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</si>
  <si>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</si>
  <si>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</si>
  <si>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</si>
  <si>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</si>
  <si>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</si>
  <si>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</si>
  <si>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</si>
  <si>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</si>
  <si>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</si>
  <si>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</si>
  <si>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</si>
  <si>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</si>
  <si>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</si>
  <si>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</si>
  <si>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</si>
  <si>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</si>
  <si>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</si>
  <si>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</si>
  <si>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</si>
  <si>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</si>
  <si>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</si>
  <si>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</si>
  <si>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</si>
  <si>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</si>
  <si>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</si>
  <si>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</si>
  <si>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</si>
  <si>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</si>
  <si>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</si>
  <si>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</si>
  <si>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</si>
  <si>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</si>
  <si>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</si>
  <si>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</si>
  <si>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</si>
  <si>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</si>
  <si>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</si>
  <si>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</si>
  <si>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</si>
  <si>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</si>
  <si>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</si>
  <si>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</si>
  <si>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</si>
  <si>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</si>
  <si>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</si>
  <si>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</si>
  <si>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</si>
  <si>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</si>
  <si>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</si>
  <si>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</si>
  <si>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</si>
  <si>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</si>
  <si>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</si>
  <si>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</si>
  <si>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</si>
  <si>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</si>
  <si>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</si>
  <si>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</si>
  <si>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</si>
  <si>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</si>
  <si>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</si>
  <si>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</si>
  <si>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</si>
  <si>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</si>
  <si>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</si>
  <si>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</si>
  <si>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</si>
  <si>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</si>
  <si>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</si>
  <si>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</si>
  <si>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</si>
  <si>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</si>
  <si>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</si>
  <si>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</si>
  <si>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</si>
  <si>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</si>
  <si>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</si>
  <si>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</si>
  <si>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</si>
  <si>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</si>
  <si>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</si>
  <si>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</si>
  <si>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</si>
  <si>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</si>
  <si>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</si>
  <si>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</si>
  <si>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</si>
  <si>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</si>
  <si>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</si>
  <si>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</si>
  <si>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</si>
  <si>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</si>
  <si>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</si>
  <si>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</si>
  <si>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</si>
  <si>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</si>
  <si>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</si>
  <si>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</si>
  <si>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</si>
  <si>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</si>
  <si>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</si>
  <si>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</si>
  <si>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</si>
  <si>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</si>
  <si>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</si>
  <si>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</si>
  <si>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</si>
  <si>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</si>
  <si>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</si>
  <si>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</si>
  <si>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</si>
  <si>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</si>
  <si>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</si>
  <si>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</si>
  <si>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</si>
  <si>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</si>
  <si>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</si>
  <si>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</si>
  <si>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</si>
  <si>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</si>
  <si>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</si>
  <si>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</si>
  <si>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</si>
  <si>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</si>
  <si>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</si>
  <si>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</si>
  <si>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</si>
  <si>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</si>
  <si>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</si>
  <si>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</si>
  <si>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</si>
  <si>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</si>
  <si>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</si>
  <si>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</si>
  <si>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</si>
  <si>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</si>
  <si>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</si>
  <si>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</si>
  <si>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</si>
  <si>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</si>
  <si>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</si>
  <si>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</si>
  <si>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</si>
  <si>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</si>
  <si>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</si>
  <si>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</si>
  <si>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</si>
  <si>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</si>
  <si>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</si>
  <si>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</si>
  <si>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</si>
  <si>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</si>
  <si>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</si>
  <si>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</si>
  <si>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</si>
  <si>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</si>
  <si>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</si>
  <si>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</si>
  <si>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</si>
  <si>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</si>
  <si>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</si>
  <si>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</si>
  <si>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</si>
  <si>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</si>
  <si>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</si>
  <si>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</si>
  <si>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</si>
  <si>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</si>
  <si>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</si>
  <si>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</si>
  <si>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</si>
  <si>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</si>
  <si>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</si>
  <si>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</si>
  <si>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</si>
  <si>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</si>
  <si>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</si>
  <si>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</si>
  <si>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</si>
  <si>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</si>
  <si>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</si>
  <si>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</si>
  <si>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</si>
  <si>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</si>
  <si>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</si>
  <si>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</si>
  <si>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</si>
  <si>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</si>
  <si>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</si>
  <si>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</si>
  <si>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</si>
  <si>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</si>
  <si>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</si>
  <si>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</si>
  <si>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</si>
  <si>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</si>
  <si>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</si>
  <si>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</si>
  <si>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</si>
  <si>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</si>
  <si>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</si>
  <si>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</si>
  <si>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</si>
  <si>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</si>
  <si>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</si>
  <si>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</si>
  <si>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</si>
  <si>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</si>
  <si>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</si>
  <si>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</si>
  <si>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</si>
  <si>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</si>
  <si>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</si>
  <si>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</si>
  <si>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</si>
  <si>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</si>
  <si>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</si>
  <si>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</si>
  <si>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</si>
  <si>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</si>
  <si>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</si>
  <si>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</si>
  <si>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</si>
  <si>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</si>
  <si>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</si>
  <si>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</si>
  <si>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</si>
  <si>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</si>
  <si>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</si>
  <si>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</si>
  <si>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</si>
  <si>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</si>
  <si>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</si>
  <si>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</si>
  <si>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</si>
  <si>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</si>
  <si>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</si>
  <si>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</si>
  <si>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</si>
  <si>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</si>
  <si>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</si>
  <si>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</si>
  <si>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</si>
  <si>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</si>
  <si>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</si>
  <si>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</si>
  <si>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</si>
  <si>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</si>
  <si>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</si>
  <si>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</si>
  <si>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</si>
  <si>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</si>
  <si>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</si>
  <si>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</si>
  <si>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</si>
  <si>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</si>
  <si>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</si>
  <si>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</si>
  <si>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</si>
  <si>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</si>
  <si>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</si>
  <si>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</si>
  <si>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</si>
  <si>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</si>
  <si>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</si>
  <si>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</si>
  <si>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</si>
  <si>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</si>
  <si>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</si>
  <si>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</si>
  <si>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</si>
  <si>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</si>
  <si>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</si>
  <si>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</si>
  <si>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</si>
  <si>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</si>
  <si>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</si>
  <si>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</si>
  <si>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</si>
  <si>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</si>
  <si>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</si>
  <si>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</si>
  <si>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</si>
  <si>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</si>
  <si>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</si>
  <si>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</si>
  <si>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</si>
  <si>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</si>
  <si>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</si>
  <si>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</si>
  <si>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</si>
  <si>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</si>
  <si>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</si>
  <si>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</si>
  <si>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</si>
  <si>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</si>
  <si>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</si>
  <si>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</si>
  <si>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</si>
  <si>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</si>
  <si>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</si>
  <si>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</si>
  <si>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</si>
  <si>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</si>
  <si>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</si>
  <si>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</si>
  <si>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</si>
  <si>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</si>
  <si>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</si>
  <si>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</si>
  <si>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</si>
  <si>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</si>
  <si>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</si>
  <si>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</si>
  <si>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</si>
  <si>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</si>
  <si>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</si>
  <si>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</si>
  <si>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</si>
  <si>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</si>
  <si>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</si>
  <si>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</si>
  <si>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</si>
  <si>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</si>
  <si>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</si>
  <si>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</si>
  <si>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</si>
  <si>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</si>
  <si>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</si>
  <si>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</si>
  <si>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</si>
  <si>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</si>
  <si>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</si>
  <si>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</si>
  <si>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</si>
  <si>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</si>
  <si>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</si>
  <si>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</si>
  <si>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</si>
  <si>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</si>
  <si>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</si>
  <si>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</si>
  <si>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</si>
  <si>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</si>
  <si>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</si>
  <si>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</si>
  <si>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</si>
  <si>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</si>
  <si>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</si>
  <si>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</si>
  <si>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</si>
  <si>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</si>
  <si>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</si>
  <si>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</si>
  <si>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</si>
  <si>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</si>
  <si>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</si>
  <si>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</si>
  <si>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</si>
  <si>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</si>
  <si>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</si>
  <si>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</si>
  <si>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</si>
  <si>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</si>
  <si>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</si>
  <si>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</si>
  <si>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</si>
  <si>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</si>
  <si>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</si>
  <si>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</si>
  <si>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</si>
  <si>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</si>
  <si>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</si>
  <si>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</si>
  <si>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</si>
  <si>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</si>
  <si>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</si>
  <si>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</si>
  <si>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</si>
  <si>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</si>
  <si>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</si>
  <si>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</si>
  <si>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</si>
  <si>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</si>
  <si>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</si>
  <si>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</si>
  <si>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</si>
  <si>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</si>
  <si>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</si>
  <si>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</si>
  <si>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</si>
  <si>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</si>
  <si>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</si>
  <si>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</si>
  <si>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</si>
  <si>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</si>
  <si>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</si>
  <si>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</si>
  <si>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</si>
  <si>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</si>
  <si>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</si>
  <si>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</si>
  <si>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</si>
  <si>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</si>
  <si>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</si>
  <si>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</si>
  <si>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</si>
  <si>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</si>
  <si>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</si>
  <si>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</si>
  <si>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</si>
  <si>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</si>
  <si>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</si>
  <si>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</si>
  <si>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</si>
  <si>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</si>
  <si>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</si>
  <si>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</si>
  <si>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</si>
  <si>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</si>
  <si>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</si>
  <si>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</si>
  <si>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</si>
  <si>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</si>
  <si>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</si>
  <si>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</si>
  <si>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</si>
  <si>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</si>
  <si>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</si>
  <si>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</si>
  <si>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</si>
  <si>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</si>
  <si>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</si>
  <si>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</si>
  <si>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</si>
  <si>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</si>
  <si>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</si>
  <si>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</si>
  <si>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</si>
  <si>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</si>
  <si>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</si>
  <si>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</si>
  <si>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</si>
  <si>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</si>
  <si>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</si>
  <si>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</si>
  <si>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</si>
  <si>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</si>
  <si>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</si>
  <si>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</si>
  <si>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</si>
  <si>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</si>
  <si>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</si>
  <si>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</si>
  <si>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</si>
  <si>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</si>
  <si>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</si>
  <si>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</si>
  <si>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</si>
  <si>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</si>
  <si>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</si>
  <si>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</si>
  <si>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</si>
  <si>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</si>
  <si>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</si>
  <si>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</si>
  <si>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</si>
  <si>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</si>
  <si>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</si>
  <si>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</si>
  <si>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</si>
  <si>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</si>
  <si>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</si>
  <si>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</si>
  <si>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</si>
  <si>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</si>
  <si>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</si>
  <si>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</si>
  <si>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</si>
  <si>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</si>
  <si>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</si>
  <si>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</si>
  <si>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</si>
  <si>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</si>
  <si>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</si>
  <si>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</si>
  <si>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</si>
  <si>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</si>
  <si>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</si>
  <si>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</si>
  <si>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</si>
  <si>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</si>
  <si>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</si>
  <si>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</si>
  <si>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</si>
  <si>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</si>
  <si>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</si>
  <si>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</si>
  <si>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</si>
  <si>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</si>
  <si>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</si>
  <si>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</si>
  <si>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</si>
  <si>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</si>
  <si>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</si>
  <si>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</si>
  <si>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</si>
  <si>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</si>
  <si>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</si>
  <si>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</si>
  <si>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</si>
  <si>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</si>
  <si>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</si>
  <si>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</si>
  <si>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</si>
  <si>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</si>
  <si>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</si>
  <si>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</si>
  <si>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</si>
  <si>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</si>
  <si>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</si>
  <si>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</si>
  <si>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</si>
  <si>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</si>
  <si>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</si>
  <si>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</si>
  <si>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</si>
  <si>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</si>
  <si>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</si>
  <si>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</si>
  <si>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</si>
  <si>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</si>
  <si>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</si>
  <si>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</si>
  <si>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</si>
  <si>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</si>
  <si>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</si>
  <si>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</si>
  <si>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</si>
  <si>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</si>
  <si>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</si>
  <si>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</si>
  <si>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</si>
  <si>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</si>
  <si>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</si>
  <si>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</si>
  <si>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</si>
  <si>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</si>
  <si>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</si>
  <si>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</si>
  <si>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</si>
  <si>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</si>
  <si>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</si>
  <si>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</si>
  <si>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</si>
  <si>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</si>
  <si>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</si>
  <si>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</si>
  <si>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</si>
  <si>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</si>
  <si>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</si>
  <si>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</si>
  <si>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</si>
  <si>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</si>
  <si>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</si>
  <si>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</si>
  <si>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</si>
  <si>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</si>
  <si>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</si>
  <si>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</si>
  <si>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</si>
  <si>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</si>
  <si>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</si>
  <si>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</si>
  <si>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</si>
  <si>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</si>
  <si>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</si>
  <si>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</si>
  <si>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</si>
  <si>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</si>
  <si>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</si>
  <si>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</si>
  <si>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</si>
  <si>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</si>
  <si>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</si>
  <si>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</si>
  <si>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</si>
  <si>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</si>
  <si>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</si>
  <si>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</si>
  <si>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</si>
  <si>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</si>
  <si>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</si>
  <si>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</si>
  <si>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</si>
  <si>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</si>
  <si>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</si>
  <si>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</si>
  <si>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</si>
  <si>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</si>
  <si>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</si>
  <si>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</si>
  <si>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</si>
  <si>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</si>
  <si>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</si>
  <si>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</si>
  <si>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</si>
  <si>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</si>
  <si>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</si>
  <si>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</si>
  <si>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</si>
  <si>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</si>
  <si>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</si>
  <si>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</si>
  <si>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</si>
  <si>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</si>
  <si>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</si>
  <si>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</si>
  <si>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</si>
  <si>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</si>
  <si>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</si>
  <si>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</si>
  <si>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</si>
  <si>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</si>
  <si>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</si>
  <si>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</si>
  <si>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</si>
  <si>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</si>
  <si>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</si>
  <si>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</si>
  <si>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</si>
  <si>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</si>
  <si>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</si>
  <si>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</si>
  <si>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</si>
  <si>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</si>
  <si>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</si>
  <si>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</si>
  <si>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</si>
  <si>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</si>
  <si>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</si>
  <si>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</si>
  <si>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</si>
  <si>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</si>
  <si>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</si>
  <si>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</si>
  <si>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</si>
  <si>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</si>
  <si>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</si>
  <si>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</si>
  <si>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</si>
  <si>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</si>
  <si>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</si>
  <si>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</si>
  <si>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</si>
  <si>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</si>
  <si>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</si>
  <si>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</si>
  <si>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</si>
  <si>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</si>
  <si>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</si>
  <si>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</si>
  <si>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</si>
  <si>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</si>
  <si>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</si>
  <si>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</si>
  <si>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</si>
  <si>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</si>
  <si>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</si>
  <si>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</si>
  <si>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</si>
  <si>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</si>
  <si>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</si>
  <si>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</si>
  <si>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</si>
  <si>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</si>
  <si>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</si>
  <si>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</si>
  <si>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</si>
  <si>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</si>
  <si>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</si>
  <si>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</si>
  <si>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</si>
  <si>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</si>
  <si>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</si>
  <si>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</si>
  <si>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</si>
  <si>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</si>
  <si>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</si>
  <si>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</si>
  <si>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</si>
  <si>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</si>
  <si>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</si>
  <si>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</si>
  <si>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</si>
  <si>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</si>
  <si>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</si>
  <si>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</si>
  <si>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</si>
  <si>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</si>
  <si>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</si>
  <si>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</si>
  <si>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</si>
  <si>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</si>
  <si>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</si>
  <si>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</si>
  <si>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</si>
  <si>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</si>
  <si>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</si>
  <si>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</si>
  <si>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</si>
  <si>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</si>
  <si>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</si>
  <si>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</si>
  <si>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</si>
  <si>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</si>
  <si>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</si>
  <si>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</si>
  <si>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</si>
  <si>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</si>
  <si>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</si>
  <si>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</si>
  <si>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</si>
  <si>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</si>
  <si>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</si>
  <si>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</si>
  <si>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</si>
  <si>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</si>
  <si>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</si>
  <si>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</si>
  <si>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</si>
  <si>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</si>
  <si>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</si>
  <si>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</si>
  <si>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</si>
  <si>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</si>
  <si>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</si>
  <si>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</si>
  <si>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</si>
  <si>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</si>
  <si>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</si>
  <si>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</si>
  <si>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</si>
  <si>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</si>
  <si>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</si>
  <si>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</si>
  <si>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</si>
  <si>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</si>
  <si>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</si>
  <si>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</si>
  <si>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</si>
  <si>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</si>
  <si>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</si>
  <si>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</si>
  <si>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</si>
  <si>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</si>
  <si>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</si>
  <si>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</si>
  <si>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</si>
  <si>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</si>
  <si>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</si>
  <si>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</si>
  <si>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</si>
  <si>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</si>
  <si>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</si>
  <si>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</si>
  <si>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</si>
  <si>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</si>
  <si>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</si>
  <si>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</si>
  <si>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</si>
  <si>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</si>
  <si>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</si>
  <si>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</si>
  <si>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</si>
  <si>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</si>
  <si>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</si>
  <si>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</si>
  <si>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</si>
  <si>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</si>
  <si>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</si>
  <si>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</si>
  <si>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</si>
  <si>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</si>
  <si>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</si>
  <si>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</si>
  <si>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</si>
  <si>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</si>
  <si>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</si>
  <si>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</si>
  <si>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</si>
  <si>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</si>
  <si>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</si>
  <si>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</si>
  <si>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</si>
  <si>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</si>
  <si>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</si>
  <si>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</si>
  <si>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</si>
  <si>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</si>
  <si>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</si>
  <si>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</si>
  <si>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</si>
  <si>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</si>
  <si>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</si>
  <si>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</si>
  <si>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</si>
  <si>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</si>
  <si>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</si>
  <si>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</si>
  <si>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</si>
  <si>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</si>
  <si>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</si>
  <si>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</si>
  <si>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</si>
  <si>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</si>
  <si>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</si>
  <si>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</si>
  <si>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</si>
  <si>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</si>
  <si>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</si>
  <si>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</si>
  <si>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</si>
  <si>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</si>
  <si>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</si>
  <si>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</si>
  <si>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</si>
  <si>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</si>
  <si>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</si>
  <si>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</si>
  <si>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</si>
  <si>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</si>
  <si>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</si>
  <si>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</si>
  <si>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</si>
  <si>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</si>
  <si>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</si>
  <si>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</si>
  <si>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</si>
  <si>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</si>
  <si>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</si>
  <si>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</si>
  <si>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</si>
  <si>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</si>
  <si>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</si>
  <si>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</si>
  <si>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</si>
  <si>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</si>
  <si>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</si>
  <si>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</si>
  <si>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</si>
  <si>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</si>
  <si>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</si>
  <si>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</si>
  <si>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</si>
  <si>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</si>
  <si>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</si>
  <si>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</si>
  <si>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</si>
  <si>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</si>
  <si>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</si>
  <si>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</si>
  <si>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</si>
  <si>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</si>
  <si>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</si>
  <si>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</si>
  <si>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</si>
  <si>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</si>
  <si>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</si>
  <si>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</si>
  <si>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</si>
  <si>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</si>
  <si>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</si>
  <si>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</si>
  <si>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</si>
  <si>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</si>
  <si>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</si>
  <si>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</si>
  <si>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</si>
  <si>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</si>
  <si>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</si>
  <si>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</si>
  <si>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</si>
  <si>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</si>
  <si>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</si>
  <si>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</si>
  <si>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</si>
  <si>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</si>
  <si>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</si>
  <si>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</si>
  <si>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</si>
  <si>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</si>
  <si>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</si>
  <si>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</si>
  <si>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</si>
  <si>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</si>
  <si>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</si>
  <si>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</si>
  <si>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</si>
  <si>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</si>
  <si>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</si>
  <si>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</si>
  <si>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</si>
  <si>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</si>
  <si>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</si>
  <si>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</si>
  <si>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</si>
  <si>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</si>
  <si>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</si>
  <si>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</si>
  <si>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</si>
  <si>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</si>
  <si>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</si>
  <si>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</si>
  <si>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</si>
  <si>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</si>
  <si>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</si>
  <si>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</si>
  <si>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</si>
  <si>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</si>
  <si>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</si>
  <si>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</si>
  <si>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</si>
  <si>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</si>
  <si>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</si>
  <si>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</si>
  <si>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</si>
  <si>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</si>
  <si>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</si>
  <si>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</si>
  <si>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</si>
  <si>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</si>
  <si>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</si>
  <si>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</si>
  <si>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</si>
  <si>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</si>
  <si>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</si>
  <si>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</si>
  <si>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</si>
  <si>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</si>
  <si>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</si>
  <si>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</si>
  <si>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</si>
  <si>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</si>
  <si>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</si>
  <si>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</si>
  <si>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</si>
  <si>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</si>
  <si>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</si>
  <si>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</si>
  <si>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</si>
  <si>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</si>
  <si>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</si>
  <si>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</si>
  <si>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</si>
  <si>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</si>
  <si>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</si>
  <si>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</si>
  <si>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</si>
  <si>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</si>
  <si>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</si>
  <si>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</si>
  <si>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</si>
  <si>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</si>
  <si>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</si>
  <si>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</si>
  <si>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</si>
  <si>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</si>
  <si>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</si>
  <si>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</si>
  <si>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</si>
  <si>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</si>
  <si>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</si>
  <si>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</si>
  <si>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</si>
  <si>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</si>
  <si>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</si>
  <si>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</si>
  <si>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</si>
  <si>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</si>
  <si>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</si>
  <si>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</si>
  <si>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</si>
  <si>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</si>
  <si>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</si>
  <si>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</si>
  <si>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</si>
  <si>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</si>
  <si>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</si>
  <si>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</si>
  <si>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</si>
  <si>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</si>
  <si>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</si>
  <si>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</si>
  <si>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</si>
  <si>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</si>
  <si>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</si>
  <si>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</si>
  <si>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</si>
  <si>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</si>
  <si>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</si>
  <si>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</si>
  <si>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</si>
  <si>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</si>
  <si>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</si>
  <si>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</si>
  <si>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</si>
  <si>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</si>
  <si>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</si>
  <si>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</si>
  <si>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</si>
  <si>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</si>
  <si>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</si>
  <si>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</si>
  <si>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</si>
  <si>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</si>
  <si>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</si>
  <si>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</si>
  <si>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</si>
  <si>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</si>
  <si>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</si>
  <si>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</si>
  <si>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</si>
  <si>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</si>
  <si>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</si>
  <si>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</si>
  <si>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</si>
  <si>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</si>
  <si>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</si>
  <si>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</si>
  <si>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</si>
  <si>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</si>
  <si>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</si>
  <si>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</si>
  <si>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</si>
  <si>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</si>
  <si>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</si>
  <si>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</si>
  <si>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</si>
  <si>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</si>
  <si>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</si>
  <si>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</si>
  <si>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</si>
  <si>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</si>
  <si>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</si>
  <si>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</si>
  <si>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</si>
  <si>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</si>
  <si>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</si>
  <si>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</si>
  <si>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</si>
  <si>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</si>
  <si>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</si>
  <si>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</si>
  <si>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</si>
  <si>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</si>
  <si>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</si>
  <si>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</si>
  <si>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</si>
  <si>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</si>
  <si>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</si>
  <si>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</si>
  <si>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</si>
  <si>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</si>
  <si>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</si>
  <si>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</si>
  <si>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</si>
  <si>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</si>
  <si>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</si>
  <si>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</si>
  <si>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</si>
  <si>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</si>
  <si>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</si>
  <si>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</si>
  <si>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</si>
  <si>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</si>
  <si>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</si>
  <si>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</si>
  <si>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</si>
  <si>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</si>
  <si>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</si>
  <si>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</si>
  <si>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</si>
  <si>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</si>
  <si>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</si>
  <si>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</si>
  <si>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</si>
  <si>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</si>
  <si>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</si>
  <si>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</si>
  <si>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</si>
  <si>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</si>
  <si>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</si>
  <si>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</si>
  <si>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</si>
  <si>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</si>
  <si>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</si>
  <si>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</si>
  <si>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</si>
  <si>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</si>
  <si>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</si>
  <si>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</si>
  <si>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</si>
  <si>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</si>
  <si>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</si>
  <si>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</si>
  <si>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</si>
  <si>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</si>
  <si>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</si>
  <si>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</si>
  <si>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</si>
  <si>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</si>
  <si>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</si>
  <si>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</si>
  <si>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</si>
  <si>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</si>
  <si>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</si>
  <si>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</si>
  <si>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</si>
  <si>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</si>
  <si>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</si>
  <si>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</si>
  <si>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</si>
  <si>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</si>
  <si>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</si>
  <si>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</si>
  <si>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</si>
  <si>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</si>
  <si>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</si>
  <si>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</si>
  <si>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</si>
  <si>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</si>
  <si>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</si>
  <si>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</si>
  <si>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</si>
  <si>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</si>
  <si>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</si>
  <si>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</si>
  <si>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</si>
  <si>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</si>
  <si>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</si>
  <si>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</si>
  <si>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</si>
  <si>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</si>
  <si>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</si>
  <si>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</si>
  <si>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</si>
  <si>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Si quieres organizar una porra (quiniela) con tu grupo puedes descargar el archivo de adminsitrador desde el enlace de abajo</t>
  </si>
  <si>
    <t>If you want to organize a pool (betting game) with your group, you can download the administrator file from the link below.</t>
  </si>
  <si>
    <t>If you don't see flags in the WorldCup sheet, you can use the other file that came in the .zip file</t>
  </si>
  <si>
    <t>Si en la hoja WorldCup no ves las banderas, puedes usar el otro archivo que venia en el .zip</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</si>
  <si>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</si>
  <si>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</si>
  <si>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</si>
  <si>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</si>
  <si>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</si>
  <si>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</si>
  <si>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</si>
  <si>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</si>
  <si>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</si>
  <si>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</si>
  <si>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</si>
  <si>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</si>
  <si>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</si>
  <si>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</si>
  <si>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</si>
  <si>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</si>
  <si>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</si>
  <si>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</si>
  <si>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</si>
  <si>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</si>
  <si>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</si>
  <si>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</si>
  <si>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</si>
  <si>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</si>
  <si>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</si>
  <si>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</si>
  <si>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</si>
  <si>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</si>
  <si>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</si>
  <si>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</si>
  <si>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</si>
  <si>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</si>
  <si>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</si>
  <si>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</si>
  <si>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</si>
  <si>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</si>
  <si>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</si>
  <si>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</si>
  <si>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</si>
  <si>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</si>
  <si>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</si>
  <si>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</si>
  <si>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</si>
  <si>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</si>
  <si>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</si>
  <si>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</si>
  <si>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</si>
  <si>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</si>
  <si>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</si>
  <si>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</si>
  <si>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</si>
  <si>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</si>
  <si>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</si>
  <si>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</si>
  <si>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</si>
  <si>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</si>
  <si>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</si>
  <si>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</si>
  <si>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</si>
  <si>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</si>
  <si>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</si>
  <si>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</si>
  <si>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</si>
  <si>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</si>
  <si>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</si>
  <si>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</si>
  <si>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</si>
  <si>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</si>
  <si>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</si>
  <si>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</si>
  <si>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</si>
  <si>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</si>
  <si>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</si>
  <si>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</si>
  <si>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</si>
  <si>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</si>
  <si>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</si>
  <si>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</si>
  <si>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</si>
  <si>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</si>
  <si>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</si>
  <si>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</si>
  <si>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</si>
  <si>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</si>
  <si>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</si>
  <si>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</si>
  <si>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</si>
  <si>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</si>
  <si>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</si>
  <si>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</si>
  <si>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</si>
  <si>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</si>
  <si>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</si>
  <si>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</si>
  <si>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</si>
  <si>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</si>
  <si>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</si>
  <si>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</si>
  <si>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</si>
  <si>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PO 1: COD/JAM/NCL</t>
  </si>
  <si>
    <t>PO 2: IRQ/BOL/SUR</t>
  </si>
  <si>
    <t>PO A: ITA/NIR/WAL/BIH</t>
  </si>
  <si>
    <t>PO B: UKR/SWE/POL/ALB</t>
  </si>
  <si>
    <t>PO C: TUR/ROU/SVK/KOS</t>
  </si>
  <si>
    <t>PO D: DEN/MKD/CZE/IRL</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</si>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</sst>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100">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sz val="11"/>
      <color theme="0"/>
      <name val="Calibri (Cuerpo)"/>
    </font>
    <font>
      <b/>
      <sz val="12"/>
      <color theme="0"/>
      <name val="Calibri"/>
      <family val="2"/>
      <scheme val="minor"/>
    </font>
    <font>
      <sz val="12"/>
      <color theme="0"/>
      <name val="Calibri"/>
      <family val="2"/>
      <scheme val="minor"/>
    </font>
    <font>
      <sz val="12"/>
      <color theme="0"/>
      <name val="Arial"/>
      <family val="2"/>
    </font>
    <font>
      <sz val="9"/>
      <color theme="0"/>
      <name val="Calibri"/>
      <family val="2"/>
      <scheme val="minor"/>
    </font>
    <font>
      <b/>
      <sz val="15"/>
      <color rgb="FFFF0000"/>
      <name val="Cambria"/>
      <family val="1"/>
      <scheme val="major"/>
    </font>
  </fonts>
  <fills count="4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6">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thin">
        <color indexed="64"/>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4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2" borderId="0" xfId="90" applyFill="1"/>
    <xf numFmtId="0" fontId="23" fillId="0" borderId="0" xfId="90"/>
    <xf numFmtId="0" fontId="11" fillId="0" borderId="0" xfId="0" applyFont="1" applyProtection="1">
      <protection hidden="1"/>
    </xf>
    <xf numFmtId="0" fontId="0" fillId="0" borderId="0" xfId="0" applyAlignment="1">
      <alignment horizontal="center"/>
    </xf>
    <xf numFmtId="0" fontId="3" fillId="14" borderId="42" xfId="0" applyFont="1" applyFill="1" applyBorder="1" applyAlignment="1">
      <alignment horizontal="left" vertical="top"/>
    </xf>
    <xf numFmtId="0" fontId="7" fillId="0" borderId="0" xfId="0" applyFont="1" applyProtection="1">
      <protection hidden="1"/>
    </xf>
    <xf numFmtId="0" fontId="8" fillId="0" borderId="0" xfId="0" applyFont="1" applyAlignment="1" applyProtection="1">
      <alignment horizontal="centerContinuous" vertical="center"/>
      <protection hidden="1"/>
    </xf>
    <xf numFmtId="0" fontId="3" fillId="0" borderId="0" xfId="0" applyFont="1" applyAlignment="1" applyProtection="1">
      <alignment horizontal="centerContinuous" vertical="center"/>
      <protection hidden="1"/>
    </xf>
    <xf numFmtId="0" fontId="18" fillId="14" borderId="43" xfId="0" applyFont="1" applyFill="1" applyBorder="1" applyAlignment="1" applyProtection="1">
      <alignment horizontal="centerContinuous" vertical="center"/>
      <protection hidden="1"/>
    </xf>
    <xf numFmtId="0" fontId="8" fillId="14" borderId="43" xfId="0" applyFont="1" applyFill="1" applyBorder="1" applyAlignment="1" applyProtection="1">
      <alignment horizontal="centerContinuous" vertical="center"/>
      <protection hidden="1"/>
    </xf>
    <xf numFmtId="0" fontId="8" fillId="14" borderId="44"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3" borderId="0" xfId="0" applyFont="1" applyFill="1"/>
    <xf numFmtId="0" fontId="41" fillId="43" borderId="0" xfId="27" applyFont="1" applyFill="1" applyBorder="1" applyAlignment="1" applyProtection="1">
      <alignment vertical="center"/>
      <protection hidden="1"/>
    </xf>
    <xf numFmtId="0" fontId="39" fillId="43" borderId="0" xfId="0" applyFont="1" applyFill="1" applyAlignment="1" applyProtection="1">
      <alignment horizontal="left" vertical="center"/>
      <protection hidden="1"/>
    </xf>
    <xf numFmtId="0" fontId="43" fillId="38" borderId="97" xfId="27" applyFont="1" applyFill="1" applyBorder="1" applyAlignment="1" applyProtection="1">
      <alignment horizontal="center" vertical="center"/>
      <protection hidden="1"/>
    </xf>
    <xf numFmtId="0" fontId="43" fillId="39" borderId="97" xfId="27" applyFont="1" applyFill="1" applyBorder="1" applyAlignment="1" applyProtection="1">
      <alignment horizontal="center" vertical="center"/>
      <protection hidden="1"/>
    </xf>
    <xf numFmtId="0" fontId="43" fillId="40" borderId="97" xfId="27" applyFont="1" applyFill="1" applyBorder="1" applyAlignment="1" applyProtection="1">
      <alignment horizontal="center" vertical="center"/>
      <protection hidden="1"/>
    </xf>
    <xf numFmtId="0" fontId="43" fillId="41" borderId="97"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40"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8" xfId="0" applyNumberFormat="1" applyFont="1" applyFill="1" applyBorder="1" applyAlignment="1" applyProtection="1">
      <alignment horizontal="center" vertical="center"/>
      <protection hidden="1"/>
    </xf>
    <xf numFmtId="164" fontId="48" fillId="4" borderId="48" xfId="0" applyNumberFormat="1" applyFont="1" applyFill="1" applyBorder="1" applyAlignment="1" applyProtection="1">
      <alignment horizontal="center" vertical="center"/>
      <protection hidden="1"/>
    </xf>
    <xf numFmtId="14" fontId="48" fillId="4" borderId="49" xfId="0" applyNumberFormat="1" applyFont="1" applyFill="1" applyBorder="1" applyAlignment="1" applyProtection="1">
      <alignment horizontal="center" vertical="center"/>
      <protection hidden="1"/>
    </xf>
    <xf numFmtId="0" fontId="49" fillId="4" borderId="48" xfId="0" applyFont="1" applyFill="1" applyBorder="1" applyAlignment="1" applyProtection="1">
      <alignment horizontal="right"/>
      <protection hidden="1"/>
    </xf>
    <xf numFmtId="0" fontId="49" fillId="4" borderId="46" xfId="0" applyFont="1" applyFill="1" applyBorder="1" applyAlignment="1" applyProtection="1">
      <alignment horizontal="left"/>
      <protection hidden="1"/>
    </xf>
    <xf numFmtId="0" fontId="49" fillId="4" borderId="51" xfId="0" applyFont="1" applyFill="1" applyBorder="1" applyAlignment="1" applyProtection="1">
      <alignment horizontal="left"/>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wrapText="1"/>
      <protection hidden="1"/>
    </xf>
    <xf numFmtId="0" fontId="49" fillId="4" borderId="57"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wrapText="1"/>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48" xfId="0" applyFont="1" applyFill="1" applyBorder="1" applyAlignment="1" applyProtection="1">
      <alignment horizontal="left" vertical="center" wrapText="1"/>
      <protection hidden="1"/>
    </xf>
    <xf numFmtId="0" fontId="49" fillId="4" borderId="48" xfId="0" applyFont="1" applyFill="1" applyBorder="1" applyAlignment="1" applyProtection="1">
      <alignment horizontal="left" vertical="center"/>
      <protection hidden="1"/>
    </xf>
    <xf numFmtId="0" fontId="50" fillId="4" borderId="48"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51" xfId="0" applyFont="1" applyFill="1" applyBorder="1" applyAlignment="1" applyProtection="1">
      <alignment horizontal="center" vertical="center"/>
      <protection hidden="1"/>
    </xf>
    <xf numFmtId="0" fontId="49" fillId="4" borderId="40"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1" xfId="0" applyFont="1" applyFill="1" applyBorder="1" applyAlignment="1" applyProtection="1">
      <alignment horizontal="center"/>
      <protection locked="0"/>
    </xf>
    <xf numFmtId="0" fontId="49" fillId="4" borderId="0" xfId="0" applyFont="1" applyFill="1" applyAlignment="1" applyProtection="1">
      <alignment wrapText="1"/>
      <protection hidden="1"/>
    </xf>
    <xf numFmtId="0" fontId="49" fillId="4" borderId="49" xfId="0" applyFont="1" applyFill="1" applyBorder="1" applyAlignment="1" applyProtection="1">
      <alignment horizontal="right" wrapText="1"/>
      <protection hidden="1"/>
    </xf>
    <xf numFmtId="0" fontId="49" fillId="4" borderId="53" xfId="0" applyFont="1" applyFill="1" applyBorder="1" applyAlignment="1" applyProtection="1">
      <alignment horizontal="center"/>
      <protection locked="0"/>
    </xf>
    <xf numFmtId="0" fontId="49" fillId="4" borderId="50" xfId="0" applyFont="1" applyFill="1" applyBorder="1" applyAlignment="1" applyProtection="1">
      <alignment horizontal="center"/>
      <protection locked="0"/>
    </xf>
    <xf numFmtId="0" fontId="49" fillId="4" borderId="48" xfId="0" applyFont="1" applyFill="1" applyBorder="1" applyAlignment="1" applyProtection="1">
      <alignment wrapText="1"/>
      <protection hidden="1"/>
    </xf>
    <xf numFmtId="0" fontId="51" fillId="14" borderId="43" xfId="0" applyFont="1" applyFill="1" applyBorder="1" applyAlignment="1">
      <alignment horizontal="center"/>
    </xf>
    <xf numFmtId="0" fontId="51" fillId="14" borderId="43" xfId="0" applyFont="1" applyFill="1" applyBorder="1" applyAlignment="1">
      <alignment horizontal="left"/>
    </xf>
    <xf numFmtId="0" fontId="51" fillId="14" borderId="43" xfId="0" applyFont="1" applyFill="1" applyBorder="1" applyAlignment="1">
      <alignment horizontal="right"/>
    </xf>
    <xf numFmtId="0" fontId="51" fillId="14" borderId="44" xfId="0" applyFont="1" applyFill="1" applyBorder="1" applyAlignment="1">
      <alignment horizontal="left"/>
    </xf>
    <xf numFmtId="0" fontId="51" fillId="14" borderId="42" xfId="0" applyFont="1" applyFill="1" applyBorder="1" applyAlignment="1" applyProtection="1">
      <alignment horizontal="centerContinuous"/>
      <protection hidden="1"/>
    </xf>
    <xf numFmtId="0" fontId="51" fillId="14" borderId="43" xfId="0" applyFont="1" applyFill="1" applyBorder="1" applyAlignment="1" applyProtection="1">
      <alignment horizontal="centerContinuous"/>
      <protection hidden="1"/>
    </xf>
    <xf numFmtId="0" fontId="51" fillId="14" borderId="44" xfId="0" applyFont="1" applyFill="1" applyBorder="1" applyAlignment="1" applyProtection="1">
      <alignment horizontal="centerContinuous"/>
      <protection hidden="1"/>
    </xf>
    <xf numFmtId="0" fontId="51" fillId="14" borderId="54" xfId="0" applyFont="1" applyFill="1" applyBorder="1" applyAlignment="1" applyProtection="1">
      <alignment horizontal="center" vertical="center"/>
      <protection hidden="1"/>
    </xf>
    <xf numFmtId="0" fontId="51" fillId="14" borderId="31" xfId="0" applyFont="1" applyFill="1" applyBorder="1" applyAlignment="1" applyProtection="1">
      <alignment horizontal="center" vertical="center"/>
      <protection hidden="1"/>
    </xf>
    <xf numFmtId="0" fontId="51" fillId="14" borderId="31" xfId="0" applyFont="1" applyFill="1" applyBorder="1" applyAlignment="1" applyProtection="1">
      <alignment horizontal="left" vertical="center"/>
      <protection hidden="1"/>
    </xf>
    <xf numFmtId="0" fontId="51" fillId="14" borderId="55" xfId="0" applyFont="1" applyFill="1" applyBorder="1" applyAlignment="1" applyProtection="1">
      <alignment horizontal="center" vertical="center"/>
      <protection hidden="1"/>
    </xf>
    <xf numFmtId="0" fontId="51" fillId="14" borderId="42" xfId="0" applyFont="1" applyFill="1" applyBorder="1" applyAlignment="1" applyProtection="1">
      <alignment horizontal="centerContinuous" vertical="center"/>
      <protection hidden="1"/>
    </xf>
    <xf numFmtId="0" fontId="51" fillId="14" borderId="43" xfId="0" applyFont="1" applyFill="1" applyBorder="1" applyAlignment="1">
      <alignment horizontal="left" vertical="top"/>
    </xf>
    <xf numFmtId="0" fontId="51" fillId="14" borderId="43" xfId="0" applyFont="1" applyFill="1" applyBorder="1" applyAlignment="1">
      <alignment horizontal="right" vertical="top"/>
    </xf>
    <xf numFmtId="0" fontId="51" fillId="14" borderId="43" xfId="0" applyFont="1" applyFill="1" applyBorder="1" applyAlignment="1">
      <alignment horizontal="center" vertical="top"/>
    </xf>
    <xf numFmtId="0" fontId="51" fillId="14" borderId="44" xfId="0" applyFont="1" applyFill="1" applyBorder="1" applyAlignment="1">
      <alignment horizontal="left" vertical="top"/>
    </xf>
    <xf numFmtId="0" fontId="49" fillId="4" borderId="35"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39" xfId="0" applyFont="1" applyFill="1" applyBorder="1" applyAlignment="1" applyProtection="1">
      <alignment horizontal="left" vertical="center"/>
      <protection hidden="1"/>
    </xf>
    <xf numFmtId="0" fontId="50" fillId="4" borderId="3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left" vertical="center"/>
      <protection hidden="1"/>
    </xf>
    <xf numFmtId="0" fontId="49" fillId="4" borderId="43" xfId="0"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44"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6"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6" xfId="0" applyFont="1" applyFill="1" applyBorder="1" applyAlignment="1">
      <alignment horizontal="left" vertical="center"/>
    </xf>
    <xf numFmtId="0" fontId="49" fillId="4" borderId="58" xfId="0" applyFont="1" applyFill="1" applyBorder="1" applyAlignment="1" applyProtection="1">
      <alignment horizontal="center"/>
      <protection locked="0"/>
    </xf>
    <xf numFmtId="0" fontId="49" fillId="4" borderId="48" xfId="0" applyFont="1" applyFill="1" applyBorder="1" applyAlignment="1" applyProtection="1">
      <alignment horizontal="right" vertical="center"/>
      <protection hidden="1"/>
    </xf>
    <xf numFmtId="0" fontId="49" fillId="4" borderId="48" xfId="0" applyFont="1" applyFill="1" applyBorder="1" applyAlignment="1" applyProtection="1">
      <alignment horizontal="center"/>
      <protection locked="0" hidden="1"/>
    </xf>
    <xf numFmtId="0" fontId="49" fillId="4" borderId="51"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6"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4" borderId="101" xfId="0" applyFont="1" applyFill="1" applyBorder="1" applyAlignment="1">
      <alignment horizontal="left" vertical="top"/>
    </xf>
    <xf numFmtId="0" fontId="0" fillId="4" borderId="102" xfId="0" applyFill="1" applyBorder="1" applyAlignment="1">
      <alignment vertical="center"/>
    </xf>
    <xf numFmtId="0" fontId="49" fillId="4" borderId="99" xfId="0" applyFont="1" applyFill="1" applyBorder="1" applyAlignment="1" applyProtection="1">
      <alignment horizontal="right" vertical="center"/>
      <protection hidden="1"/>
    </xf>
    <xf numFmtId="0" fontId="49" fillId="4" borderId="100" xfId="0" applyFont="1" applyFill="1" applyBorder="1" applyAlignment="1" applyProtection="1">
      <alignment horizontal="center" vertical="center"/>
      <protection locked="0"/>
    </xf>
    <xf numFmtId="0" fontId="49" fillId="4" borderId="102" xfId="0" applyFont="1" applyFill="1" applyBorder="1" applyAlignment="1">
      <alignment vertical="center"/>
    </xf>
    <xf numFmtId="0" fontId="0" fillId="4" borderId="103" xfId="0" applyFill="1" applyBorder="1" applyAlignment="1">
      <alignment vertical="center"/>
    </xf>
    <xf numFmtId="0" fontId="54" fillId="14" borderId="98" xfId="0" applyFont="1" applyFill="1" applyBorder="1" applyAlignment="1" applyProtection="1">
      <alignment horizontal="left" vertical="center"/>
      <protection hidden="1"/>
    </xf>
    <xf numFmtId="0" fontId="28" fillId="14" borderId="98" xfId="0" applyFont="1" applyFill="1" applyBorder="1" applyAlignment="1" applyProtection="1">
      <alignment horizontal="left" vertical="center"/>
      <protection hidden="1"/>
    </xf>
    <xf numFmtId="0" fontId="0" fillId="4" borderId="98" xfId="0" applyFill="1" applyBorder="1" applyAlignment="1">
      <alignment vertical="center"/>
    </xf>
    <xf numFmtId="0" fontId="0" fillId="4" borderId="0" xfId="0" applyFill="1" applyAlignment="1">
      <alignment vertical="center"/>
    </xf>
    <xf numFmtId="0" fontId="28" fillId="14" borderId="103" xfId="0" applyFont="1" applyFill="1" applyBorder="1" applyAlignment="1" applyProtection="1">
      <alignment horizontal="left" vertical="center"/>
      <protection hidden="1"/>
    </xf>
    <xf numFmtId="0" fontId="28" fillId="14" borderId="102" xfId="0" applyFont="1" applyFill="1" applyBorder="1" applyAlignment="1" applyProtection="1">
      <alignment horizontal="left" vertical="center"/>
      <protection hidden="1"/>
    </xf>
    <xf numFmtId="0" fontId="28" fillId="14" borderId="0" xfId="0" applyFont="1" applyFill="1" applyAlignment="1" applyProtection="1">
      <alignment horizontal="left" vertical="center"/>
      <protection hidden="1"/>
    </xf>
    <xf numFmtId="0" fontId="54" fillId="14" borderId="0" xfId="0" applyFont="1" applyFill="1" applyAlignment="1" applyProtection="1">
      <alignment horizontal="left" vertical="center"/>
      <protection hidden="1"/>
    </xf>
    <xf numFmtId="0" fontId="49" fillId="4" borderId="103" xfId="0" applyFont="1" applyFill="1" applyBorder="1" applyAlignment="1">
      <alignment horizontal="left" vertical="center"/>
    </xf>
    <xf numFmtId="0" fontId="49" fillId="4" borderId="104" xfId="0" applyFont="1" applyFill="1" applyBorder="1" applyAlignment="1">
      <alignment horizontal="left" vertical="center"/>
    </xf>
    <xf numFmtId="0" fontId="51" fillId="14" borderId="105" xfId="0" applyFont="1" applyFill="1" applyBorder="1" applyAlignment="1" applyProtection="1">
      <alignment horizontal="centerContinuous" vertical="center"/>
      <protection hidden="1"/>
    </xf>
    <xf numFmtId="0" fontId="18" fillId="14" borderId="106" xfId="0" applyFont="1" applyFill="1" applyBorder="1" applyAlignment="1" applyProtection="1">
      <alignment horizontal="centerContinuous" vertical="center"/>
      <protection hidden="1"/>
    </xf>
    <xf numFmtId="0" fontId="8" fillId="14" borderId="106" xfId="0" applyFont="1" applyFill="1" applyBorder="1" applyAlignment="1" applyProtection="1">
      <alignment horizontal="centerContinuous" vertical="center"/>
      <protection hidden="1"/>
    </xf>
    <xf numFmtId="0" fontId="8" fillId="14" borderId="107" xfId="0" applyFont="1" applyFill="1" applyBorder="1" applyAlignment="1" applyProtection="1">
      <alignment horizontal="centerContinuous" vertical="center"/>
      <protection hidden="1"/>
    </xf>
    <xf numFmtId="0" fontId="28" fillId="14" borderId="108" xfId="0" applyFont="1" applyFill="1" applyBorder="1" applyAlignment="1">
      <alignment horizontal="left" vertical="top"/>
    </xf>
    <xf numFmtId="14" fontId="48" fillId="4" borderId="98" xfId="0" applyNumberFormat="1" applyFont="1" applyFill="1" applyBorder="1" applyAlignment="1" applyProtection="1">
      <alignment horizontal="center" vertical="center"/>
      <protection hidden="1"/>
    </xf>
    <xf numFmtId="164" fontId="48" fillId="4" borderId="98" xfId="0" applyNumberFormat="1" applyFont="1" applyFill="1" applyBorder="1" applyAlignment="1" applyProtection="1">
      <alignment horizontal="center" vertical="center"/>
      <protection hidden="1"/>
    </xf>
    <xf numFmtId="0" fontId="51" fillId="14" borderId="105" xfId="0" applyFont="1" applyFill="1" applyBorder="1" applyAlignment="1" applyProtection="1">
      <alignment horizontal="left" vertical="center"/>
      <protection hidden="1"/>
    </xf>
    <xf numFmtId="0" fontId="28" fillId="14" borderId="106" xfId="0" applyFont="1" applyFill="1" applyBorder="1" applyAlignment="1">
      <alignment horizontal="center"/>
    </xf>
    <xf numFmtId="0" fontId="28" fillId="14" borderId="106" xfId="0" applyFont="1" applyFill="1" applyBorder="1" applyAlignment="1">
      <alignment horizontal="left"/>
    </xf>
    <xf numFmtId="0" fontId="51" fillId="14" borderId="106" xfId="0" applyFont="1" applyFill="1" applyBorder="1" applyAlignment="1">
      <alignment horizontal="right"/>
    </xf>
    <xf numFmtId="0" fontId="28" fillId="14" borderId="107" xfId="0" applyFont="1" applyFill="1" applyBorder="1" applyAlignment="1">
      <alignment horizontal="left"/>
    </xf>
    <xf numFmtId="0" fontId="55" fillId="14" borderId="110" xfId="0" applyFont="1" applyFill="1" applyBorder="1" applyAlignment="1" applyProtection="1">
      <alignment horizontal="left" vertical="center"/>
      <protection hidden="1"/>
    </xf>
    <xf numFmtId="0" fontId="55" fillId="14" borderId="109" xfId="0" applyFont="1" applyFill="1" applyBorder="1" applyAlignment="1" applyProtection="1">
      <alignment horizontal="left" vertical="center"/>
      <protection hidden="1"/>
    </xf>
    <xf numFmtId="0" fontId="0" fillId="4" borderId="106" xfId="0" applyFill="1" applyBorder="1" applyAlignment="1">
      <alignment vertical="center"/>
    </xf>
    <xf numFmtId="0" fontId="0" fillId="4" borderId="107" xfId="0" applyFill="1" applyBorder="1" applyAlignment="1">
      <alignment vertical="center"/>
    </xf>
    <xf numFmtId="0" fontId="55" fillId="14" borderId="105" xfId="0" applyFont="1" applyFill="1" applyBorder="1" applyAlignment="1" applyProtection="1">
      <alignment horizontal="left" vertical="center"/>
      <protection hidden="1"/>
    </xf>
    <xf numFmtId="0" fontId="28" fillId="14" borderId="106" xfId="0" applyFont="1" applyFill="1" applyBorder="1" applyAlignment="1" applyProtection="1">
      <alignment horizontal="left" vertical="center"/>
      <protection hidden="1"/>
    </xf>
    <xf numFmtId="0" fontId="28" fillId="14" borderId="107" xfId="0" applyFont="1" applyFill="1" applyBorder="1" applyAlignment="1" applyProtection="1">
      <alignment horizontal="left" vertical="center"/>
      <protection hidden="1"/>
    </xf>
    <xf numFmtId="0" fontId="56" fillId="14" borderId="106" xfId="0" applyFont="1" applyFill="1" applyBorder="1" applyAlignment="1" applyProtection="1">
      <alignment horizontal="centerContinuous" vertical="center"/>
      <protection hidden="1"/>
    </xf>
    <xf numFmtId="0" fontId="3" fillId="14" borderId="108" xfId="0" applyFont="1" applyFill="1" applyBorder="1" applyAlignment="1">
      <alignment horizontal="left" vertical="top"/>
    </xf>
    <xf numFmtId="0" fontId="49" fillId="4" borderId="98" xfId="0" applyFont="1" applyFill="1" applyBorder="1" applyAlignment="1" applyProtection="1">
      <alignment horizontal="right" vertical="center"/>
      <protection hidden="1"/>
    </xf>
    <xf numFmtId="0" fontId="49" fillId="4" borderId="98" xfId="0" applyFont="1" applyFill="1" applyBorder="1" applyAlignment="1" applyProtection="1">
      <alignment horizontal="center"/>
      <protection locked="0" hidden="1"/>
    </xf>
    <xf numFmtId="0" fontId="49" fillId="4" borderId="102" xfId="0" applyFont="1" applyFill="1" applyBorder="1" applyAlignment="1">
      <alignment horizontal="left" vertical="center"/>
    </xf>
    <xf numFmtId="14" fontId="22" fillId="36" borderId="114" xfId="0" quotePrefix="1" applyNumberFormat="1" applyFont="1" applyFill="1" applyBorder="1" applyAlignment="1" applyProtection="1">
      <alignment horizontal="center" vertical="center"/>
      <protection hidden="1"/>
    </xf>
    <xf numFmtId="14" fontId="34" fillId="36" borderId="114" xfId="0" quotePrefix="1" applyNumberFormat="1" applyFont="1" applyFill="1" applyBorder="1" applyAlignment="1" applyProtection="1">
      <alignment horizontal="center" vertical="center"/>
      <protection hidden="1"/>
    </xf>
    <xf numFmtId="0" fontId="3" fillId="43" borderId="0" xfId="0" applyFont="1" applyFill="1" applyAlignment="1" applyProtection="1">
      <alignment vertical="center"/>
      <protection hidden="1"/>
    </xf>
    <xf numFmtId="0" fontId="3" fillId="43" borderId="0" xfId="0" applyFont="1" applyFill="1" applyAlignment="1" applyProtection="1">
      <alignment horizontal="centerContinuous" vertical="center"/>
      <protection hidden="1"/>
    </xf>
    <xf numFmtId="0" fontId="3" fillId="43" borderId="0" xfId="0" applyFont="1" applyFill="1" applyAlignment="1">
      <alignment horizontal="centerContinuous" vertical="center"/>
    </xf>
    <xf numFmtId="0" fontId="3" fillId="43" borderId="0" xfId="0" applyFont="1" applyFill="1" applyProtection="1">
      <protection hidden="1"/>
    </xf>
    <xf numFmtId="0" fontId="3" fillId="43" borderId="0" xfId="0" applyFont="1" applyFill="1" applyAlignment="1" applyProtection="1">
      <alignment horizontal="center"/>
      <protection hidden="1"/>
    </xf>
    <xf numFmtId="0" fontId="3" fillId="43" borderId="0" xfId="0" applyFont="1" applyFill="1" applyAlignment="1" applyProtection="1">
      <alignment horizontal="left"/>
      <protection hidden="1"/>
    </xf>
    <xf numFmtId="0" fontId="9" fillId="43" borderId="0" xfId="0" applyFont="1" applyFill="1" applyAlignment="1" applyProtection="1">
      <alignment horizontal="center"/>
      <protection hidden="1"/>
    </xf>
    <xf numFmtId="0" fontId="7" fillId="43" borderId="0" xfId="0" applyFont="1" applyFill="1" applyProtection="1">
      <protection hidden="1"/>
    </xf>
    <xf numFmtId="0" fontId="0" fillId="43" borderId="0" xfId="0" applyFill="1" applyAlignment="1" applyProtection="1">
      <alignment vertical="center"/>
      <protection hidden="1"/>
    </xf>
    <xf numFmtId="0" fontId="0" fillId="43" borderId="0" xfId="0" applyFill="1" applyProtection="1">
      <protection hidden="1"/>
    </xf>
    <xf numFmtId="14" fontId="7" fillId="43" borderId="0" xfId="0" applyNumberFormat="1" applyFont="1" applyFill="1" applyProtection="1">
      <protection hidden="1"/>
    </xf>
    <xf numFmtId="14" fontId="14" fillId="43" borderId="0" xfId="0" applyNumberFormat="1" applyFont="1" applyFill="1" applyProtection="1">
      <protection hidden="1"/>
    </xf>
    <xf numFmtId="14" fontId="7" fillId="43" borderId="0" xfId="0" applyNumberFormat="1" applyFont="1" applyFill="1" applyAlignment="1" applyProtection="1">
      <alignment horizontal="center" vertical="center"/>
      <protection hidden="1"/>
    </xf>
    <xf numFmtId="0" fontId="7" fillId="43" borderId="0" xfId="0" applyFont="1" applyFill="1" applyAlignment="1" applyProtection="1">
      <alignment horizontal="right"/>
      <protection hidden="1"/>
    </xf>
    <xf numFmtId="0" fontId="7" fillId="43" borderId="0" xfId="0" applyFont="1" applyFill="1" applyAlignment="1" applyProtection="1">
      <alignment wrapText="1"/>
      <protection hidden="1"/>
    </xf>
    <xf numFmtId="0" fontId="7" fillId="43" borderId="0" xfId="0" applyFont="1" applyFill="1" applyAlignment="1" applyProtection="1">
      <alignment horizontal="left"/>
      <protection hidden="1"/>
    </xf>
    <xf numFmtId="0" fontId="7" fillId="43" borderId="0" xfId="0" applyFont="1" applyFill="1" applyAlignment="1" applyProtection="1">
      <alignment horizontal="center" vertical="center"/>
      <protection hidden="1"/>
    </xf>
    <xf numFmtId="0" fontId="7" fillId="43" borderId="0" xfId="0" applyFont="1" applyFill="1" applyAlignment="1" applyProtection="1">
      <alignment horizontal="center" vertical="center" wrapText="1"/>
      <protection hidden="1"/>
    </xf>
    <xf numFmtId="0" fontId="4" fillId="43" borderId="0" xfId="0" applyFont="1" applyFill="1" applyProtection="1">
      <protection hidden="1"/>
    </xf>
    <xf numFmtId="0" fontId="8" fillId="43" borderId="0" xfId="0" applyFont="1" applyFill="1" applyAlignment="1" applyProtection="1">
      <alignment horizontal="center" vertical="center"/>
      <protection hidden="1"/>
    </xf>
    <xf numFmtId="0" fontId="4" fillId="43" borderId="0" xfId="0" applyFont="1" applyFill="1" applyAlignment="1" applyProtection="1">
      <alignment wrapText="1"/>
      <protection hidden="1"/>
    </xf>
    <xf numFmtId="0" fontId="4" fillId="43" borderId="0" xfId="0" applyFont="1" applyFill="1" applyAlignment="1" applyProtection="1">
      <alignment horizontal="center"/>
      <protection hidden="1"/>
    </xf>
    <xf numFmtId="0" fontId="19" fillId="43" borderId="0" xfId="0" applyFont="1" applyFill="1" applyAlignment="1" applyProtection="1">
      <alignment horizontal="center"/>
      <protection hidden="1"/>
    </xf>
    <xf numFmtId="0" fontId="31" fillId="43" borderId="0" xfId="0" applyFont="1" applyFill="1" applyAlignment="1" applyProtection="1">
      <alignment vertical="center"/>
      <protection hidden="1"/>
    </xf>
    <xf numFmtId="0" fontId="20" fillId="43" borderId="0" xfId="0" applyFont="1" applyFill="1" applyAlignment="1" applyProtection="1">
      <alignment vertical="center"/>
      <protection hidden="1"/>
    </xf>
    <xf numFmtId="0" fontId="8" fillId="43" borderId="0" xfId="0" applyFont="1" applyFill="1" applyAlignment="1" applyProtection="1">
      <alignment horizontal="center"/>
      <protection hidden="1"/>
    </xf>
    <xf numFmtId="0" fontId="10" fillId="43" borderId="0" xfId="0" applyFont="1" applyFill="1" applyAlignment="1" applyProtection="1">
      <alignment horizontal="center" vertical="center"/>
      <protection hidden="1"/>
    </xf>
    <xf numFmtId="0" fontId="30" fillId="43" borderId="0" xfId="0" applyFont="1" applyFill="1" applyAlignment="1" applyProtection="1">
      <alignment horizontal="center" vertical="center"/>
      <protection hidden="1"/>
    </xf>
    <xf numFmtId="0" fontId="28" fillId="43" borderId="0" xfId="0" applyFont="1" applyFill="1" applyAlignment="1" applyProtection="1">
      <alignment horizontal="center"/>
      <protection hidden="1"/>
    </xf>
    <xf numFmtId="0" fontId="31" fillId="43" borderId="0" xfId="0" applyFont="1" applyFill="1" applyAlignment="1" applyProtection="1">
      <alignment vertical="center" wrapText="1"/>
      <protection hidden="1"/>
    </xf>
    <xf numFmtId="0" fontId="16" fillId="43" borderId="0" xfId="0" applyFont="1" applyFill="1" applyAlignment="1" applyProtection="1">
      <alignment horizontal="center" vertical="center"/>
      <protection hidden="1"/>
    </xf>
    <xf numFmtId="0" fontId="21" fillId="43" borderId="0" xfId="0" applyFont="1" applyFill="1" applyAlignment="1" applyProtection="1">
      <alignment horizontal="center" vertical="center"/>
      <protection hidden="1"/>
    </xf>
    <xf numFmtId="0" fontId="0" fillId="43" borderId="0" xfId="0" applyFill="1"/>
    <xf numFmtId="0" fontId="24" fillId="43" borderId="0" xfId="0" applyFont="1" applyFill="1" applyProtection="1">
      <protection hidden="1"/>
    </xf>
    <xf numFmtId="0" fontId="11" fillId="43" borderId="0" xfId="0" applyFont="1" applyFill="1" applyAlignment="1">
      <alignment horizontal="center"/>
    </xf>
    <xf numFmtId="0" fontId="3" fillId="43" borderId="0" xfId="0" applyFont="1" applyFill="1" applyAlignment="1" applyProtection="1">
      <alignment horizontal="centerContinuous" wrapText="1"/>
      <protection hidden="1"/>
    </xf>
    <xf numFmtId="0" fontId="57" fillId="43" borderId="0" xfId="0" applyFont="1" applyFill="1" applyProtection="1">
      <protection hidden="1"/>
    </xf>
    <xf numFmtId="0" fontId="57" fillId="43" borderId="0" xfId="0" applyFont="1" applyFill="1" applyAlignment="1" applyProtection="1">
      <alignment vertical="center"/>
      <protection hidden="1"/>
    </xf>
    <xf numFmtId="0" fontId="58" fillId="43" borderId="0" xfId="0" applyFont="1" applyFill="1" applyProtection="1">
      <protection hidden="1"/>
    </xf>
    <xf numFmtId="0" fontId="59" fillId="43" borderId="0" xfId="0" applyFont="1" applyFill="1" applyAlignment="1" applyProtection="1">
      <alignment horizontal="left" vertical="center"/>
      <protection hidden="1"/>
    </xf>
    <xf numFmtId="0" fontId="59" fillId="43" borderId="0" xfId="0" applyFont="1" applyFill="1" applyAlignment="1">
      <alignment horizontal="center" vertical="center"/>
    </xf>
    <xf numFmtId="0" fontId="57" fillId="43" borderId="0" xfId="0" applyFont="1" applyFill="1" applyAlignment="1" applyProtection="1">
      <alignment horizontal="centerContinuous" vertical="center"/>
      <protection hidden="1"/>
    </xf>
    <xf numFmtId="0" fontId="57" fillId="43"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3" borderId="0" xfId="0" applyFont="1" applyFill="1" applyAlignment="1" applyProtection="1">
      <alignment horizontal="center"/>
      <protection hidden="1"/>
    </xf>
    <xf numFmtId="0" fontId="59" fillId="43" borderId="0" xfId="0" applyFont="1" applyFill="1" applyAlignment="1" applyProtection="1">
      <alignment horizontal="center" vertical="center"/>
      <protection hidden="1"/>
    </xf>
    <xf numFmtId="0" fontId="58" fillId="0" borderId="0" xfId="0" applyFont="1" applyAlignment="1">
      <alignment horizontal="center"/>
    </xf>
    <xf numFmtId="0" fontId="60" fillId="43" borderId="0" xfId="0" applyFont="1" applyFill="1" applyAlignment="1" applyProtection="1">
      <alignment horizontal="left"/>
      <protection hidden="1"/>
    </xf>
    <xf numFmtId="0" fontId="60" fillId="43" borderId="0" xfId="0" applyFont="1" applyFill="1" applyAlignment="1" applyProtection="1">
      <alignment vertical="center"/>
      <protection hidden="1"/>
    </xf>
    <xf numFmtId="14" fontId="58" fillId="43" borderId="0" xfId="0" applyNumberFormat="1" applyFont="1" applyFill="1" applyProtection="1">
      <protection hidden="1"/>
    </xf>
    <xf numFmtId="0" fontId="58" fillId="0" borderId="0" xfId="0" applyFont="1" applyAlignment="1" applyProtection="1">
      <alignment horizontal="center"/>
      <protection hidden="1"/>
    </xf>
    <xf numFmtId="0" fontId="61" fillId="43" borderId="0" xfId="0" applyFont="1" applyFill="1" applyAlignment="1" applyProtection="1">
      <alignment horizontal="left" vertical="center"/>
      <protection hidden="1"/>
    </xf>
    <xf numFmtId="0" fontId="61" fillId="43" borderId="0" xfId="0" applyFont="1" applyFill="1" applyAlignment="1">
      <alignment horizontal="left" vertical="center"/>
    </xf>
    <xf numFmtId="0" fontId="61" fillId="43" borderId="0" xfId="0" applyFont="1" applyFill="1" applyAlignment="1">
      <alignment horizontal="center" vertical="center"/>
    </xf>
    <xf numFmtId="0" fontId="58" fillId="43" borderId="0" xfId="0" applyFont="1" applyFill="1" applyAlignment="1" applyProtection="1">
      <alignment horizontal="centerContinuous" vertical="center"/>
      <protection hidden="1"/>
    </xf>
    <xf numFmtId="0" fontId="58" fillId="43" borderId="0" xfId="0" applyFont="1" applyFill="1"/>
    <xf numFmtId="0" fontId="58" fillId="43" borderId="0" xfId="0" applyFont="1" applyFill="1" applyAlignment="1" applyProtection="1">
      <alignment horizontal="left" vertical="center"/>
      <protection hidden="1"/>
    </xf>
    <xf numFmtId="0" fontId="49" fillId="0" borderId="84" xfId="0" applyFont="1" applyBorder="1" applyAlignment="1" applyProtection="1">
      <alignment horizontal="left" vertical="center"/>
      <protection hidden="1"/>
    </xf>
    <xf numFmtId="0" fontId="49" fillId="0" borderId="85" xfId="0" applyFont="1" applyBorder="1" applyAlignment="1" applyProtection="1">
      <alignment horizontal="center" vertical="center"/>
      <protection locked="0" hidden="1"/>
    </xf>
    <xf numFmtId="0" fontId="49" fillId="33" borderId="84" xfId="0" applyFont="1" applyFill="1" applyBorder="1" applyAlignment="1" applyProtection="1">
      <alignment horizontal="left" vertical="center"/>
      <protection hidden="1"/>
    </xf>
    <xf numFmtId="0" fontId="49" fillId="33" borderId="85" xfId="0" applyFont="1" applyFill="1" applyBorder="1" applyAlignment="1" applyProtection="1">
      <alignment horizontal="center" vertical="center"/>
      <protection locked="0" hidden="1"/>
    </xf>
    <xf numFmtId="0" fontId="49" fillId="33" borderId="86" xfId="0" applyFont="1" applyFill="1" applyBorder="1" applyAlignment="1" applyProtection="1">
      <alignment horizontal="left" vertical="center"/>
      <protection hidden="1"/>
    </xf>
    <xf numFmtId="0" fontId="49" fillId="33" borderId="87" xfId="0" applyFont="1" applyFill="1" applyBorder="1" applyAlignment="1" applyProtection="1">
      <alignment horizontal="center" vertical="center"/>
      <protection locked="0" hidden="1"/>
    </xf>
    <xf numFmtId="0" fontId="55" fillId="14" borderId="82" xfId="0" applyFont="1" applyFill="1" applyBorder="1" applyAlignment="1" applyProtection="1">
      <alignment horizontal="left" vertical="center"/>
      <protection hidden="1"/>
    </xf>
    <xf numFmtId="0" fontId="55" fillId="14" borderId="83" xfId="0" applyFont="1" applyFill="1" applyBorder="1" applyAlignment="1" applyProtection="1">
      <alignment horizontal="center" vertical="center"/>
      <protection hidden="1"/>
    </xf>
    <xf numFmtId="0" fontId="5" fillId="43" borderId="0" xfId="27" applyFill="1" applyAlignment="1" applyProtection="1">
      <alignment horizontal="center"/>
      <protection hidden="1"/>
    </xf>
    <xf numFmtId="0" fontId="63" fillId="43" borderId="0" xfId="0" applyFont="1" applyFill="1" applyAlignment="1" applyProtection="1">
      <alignment horizontal="center" vertical="center"/>
      <protection locked="0" hidden="1"/>
    </xf>
    <xf numFmtId="0" fontId="63" fillId="43" borderId="0" xfId="0" applyFont="1" applyFill="1" applyAlignment="1" applyProtection="1">
      <alignment horizontal="center" vertical="center"/>
      <protection hidden="1"/>
    </xf>
    <xf numFmtId="0" fontId="29" fillId="43" borderId="0" xfId="0" applyFont="1" applyFill="1" applyAlignment="1" applyProtection="1">
      <alignment horizontal="center"/>
      <protection hidden="1"/>
    </xf>
    <xf numFmtId="0" fontId="35" fillId="43" borderId="0" xfId="0" applyFont="1" applyFill="1" applyAlignment="1" applyProtection="1">
      <alignment horizontal="center" vertical="center"/>
      <protection hidden="1"/>
    </xf>
    <xf numFmtId="0" fontId="7" fillId="43" borderId="0" xfId="0" applyFont="1" applyFill="1" applyAlignment="1" applyProtection="1">
      <alignment horizontal="center"/>
      <protection hidden="1"/>
    </xf>
    <xf numFmtId="0" fontId="27" fillId="43" borderId="0" xfId="0" applyFont="1" applyFill="1" applyAlignment="1" applyProtection="1">
      <alignment horizontal="center" vertical="center"/>
      <protection locked="0" hidden="1"/>
    </xf>
    <xf numFmtId="0" fontId="49" fillId="4" borderId="98" xfId="0" applyFont="1" applyFill="1" applyBorder="1" applyAlignment="1" applyProtection="1">
      <alignment horizontal="center" vertical="center"/>
      <protection locked="0"/>
    </xf>
    <xf numFmtId="0" fontId="49" fillId="4" borderId="105" xfId="0" applyFont="1" applyFill="1" applyBorder="1" applyAlignment="1">
      <alignment vertical="center"/>
    </xf>
    <xf numFmtId="0" fontId="49" fillId="4" borderId="110" xfId="0" applyFont="1" applyFill="1" applyBorder="1" applyAlignment="1">
      <alignment vertical="center"/>
    </xf>
    <xf numFmtId="0" fontId="49" fillId="4" borderId="109" xfId="0" applyFont="1" applyFill="1" applyBorder="1" applyAlignment="1">
      <alignment vertical="center"/>
    </xf>
    <xf numFmtId="0" fontId="49" fillId="4" borderId="106"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8" xfId="0" applyFont="1" applyFill="1" applyBorder="1" applyAlignment="1" applyProtection="1">
      <alignment vertical="center"/>
      <protection locked="0" hidden="1"/>
    </xf>
    <xf numFmtId="0" fontId="40" fillId="43" borderId="124" xfId="27" applyFont="1" applyFill="1" applyBorder="1" applyAlignment="1">
      <alignment vertical="center"/>
    </xf>
    <xf numFmtId="0" fontId="3" fillId="43" borderId="20" xfId="0" applyFont="1" applyFill="1" applyBorder="1" applyAlignment="1" applyProtection="1">
      <alignment horizontal="centerContinuous" vertical="center"/>
      <protection hidden="1"/>
    </xf>
    <xf numFmtId="0" fontId="46" fillId="43" borderId="123"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3" borderId="125" xfId="90" applyFill="1" applyBorder="1"/>
    <xf numFmtId="0" fontId="23" fillId="43" borderId="126" xfId="90" applyFill="1" applyBorder="1"/>
    <xf numFmtId="0" fontId="23" fillId="43" borderId="127" xfId="90" applyFill="1" applyBorder="1"/>
    <xf numFmtId="0" fontId="49" fillId="43" borderId="0" xfId="27" applyFont="1" applyFill="1" applyBorder="1" applyAlignment="1" applyProtection="1">
      <alignment vertical="center"/>
      <protection hidden="1"/>
    </xf>
    <xf numFmtId="0" fontId="49" fillId="43" borderId="0" xfId="90" applyFont="1" applyFill="1" applyAlignment="1" applyProtection="1">
      <alignment vertical="center"/>
      <protection hidden="1"/>
    </xf>
    <xf numFmtId="0" fontId="49" fillId="43" borderId="0" xfId="90" applyFont="1" applyFill="1" applyAlignment="1" applyProtection="1">
      <alignment vertical="center" wrapText="1"/>
      <protection hidden="1"/>
    </xf>
    <xf numFmtId="0" fontId="49" fillId="43" borderId="129" xfId="90" applyFont="1" applyFill="1" applyBorder="1" applyAlignment="1" applyProtection="1">
      <alignment vertical="center" wrapText="1"/>
      <protection hidden="1"/>
    </xf>
    <xf numFmtId="14" fontId="49" fillId="43" borderId="0" xfId="90" applyNumberFormat="1" applyFont="1" applyFill="1" applyAlignment="1" applyProtection="1">
      <alignment horizontal="left" vertical="top"/>
      <protection hidden="1"/>
    </xf>
    <xf numFmtId="0" fontId="49" fillId="43" borderId="0" xfId="90" applyFont="1" applyFill="1" applyAlignment="1" applyProtection="1">
      <alignment vertical="top"/>
      <protection hidden="1"/>
    </xf>
    <xf numFmtId="0" fontId="49" fillId="43" borderId="0" xfId="90" applyFont="1" applyFill="1" applyAlignment="1" applyProtection="1">
      <alignment vertical="top" wrapText="1"/>
      <protection hidden="1"/>
    </xf>
    <xf numFmtId="0" fontId="49" fillId="43" borderId="129" xfId="90" applyFont="1" applyFill="1" applyBorder="1"/>
    <xf numFmtId="0" fontId="49" fillId="43" borderId="130" xfId="90" applyFont="1" applyFill="1" applyBorder="1" applyProtection="1">
      <protection hidden="1"/>
    </xf>
    <xf numFmtId="0" fontId="49" fillId="43" borderId="131" xfId="90" applyFont="1" applyFill="1" applyBorder="1" applyProtection="1">
      <protection hidden="1"/>
    </xf>
    <xf numFmtId="0" fontId="49" fillId="43" borderId="132" xfId="90" applyFont="1" applyFill="1" applyBorder="1" applyProtection="1">
      <protection hidden="1"/>
    </xf>
    <xf numFmtId="0" fontId="49" fillId="43" borderId="125" xfId="90" applyFont="1" applyFill="1" applyBorder="1" applyAlignment="1" applyProtection="1">
      <alignment horizontal="right"/>
      <protection hidden="1"/>
    </xf>
    <xf numFmtId="0" fontId="49" fillId="43" borderId="126" xfId="90" applyFont="1" applyFill="1" applyBorder="1" applyAlignment="1" applyProtection="1">
      <alignment horizontal="left"/>
      <protection hidden="1"/>
    </xf>
    <xf numFmtId="0" fontId="49" fillId="43" borderId="126" xfId="90" applyFont="1" applyFill="1" applyBorder="1" applyAlignment="1" applyProtection="1">
      <alignment horizontal="right"/>
      <protection hidden="1"/>
    </xf>
    <xf numFmtId="0" fontId="49" fillId="43" borderId="126" xfId="90" applyFont="1" applyFill="1" applyBorder="1"/>
    <xf numFmtId="0" fontId="49" fillId="43" borderId="127" xfId="90" applyFont="1" applyFill="1" applyBorder="1"/>
    <xf numFmtId="0" fontId="49" fillId="43" borderId="0" xfId="90" applyFont="1" applyFill="1"/>
    <xf numFmtId="0" fontId="49" fillId="43" borderId="130" xfId="90" applyFont="1" applyFill="1" applyBorder="1"/>
    <xf numFmtId="0" fontId="49" fillId="43" borderId="131" xfId="90" applyFont="1" applyFill="1" applyBorder="1"/>
    <xf numFmtId="0" fontId="49" fillId="43" borderId="132" xfId="90" applyFont="1" applyFill="1" applyBorder="1"/>
    <xf numFmtId="0" fontId="23" fillId="43" borderId="128" xfId="90" applyFill="1" applyBorder="1"/>
    <xf numFmtId="0" fontId="49" fillId="0" borderId="0" xfId="90" applyFont="1" applyAlignment="1">
      <alignment vertical="center"/>
    </xf>
    <xf numFmtId="0" fontId="23" fillId="43" borderId="128" xfId="90" applyFill="1" applyBorder="1" applyAlignment="1">
      <alignment vertical="center"/>
    </xf>
    <xf numFmtId="0" fontId="49" fillId="43" borderId="0" xfId="90" applyFont="1" applyFill="1" applyAlignment="1">
      <alignment vertical="center"/>
    </xf>
    <xf numFmtId="0" fontId="49" fillId="43" borderId="129"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3" borderId="58"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3" borderId="128" xfId="90" applyFont="1" applyFill="1" applyBorder="1" applyAlignment="1" applyProtection="1">
      <alignment horizontal="right" vertical="center"/>
      <protection hidden="1"/>
    </xf>
    <xf numFmtId="0" fontId="51" fillId="43" borderId="128" xfId="90" applyFont="1" applyFill="1" applyBorder="1" applyAlignment="1" applyProtection="1">
      <alignment horizontal="right" vertical="top"/>
      <protection hidden="1"/>
    </xf>
    <xf numFmtId="0" fontId="51" fillId="43" borderId="0" xfId="90" applyFont="1" applyFill="1" applyAlignment="1" applyProtection="1">
      <alignment horizontal="left" vertical="center"/>
      <protection hidden="1"/>
    </xf>
    <xf numFmtId="0" fontId="51" fillId="43" borderId="0" xfId="90" applyFont="1" applyFill="1" applyAlignment="1" applyProtection="1">
      <alignment horizontal="center" vertical="center"/>
      <protection hidden="1"/>
    </xf>
    <xf numFmtId="0" fontId="5" fillId="0" borderId="58" xfId="27" applyFill="1" applyBorder="1" applyAlignment="1" applyProtection="1">
      <alignment horizontal="center" vertical="center"/>
      <protection hidden="1"/>
    </xf>
    <xf numFmtId="0" fontId="62" fillId="0" borderId="58" xfId="27" applyFont="1" applyFill="1" applyBorder="1" applyAlignment="1" applyProtection="1">
      <alignment horizontal="center" vertical="center"/>
      <protection hidden="1"/>
    </xf>
    <xf numFmtId="0" fontId="49" fillId="0" borderId="58" xfId="90" applyFont="1" applyBorder="1" applyAlignment="1" applyProtection="1">
      <alignment horizontal="center" vertical="center"/>
      <protection hidden="1"/>
    </xf>
    <xf numFmtId="0" fontId="49" fillId="43" borderId="133" xfId="90" applyFont="1" applyFill="1" applyBorder="1" applyAlignment="1" applyProtection="1">
      <alignment vertical="center"/>
      <protection hidden="1"/>
    </xf>
    <xf numFmtId="0" fontId="49" fillId="43" borderId="0" xfId="0" applyFont="1" applyFill="1" applyAlignment="1" applyProtection="1">
      <alignment horizontal="left"/>
      <protection hidden="1"/>
    </xf>
    <xf numFmtId="14" fontId="49" fillId="43" borderId="0" xfId="0" applyNumberFormat="1" applyFont="1" applyFill="1" applyProtection="1">
      <protection hidden="1"/>
    </xf>
    <xf numFmtId="14" fontId="49" fillId="43" borderId="0" xfId="0" applyNumberFormat="1" applyFont="1" applyFill="1" applyAlignment="1" applyProtection="1">
      <alignment horizontal="right"/>
      <protection hidden="1"/>
    </xf>
    <xf numFmtId="0" fontId="49" fillId="4" borderId="134" xfId="0" applyFont="1" applyFill="1" applyBorder="1" applyAlignment="1" applyProtection="1">
      <alignment horizontal="center"/>
      <protection locked="0"/>
    </xf>
    <xf numFmtId="0" fontId="41" fillId="43" borderId="0" xfId="27" applyFont="1" applyFill="1" applyBorder="1" applyAlignment="1" applyProtection="1">
      <alignment vertical="center" wrapText="1"/>
      <protection hidden="1"/>
    </xf>
    <xf numFmtId="14" fontId="49" fillId="43" borderId="0" xfId="0" applyNumberFormat="1" applyFont="1" applyFill="1" applyAlignment="1" applyProtection="1">
      <alignment horizontal="left"/>
      <protection hidden="1"/>
    </xf>
    <xf numFmtId="0" fontId="48" fillId="4" borderId="40" xfId="0" applyFont="1" applyFill="1" applyBorder="1" applyAlignment="1" applyProtection="1">
      <alignment horizontal="center" vertical="center"/>
      <protection hidden="1"/>
    </xf>
    <xf numFmtId="0" fontId="48" fillId="4" borderId="49"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62" xfId="0" applyFont="1" applyFill="1" applyBorder="1" applyAlignment="1" applyProtection="1">
      <alignment horizontal="center" vertical="center"/>
      <protection hidden="1"/>
    </xf>
    <xf numFmtId="0" fontId="48" fillId="4" borderId="113" xfId="0" applyFont="1" applyFill="1" applyBorder="1" applyAlignment="1" applyProtection="1">
      <alignment horizontal="center" vertical="center"/>
      <protection hidden="1"/>
    </xf>
    <xf numFmtId="0" fontId="48" fillId="4" borderId="98" xfId="0" applyFont="1" applyFill="1" applyBorder="1" applyAlignment="1" applyProtection="1">
      <alignment horizontal="center" vertical="center"/>
      <protection hidden="1"/>
    </xf>
    <xf numFmtId="0" fontId="66" fillId="43" borderId="0" xfId="0" applyFont="1" applyFill="1" applyAlignment="1" applyProtection="1">
      <alignment vertical="center"/>
      <protection hidden="1"/>
    </xf>
    <xf numFmtId="0" fontId="36" fillId="43" borderId="0" xfId="0" applyFont="1" applyFill="1" applyAlignment="1">
      <alignment vertical="center"/>
    </xf>
    <xf numFmtId="0" fontId="67" fillId="3" borderId="142" xfId="0" applyFont="1" applyFill="1" applyBorder="1" applyAlignment="1">
      <alignment horizontal="center" vertical="center"/>
    </xf>
    <xf numFmtId="0" fontId="47" fillId="2" borderId="140" xfId="0" applyFont="1" applyFill="1" applyBorder="1" applyAlignment="1" applyProtection="1">
      <alignment horizontal="left" vertical="center"/>
      <protection locked="0" hidden="1"/>
    </xf>
    <xf numFmtId="0" fontId="25" fillId="43" borderId="29" xfId="0" applyFont="1" applyFill="1" applyBorder="1" applyProtection="1">
      <protection hidden="1"/>
    </xf>
    <xf numFmtId="0" fontId="25" fillId="43" borderId="0" xfId="0" applyFont="1" applyFill="1" applyProtection="1">
      <protection hidden="1"/>
    </xf>
    <xf numFmtId="0" fontId="25" fillId="43" borderId="27" xfId="0" applyFont="1" applyFill="1" applyBorder="1" applyProtection="1">
      <protection hidden="1"/>
    </xf>
    <xf numFmtId="0" fontId="25" fillId="43" borderId="28" xfId="0" applyFont="1" applyFill="1" applyBorder="1" applyProtection="1">
      <protection hidden="1"/>
    </xf>
    <xf numFmtId="0" fontId="75" fillId="45" borderId="142" xfId="0" applyFont="1" applyFill="1" applyBorder="1" applyAlignment="1" applyProtection="1">
      <alignment horizontal="center" vertical="center" wrapText="1"/>
      <protection locked="0" hidden="1"/>
    </xf>
    <xf numFmtId="0" fontId="72" fillId="3" borderId="141" xfId="0" applyFont="1" applyFill="1" applyBorder="1" applyAlignment="1" applyProtection="1">
      <alignment horizontal="center" vertical="center"/>
      <protection locked="0" hidden="1"/>
    </xf>
    <xf numFmtId="0" fontId="64" fillId="43" borderId="123" xfId="27" applyFont="1" applyFill="1" applyBorder="1" applyAlignment="1" applyProtection="1">
      <alignment vertical="center"/>
      <protection hidden="1"/>
    </xf>
    <xf numFmtId="0" fontId="71" fillId="46" borderId="137" xfId="0" applyFont="1" applyFill="1" applyBorder="1" applyAlignment="1" applyProtection="1">
      <alignment horizontal="center" vertical="center"/>
      <protection hidden="1"/>
    </xf>
    <xf numFmtId="0" fontId="36" fillId="43" borderId="0" xfId="0" applyFont="1" applyFill="1" applyProtection="1">
      <protection hidden="1"/>
    </xf>
    <xf numFmtId="0" fontId="36" fillId="0" borderId="0" xfId="0" applyFont="1" applyProtection="1">
      <protection hidden="1"/>
    </xf>
    <xf numFmtId="0" fontId="74" fillId="43" borderId="0" xfId="0" applyFont="1" applyFill="1" applyProtection="1">
      <protection hidden="1"/>
    </xf>
    <xf numFmtId="0" fontId="36" fillId="43" borderId="0" xfId="0" applyFont="1" applyFill="1" applyAlignment="1" applyProtection="1">
      <alignment horizontal="center" vertical="center"/>
      <protection hidden="1"/>
    </xf>
    <xf numFmtId="0" fontId="37" fillId="43" borderId="0" xfId="27" applyFont="1" applyFill="1" applyProtection="1">
      <protection hidden="1"/>
    </xf>
    <xf numFmtId="0" fontId="46" fillId="43" borderId="0" xfId="0" applyFont="1" applyFill="1" applyProtection="1">
      <protection hidden="1"/>
    </xf>
    <xf numFmtId="0" fontId="36" fillId="43" borderId="0" xfId="0" applyFont="1" applyFill="1" applyAlignment="1" applyProtection="1">
      <alignment horizontal="center"/>
      <protection hidden="1"/>
    </xf>
    <xf numFmtId="0" fontId="38" fillId="43" borderId="0" xfId="0" applyFont="1" applyFill="1" applyAlignment="1" applyProtection="1">
      <alignment horizontal="center"/>
      <protection hidden="1"/>
    </xf>
    <xf numFmtId="0" fontId="36" fillId="43" borderId="0" xfId="0" applyFont="1" applyFill="1" applyAlignment="1" applyProtection="1">
      <alignment horizontal="center" wrapText="1"/>
      <protection hidden="1"/>
    </xf>
    <xf numFmtId="0" fontId="73" fillId="44" borderId="139" xfId="0" applyFont="1" applyFill="1" applyBorder="1" applyAlignment="1" applyProtection="1">
      <alignment horizontal="center" vertical="center"/>
      <protection hidden="1"/>
    </xf>
    <xf numFmtId="0" fontId="39" fillId="43" borderId="0" xfId="0" applyFont="1" applyFill="1" applyAlignment="1" applyProtection="1">
      <alignment horizontal="left"/>
      <protection hidden="1"/>
    </xf>
    <xf numFmtId="0" fontId="40" fillId="43" borderId="0" xfId="0" applyFont="1" applyFill="1" applyProtection="1">
      <protection hidden="1"/>
    </xf>
    <xf numFmtId="0" fontId="42" fillId="43" borderId="0" xfId="0" applyFont="1" applyFill="1" applyProtection="1">
      <protection hidden="1"/>
    </xf>
    <xf numFmtId="0" fontId="36" fillId="43" borderId="136" xfId="0" applyFont="1" applyFill="1" applyBorder="1" applyAlignment="1" applyProtection="1">
      <alignment horizontal="center" vertical="center"/>
      <protection hidden="1"/>
    </xf>
    <xf numFmtId="0" fontId="67" fillId="3" borderId="142" xfId="0" applyFont="1" applyFill="1" applyBorder="1" applyAlignment="1" applyProtection="1">
      <alignment horizontal="center" vertical="center"/>
      <protection hidden="1"/>
    </xf>
    <xf numFmtId="0" fontId="69" fillId="43" borderId="0" xfId="0" applyFont="1" applyFill="1" applyAlignment="1" applyProtection="1">
      <alignment horizontal="center" vertical="center"/>
      <protection hidden="1"/>
    </xf>
    <xf numFmtId="0" fontId="70" fillId="43" borderId="0" xfId="0" applyFont="1" applyFill="1" applyAlignment="1" applyProtection="1">
      <alignment horizontal="center" vertical="center"/>
      <protection hidden="1"/>
    </xf>
    <xf numFmtId="0" fontId="68" fillId="43" borderId="0" xfId="0" applyFont="1" applyFill="1" applyAlignment="1" applyProtection="1">
      <alignment horizontal="center" vertical="center"/>
      <protection hidden="1"/>
    </xf>
    <xf numFmtId="0" fontId="44" fillId="43" borderId="0" xfId="27" applyFont="1" applyFill="1" applyAlignment="1" applyProtection="1">
      <alignment horizontal="left" vertical="center"/>
      <protection hidden="1"/>
    </xf>
    <xf numFmtId="0" fontId="43" fillId="42" borderId="97" xfId="27" applyFont="1" applyFill="1" applyBorder="1" applyAlignment="1" applyProtection="1">
      <alignment horizontal="center" vertical="center"/>
      <protection hidden="1"/>
    </xf>
    <xf numFmtId="0" fontId="40" fillId="43" borderId="0" xfId="0" applyFont="1" applyFill="1" applyAlignment="1" applyProtection="1">
      <alignment horizontal="center" vertical="center"/>
      <protection hidden="1"/>
    </xf>
    <xf numFmtId="0" fontId="40" fillId="0" borderId="0" xfId="0" applyFont="1" applyProtection="1">
      <protection hidden="1"/>
    </xf>
    <xf numFmtId="0" fontId="36" fillId="0" borderId="0" xfId="0" applyFont="1" applyAlignment="1" applyProtection="1">
      <alignment horizontal="center" vertical="center"/>
      <protection hidden="1"/>
    </xf>
    <xf numFmtId="0" fontId="65" fillId="43" borderId="0" xfId="0" applyFont="1" applyFill="1" applyProtection="1">
      <protection hidden="1"/>
    </xf>
    <xf numFmtId="0" fontId="77" fillId="43" borderId="126" xfId="90" applyFont="1" applyFill="1" applyBorder="1" applyAlignment="1" applyProtection="1">
      <alignment horizontal="left"/>
      <protection hidden="1"/>
    </xf>
    <xf numFmtId="0" fontId="79" fillId="43" borderId="28" xfId="0" applyFont="1" applyFill="1" applyBorder="1" applyAlignment="1" applyProtection="1">
      <alignment horizontal="center"/>
      <protection hidden="1"/>
    </xf>
    <xf numFmtId="0" fontId="50" fillId="4" borderId="43" xfId="0" applyFont="1" applyFill="1" applyBorder="1" applyAlignment="1" applyProtection="1">
      <alignment horizontal="center" vertical="center"/>
      <protection hidden="1"/>
    </xf>
    <xf numFmtId="0" fontId="50" fillId="4" borderId="0" xfId="0" quotePrefix="1" applyFont="1" applyFill="1" applyAlignment="1" applyProtection="1">
      <alignment horizontal="center" vertical="center"/>
      <protection hidden="1"/>
    </xf>
    <xf numFmtId="0" fontId="82" fillId="43" borderId="0" xfId="0" applyFont="1" applyFill="1" applyAlignment="1" applyProtection="1">
      <alignment horizontal="center" vertical="center"/>
      <protection hidden="1"/>
    </xf>
    <xf numFmtId="0" fontId="15" fillId="43" borderId="0" xfId="0" applyFont="1" applyFill="1" applyProtection="1">
      <protection hidden="1"/>
    </xf>
    <xf numFmtId="0" fontId="15" fillId="43" borderId="0" xfId="0" applyFont="1" applyFill="1" applyAlignment="1" applyProtection="1">
      <alignment vertical="center"/>
      <protection hidden="1"/>
    </xf>
    <xf numFmtId="0" fontId="15" fillId="43" borderId="0" xfId="0" applyFont="1" applyFill="1" applyAlignment="1" applyProtection="1">
      <alignment horizontal="center" vertical="center"/>
      <protection hidden="1"/>
    </xf>
    <xf numFmtId="0" fontId="82" fillId="43" borderId="0" xfId="0" applyFont="1" applyFill="1" applyAlignment="1">
      <alignment horizontal="center" vertical="center"/>
    </xf>
    <xf numFmtId="0" fontId="15" fillId="43" borderId="0" xfId="0" applyFont="1" applyFill="1" applyAlignment="1">
      <alignment horizontal="center" vertical="center"/>
    </xf>
    <xf numFmtId="0" fontId="15" fillId="43" borderId="0" xfId="0" applyFont="1" applyFill="1" applyAlignment="1" applyProtection="1">
      <alignment horizontal="left" vertical="center"/>
      <protection hidden="1"/>
    </xf>
    <xf numFmtId="0" fontId="83" fillId="43" borderId="0" xfId="0" applyFont="1" applyFill="1" applyAlignment="1" applyProtection="1">
      <alignment horizontal="center" vertical="center"/>
      <protection hidden="1"/>
    </xf>
    <xf numFmtId="0" fontId="83" fillId="43" borderId="0" xfId="0" applyFont="1" applyFill="1" applyAlignment="1" applyProtection="1">
      <alignment horizontal="center"/>
      <protection hidden="1"/>
    </xf>
    <xf numFmtId="0" fontId="57" fillId="43" borderId="0" xfId="0" applyFont="1" applyFill="1" applyAlignment="1" applyProtection="1">
      <alignment horizontal="center" vertical="center"/>
      <protection hidden="1"/>
    </xf>
    <xf numFmtId="0" fontId="60" fillId="43" borderId="0" xfId="0" applyFont="1" applyFill="1" applyAlignment="1" applyProtection="1">
      <alignment horizontal="center"/>
      <protection hidden="1"/>
    </xf>
    <xf numFmtId="0" fontId="58" fillId="43" borderId="0" xfId="0" applyFont="1" applyFill="1" applyAlignment="1" applyProtection="1">
      <alignment horizontal="center"/>
      <protection hidden="1"/>
    </xf>
    <xf numFmtId="0" fontId="50" fillId="43" borderId="0" xfId="0" applyFont="1" applyFill="1" applyProtection="1">
      <protection hidden="1"/>
    </xf>
    <xf numFmtId="14" fontId="49" fillId="43" borderId="0" xfId="0" applyNumberFormat="1" applyFont="1" applyFill="1" applyAlignment="1" applyProtection="1">
      <alignment horizontal="center"/>
      <protection hidden="1"/>
    </xf>
    <xf numFmtId="0" fontId="11" fillId="4" borderId="43" xfId="0" applyFont="1" applyFill="1" applyBorder="1" applyAlignment="1" applyProtection="1">
      <alignment horizontal="left" vertical="center"/>
      <protection hidden="1"/>
    </xf>
    <xf numFmtId="0" fontId="49" fillId="43" borderId="128" xfId="90" applyFont="1" applyFill="1" applyBorder="1" applyAlignment="1" applyProtection="1">
      <alignment vertical="center"/>
      <protection hidden="1"/>
    </xf>
    <xf numFmtId="0" fontId="49" fillId="43" borderId="125" xfId="90" applyFont="1" applyFill="1" applyBorder="1" applyAlignment="1" applyProtection="1">
      <alignment vertical="center"/>
      <protection hidden="1"/>
    </xf>
    <xf numFmtId="0" fontId="49" fillId="43" borderId="126" xfId="90" applyFont="1" applyFill="1" applyBorder="1" applyAlignment="1" applyProtection="1">
      <alignment vertical="center"/>
      <protection hidden="1"/>
    </xf>
    <xf numFmtId="0" fontId="49" fillId="43" borderId="127" xfId="90" applyFont="1" applyFill="1" applyBorder="1" applyAlignment="1" applyProtection="1">
      <alignment vertical="center"/>
      <protection hidden="1"/>
    </xf>
    <xf numFmtId="0" fontId="49" fillId="43" borderId="129" xfId="90" applyFont="1" applyFill="1" applyBorder="1" applyAlignment="1" applyProtection="1">
      <alignment vertical="center"/>
      <protection hidden="1"/>
    </xf>
    <xf numFmtId="0" fontId="49" fillId="43" borderId="130" xfId="90" applyFont="1" applyFill="1" applyBorder="1" applyAlignment="1" applyProtection="1">
      <alignment vertical="center"/>
      <protection hidden="1"/>
    </xf>
    <xf numFmtId="0" fontId="49" fillId="43" borderId="131" xfId="90" applyFont="1" applyFill="1" applyBorder="1" applyAlignment="1" applyProtection="1">
      <alignment vertical="center"/>
      <protection hidden="1"/>
    </xf>
    <xf numFmtId="0" fontId="49" fillId="43" borderId="132" xfId="90" applyFont="1" applyFill="1" applyBorder="1" applyAlignment="1" applyProtection="1">
      <alignment vertical="center"/>
      <protection hidden="1"/>
    </xf>
    <xf numFmtId="0" fontId="51" fillId="0" borderId="0" xfId="90" applyFont="1" applyProtection="1">
      <protection hidden="1"/>
    </xf>
    <xf numFmtId="0" fontId="49" fillId="0" borderId="154" xfId="0" applyFont="1" applyBorder="1" applyProtection="1">
      <protection locked="0" hidden="1"/>
    </xf>
    <xf numFmtId="0" fontId="49" fillId="0" borderId="52" xfId="0" applyFont="1" applyBorder="1" applyProtection="1">
      <protection locked="0" hidden="1"/>
    </xf>
    <xf numFmtId="0" fontId="49" fillId="0" borderId="65" xfId="0" applyFont="1" applyBorder="1" applyProtection="1">
      <protection locked="0" hidden="1"/>
    </xf>
    <xf numFmtId="0" fontId="49" fillId="0" borderId="64" xfId="0" applyFont="1" applyBorder="1" applyProtection="1">
      <protection locked="0" hidden="1"/>
    </xf>
    <xf numFmtId="0" fontId="49" fillId="0" borderId="0" xfId="0" applyFont="1" applyProtection="1">
      <protection locked="0" hidden="1"/>
    </xf>
    <xf numFmtId="0" fontId="49" fillId="0" borderId="64"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4" borderId="0" xfId="0" applyFont="1" applyFill="1" applyAlignment="1" applyProtection="1">
      <alignment horizontal="center" vertical="center"/>
      <protection hidden="1"/>
    </xf>
    <xf numFmtId="0" fontId="49" fillId="14"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4" xfId="0" applyFont="1" applyBorder="1" applyProtection="1">
      <protection hidden="1"/>
    </xf>
    <xf numFmtId="0" fontId="49" fillId="0" borderId="64"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4" borderId="0" xfId="0" applyFont="1" applyFill="1" applyAlignment="1" applyProtection="1">
      <alignment horizontal="left" vertical="center"/>
      <protection hidden="1"/>
    </xf>
    <xf numFmtId="0" fontId="89" fillId="14" borderId="0" xfId="0" applyFont="1" applyFill="1" applyAlignment="1" applyProtection="1">
      <alignment horizontal="left" vertical="center"/>
      <protection hidden="1"/>
    </xf>
    <xf numFmtId="0" fontId="90" fillId="43" borderId="28" xfId="0" applyFont="1" applyFill="1" applyBorder="1" applyProtection="1">
      <protection hidden="1"/>
    </xf>
    <xf numFmtId="0" fontId="90" fillId="43"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30" xfId="0" applyFont="1" applyFill="1" applyBorder="1"/>
    <xf numFmtId="0" fontId="49" fillId="2" borderId="0" xfId="0" applyFont="1" applyFill="1" applyAlignment="1">
      <alignment vertical="center" wrapText="1"/>
    </xf>
    <xf numFmtId="0" fontId="49" fillId="2" borderId="16" xfId="0" applyFont="1" applyFill="1" applyBorder="1"/>
    <xf numFmtId="0" fontId="49" fillId="13" borderId="0" xfId="0" applyFont="1" applyFill="1" applyAlignment="1">
      <alignment vertical="top" wrapText="1"/>
    </xf>
    <xf numFmtId="0" fontId="49" fillId="48"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3" borderId="130" xfId="90" applyFill="1" applyBorder="1" applyAlignment="1">
      <alignment vertical="center"/>
    </xf>
    <xf numFmtId="0" fontId="23" fillId="43" borderId="131" xfId="90" applyFill="1" applyBorder="1" applyAlignment="1">
      <alignment vertical="center"/>
    </xf>
    <xf numFmtId="0" fontId="23" fillId="43" borderId="132" xfId="90" applyFill="1" applyBorder="1" applyAlignment="1">
      <alignment vertical="center"/>
    </xf>
    <xf numFmtId="0" fontId="92" fillId="2" borderId="140" xfId="0" applyFont="1" applyFill="1" applyBorder="1" applyAlignment="1" applyProtection="1">
      <alignment horizontal="center" vertical="center"/>
      <protection locked="0" hidden="1"/>
    </xf>
    <xf numFmtId="0" fontId="48" fillId="43" borderId="0" xfId="0" applyFont="1" applyFill="1" applyAlignment="1" applyProtection="1">
      <alignment horizontal="right" vertical="center"/>
      <protection hidden="1"/>
    </xf>
    <xf numFmtId="0" fontId="0" fillId="4" borderId="106" xfId="0" applyFill="1" applyBorder="1" applyAlignment="1" applyProtection="1">
      <alignment vertical="center"/>
      <protection hidden="1"/>
    </xf>
    <xf numFmtId="0" fontId="0" fillId="4" borderId="107"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3"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102" xfId="0" applyFill="1" applyBorder="1" applyAlignment="1" applyProtection="1">
      <alignment vertical="center"/>
      <protection hidden="1"/>
    </xf>
    <xf numFmtId="0" fontId="93" fillId="43" borderId="0" xfId="0" applyFont="1" applyFill="1" applyAlignment="1" applyProtection="1">
      <alignment horizontal="center" vertical="center"/>
      <protection hidden="1"/>
    </xf>
    <xf numFmtId="0" fontId="7" fillId="0" borderId="0" xfId="90" applyFont="1"/>
    <xf numFmtId="0" fontId="7" fillId="2" borderId="0" xfId="90" applyFont="1" applyFill="1"/>
    <xf numFmtId="0" fontId="7" fillId="2" borderId="0" xfId="90" applyFont="1" applyFill="1" applyAlignment="1">
      <alignment vertical="center"/>
    </xf>
    <xf numFmtId="0" fontId="94" fillId="0" borderId="0" xfId="0" applyFont="1"/>
    <xf numFmtId="0" fontId="81" fillId="44" borderId="139"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11" fillId="2" borderId="0" xfId="90" applyFont="1" applyFill="1"/>
    <xf numFmtId="0" fontId="11" fillId="2" borderId="0" xfId="90" applyFont="1" applyFill="1" applyAlignment="1">
      <alignment vertical="center"/>
    </xf>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7" fillId="2" borderId="0" xfId="0" applyFont="1" applyFill="1" applyProtection="1">
      <protection hidden="1"/>
    </xf>
    <xf numFmtId="0" fontId="8" fillId="2" borderId="0" xfId="0" applyFont="1" applyFill="1" applyProtection="1">
      <protection hidden="1"/>
    </xf>
    <xf numFmtId="0" fontId="7" fillId="2" borderId="0" xfId="0" applyFont="1" applyFill="1" applyAlignment="1" applyProtection="1">
      <alignment horizontal="center"/>
      <protection hidden="1"/>
    </xf>
    <xf numFmtId="0" fontId="7" fillId="2" borderId="0" xfId="0" applyFont="1" applyFill="1" applyAlignment="1" applyProtection="1">
      <alignment horizontal="left" indent="1"/>
      <protection hidden="1"/>
    </xf>
    <xf numFmtId="0" fontId="7" fillId="2" borderId="0" xfId="0" applyFont="1" applyFill="1" applyAlignment="1" applyProtection="1">
      <alignment horizontal="left"/>
      <protection hidden="1"/>
    </xf>
    <xf numFmtId="0" fontId="97" fillId="2" borderId="0" xfId="0" applyFont="1" applyFill="1" applyAlignment="1" applyProtection="1">
      <alignment horizontal="center" wrapText="1"/>
      <protection hidden="1"/>
    </xf>
    <xf numFmtId="0" fontId="7" fillId="2" borderId="0" xfId="0" applyFont="1" applyFill="1" applyAlignment="1" applyProtection="1">
      <alignment horizontal="left" vertical="center"/>
      <protection hidden="1"/>
    </xf>
    <xf numFmtId="0" fontId="7" fillId="2" borderId="0" xfId="0" quotePrefix="1" applyFont="1" applyFill="1" applyAlignment="1" applyProtection="1">
      <alignment horizontal="left" vertical="center"/>
      <protection hidden="1"/>
    </xf>
    <xf numFmtId="22" fontId="7" fillId="0" borderId="0" xfId="0" applyNumberFormat="1" applyFont="1"/>
    <xf numFmtId="14" fontId="7" fillId="0" borderId="0" xfId="0" applyNumberFormat="1" applyFont="1"/>
    <xf numFmtId="0" fontId="7" fillId="0" borderId="0" xfId="0" applyFont="1" applyAlignment="1" applyProtection="1">
      <alignment vertical="center"/>
      <protection hidden="1"/>
    </xf>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7" fillId="0" borderId="26" xfId="0" applyFont="1" applyBorder="1"/>
    <xf numFmtId="20" fontId="7" fillId="0" borderId="26" xfId="0" applyNumberFormat="1" applyFont="1" applyBorder="1"/>
    <xf numFmtId="0" fontId="8" fillId="0" borderId="0" xfId="0" quotePrefix="1" applyFont="1"/>
    <xf numFmtId="20" fontId="7" fillId="0" borderId="0" xfId="0" applyNumberFormat="1" applyFont="1"/>
    <xf numFmtId="0" fontId="96" fillId="0" borderId="0" xfId="0" applyFont="1"/>
    <xf numFmtId="22" fontId="18" fillId="0" borderId="0" xfId="0" applyNumberFormat="1" applyFont="1" applyAlignment="1" applyProtection="1">
      <alignment vertical="center"/>
      <protection hidden="1"/>
    </xf>
    <xf numFmtId="0" fontId="7" fillId="0" borderId="155" xfId="0" applyFont="1" applyBorder="1"/>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8" fillId="43" borderId="0" xfId="0" applyFont="1" applyFill="1" applyProtection="1">
      <protection hidden="1"/>
    </xf>
    <xf numFmtId="16" fontId="3" fillId="43" borderId="0" xfId="0" quotePrefix="1" applyNumberFormat="1" applyFont="1" applyFill="1" applyProtection="1">
      <protection hidden="1"/>
    </xf>
    <xf numFmtId="0" fontId="3" fillId="43" borderId="0" xfId="0" quotePrefix="1" applyFont="1" applyFill="1" applyProtection="1">
      <protection hidden="1"/>
    </xf>
    <xf numFmtId="0" fontId="0" fillId="43" borderId="0" xfId="0" applyFill="1" applyAlignment="1" applyProtection="1">
      <alignment horizontal="center" vertical="center"/>
      <protection hidden="1"/>
    </xf>
    <xf numFmtId="0" fontId="58" fillId="43" borderId="0" xfId="0" applyFont="1" applyFill="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49" fillId="4" borderId="63" xfId="0" applyFont="1" applyFill="1" applyBorder="1" applyAlignment="1" applyProtection="1">
      <alignment horizontal="left"/>
      <protection hidden="1"/>
    </xf>
    <xf numFmtId="0" fontId="49" fillId="4" borderId="63" xfId="0" applyFont="1" applyFill="1" applyBorder="1" applyAlignment="1" applyProtection="1">
      <alignment horizontal="center"/>
      <protection hidden="1"/>
    </xf>
    <xf numFmtId="0" fontId="49" fillId="4" borderId="63" xfId="0" applyFont="1" applyFill="1" applyBorder="1" applyProtection="1">
      <protection hidden="1"/>
    </xf>
    <xf numFmtId="0" fontId="50" fillId="3" borderId="66" xfId="0" applyFont="1" applyFill="1" applyBorder="1" applyAlignment="1" applyProtection="1">
      <alignment horizontal="left" vertical="center"/>
      <protection hidden="1"/>
    </xf>
    <xf numFmtId="0" fontId="50" fillId="3" borderId="119" xfId="0" applyFont="1" applyFill="1" applyBorder="1" applyAlignment="1" applyProtection="1">
      <alignment horizontal="left" vertical="center"/>
      <protection hidden="1"/>
    </xf>
    <xf numFmtId="0" fontId="50" fillId="3" borderId="119" xfId="0" applyFont="1" applyFill="1" applyBorder="1" applyAlignment="1" applyProtection="1">
      <alignment horizontal="center" vertical="center"/>
      <protection hidden="1"/>
    </xf>
    <xf numFmtId="0" fontId="50" fillId="3" borderId="120"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43" borderId="0" xfId="0" applyFont="1" applyFill="1" applyAlignment="1" applyProtection="1">
      <alignment horizontal="center"/>
      <protection hidden="1"/>
    </xf>
    <xf numFmtId="0" fontId="50" fillId="10" borderId="67"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top"/>
      <protection hidden="1"/>
    </xf>
    <xf numFmtId="0" fontId="49" fillId="16" borderId="0" xfId="0" applyFont="1" applyFill="1" applyProtection="1">
      <protection hidden="1"/>
    </xf>
    <xf numFmtId="0" fontId="0" fillId="11" borderId="0" xfId="0" applyFill="1" applyAlignment="1" applyProtection="1">
      <alignment horizontal="center" vertical="center"/>
      <protection hidden="1"/>
    </xf>
    <xf numFmtId="0" fontId="49" fillId="15" borderId="0" xfId="0" applyFont="1" applyFill="1" applyAlignment="1" applyProtection="1">
      <alignment horizontal="center" vertical="center"/>
      <protection hidden="1"/>
    </xf>
    <xf numFmtId="0" fontId="0" fillId="17"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6" xfId="0" applyBorder="1" applyAlignment="1" applyProtection="1">
      <alignment horizontal="right"/>
      <protection hidden="1"/>
    </xf>
    <xf numFmtId="0" fontId="3" fillId="47" borderId="147" xfId="0" applyFont="1" applyFill="1" applyBorder="1" applyAlignment="1" applyProtection="1">
      <alignment horizontal="center"/>
      <protection hidden="1"/>
    </xf>
    <xf numFmtId="0" fontId="3" fillId="10" borderId="147" xfId="0" quotePrefix="1" applyFont="1" applyFill="1" applyBorder="1" applyAlignment="1" applyProtection="1">
      <alignment horizontal="center"/>
      <protection hidden="1"/>
    </xf>
    <xf numFmtId="0" fontId="3" fillId="16" borderId="147" xfId="0" quotePrefix="1" applyFont="1" applyFill="1" applyBorder="1" applyAlignment="1" applyProtection="1">
      <alignment horizontal="center"/>
      <protection hidden="1"/>
    </xf>
    <xf numFmtId="0" fontId="3" fillId="11" borderId="147" xfId="0" quotePrefix="1" applyFont="1" applyFill="1" applyBorder="1" applyAlignment="1" applyProtection="1">
      <alignment horizontal="center"/>
      <protection hidden="1"/>
    </xf>
    <xf numFmtId="0" fontId="3" fillId="15" borderId="147" xfId="0" quotePrefix="1" applyFont="1" applyFill="1" applyBorder="1" applyAlignment="1" applyProtection="1">
      <alignment horizontal="center"/>
      <protection hidden="1"/>
    </xf>
    <xf numFmtId="0" fontId="3" fillId="32" borderId="147" xfId="0" applyFont="1" applyFill="1" applyBorder="1" applyAlignment="1" applyProtection="1">
      <alignment horizontal="center"/>
      <protection hidden="1"/>
    </xf>
    <xf numFmtId="0" fontId="3" fillId="31" borderId="147" xfId="0" applyFont="1" applyFill="1" applyBorder="1" applyAlignment="1" applyProtection="1">
      <alignment horizontal="center"/>
      <protection hidden="1"/>
    </xf>
    <xf numFmtId="0" fontId="3" fillId="30" borderId="148" xfId="0" applyFont="1" applyFill="1" applyBorder="1" applyAlignment="1" applyProtection="1">
      <alignment horizontal="center"/>
      <protection hidden="1"/>
    </xf>
    <xf numFmtId="0" fontId="8" fillId="18" borderId="45" xfId="0" applyFont="1" applyFill="1" applyBorder="1" applyAlignment="1" applyProtection="1">
      <alignment horizontal="center" vertical="center"/>
      <protection hidden="1"/>
    </xf>
    <xf numFmtId="0" fontId="49" fillId="4" borderId="58" xfId="0" applyFont="1" applyFill="1" applyBorder="1" applyAlignment="1" applyProtection="1">
      <alignment horizontal="left"/>
      <protection hidden="1"/>
    </xf>
    <xf numFmtId="0" fontId="49" fillId="4" borderId="58" xfId="0" applyFont="1" applyFill="1" applyBorder="1" applyAlignment="1" applyProtection="1">
      <alignment horizontal="center"/>
      <protection hidden="1"/>
    </xf>
    <xf numFmtId="0" fontId="49" fillId="4" borderId="58" xfId="0" applyFont="1" applyFill="1" applyBorder="1" applyProtection="1">
      <protection hidden="1"/>
    </xf>
    <xf numFmtId="0" fontId="49" fillId="4" borderId="115" xfId="0" applyFont="1" applyFill="1" applyBorder="1" applyProtection="1">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8" fillId="24" borderId="45"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58" fillId="43" borderId="76" xfId="0" applyFont="1" applyFill="1" applyBorder="1" applyAlignment="1" applyProtection="1">
      <alignment horizontal="right" vertical="center"/>
      <protection hidden="1"/>
    </xf>
    <xf numFmtId="0" fontId="50" fillId="16" borderId="67" xfId="0" applyFont="1" applyFill="1" applyBorder="1" applyAlignment="1" applyProtection="1">
      <alignment horizontal="center" vertical="center"/>
      <protection hidden="1"/>
    </xf>
    <xf numFmtId="0" fontId="49" fillId="16" borderId="67" xfId="0" applyFont="1" applyFill="1" applyBorder="1" applyAlignment="1" applyProtection="1">
      <alignment horizontal="center" vertical="center"/>
      <protection hidden="1"/>
    </xf>
    <xf numFmtId="0" fontId="49" fillId="16" borderId="72"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7" borderId="0" xfId="0" applyFont="1" applyFill="1" applyAlignment="1" applyProtection="1">
      <alignment horizontal="center" vertical="center"/>
      <protection hidden="1"/>
    </xf>
    <xf numFmtId="0" fontId="51" fillId="43" borderId="0" xfId="0" applyFont="1" applyFill="1" applyProtection="1">
      <protection hidden="1"/>
    </xf>
    <xf numFmtId="0" fontId="0" fillId="0" borderId="149" xfId="0" applyBorder="1" applyAlignment="1" applyProtection="1">
      <alignment horizontal="right"/>
      <protection hidden="1"/>
    </xf>
    <xf numFmtId="165" fontId="0" fillId="0" borderId="135" xfId="0" applyNumberFormat="1" applyBorder="1" applyProtection="1">
      <protection hidden="1"/>
    </xf>
    <xf numFmtId="165" fontId="58" fillId="0" borderId="135" xfId="0" applyNumberFormat="1" applyFont="1" applyBorder="1" applyProtection="1">
      <protection hidden="1"/>
    </xf>
    <xf numFmtId="165" fontId="7" fillId="0" borderId="135" xfId="0" applyNumberFormat="1" applyFont="1" applyBorder="1" applyProtection="1">
      <protection hidden="1"/>
    </xf>
    <xf numFmtId="165" fontId="0" fillId="0" borderId="150" xfId="0" applyNumberFormat="1" applyBorder="1" applyProtection="1">
      <protection hidden="1"/>
    </xf>
    <xf numFmtId="0" fontId="49" fillId="4" borderId="116" xfId="0" applyFont="1" applyFill="1" applyBorder="1" applyProtection="1">
      <protection hidden="1"/>
    </xf>
    <xf numFmtId="0" fontId="50" fillId="4" borderId="0" xfId="0" applyFont="1" applyFill="1" applyAlignment="1" applyProtection="1">
      <alignment horizontal="left"/>
      <protection hidden="1"/>
    </xf>
    <xf numFmtId="0" fontId="49" fillId="10" borderId="69"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6" borderId="78"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75" xfId="0" applyFont="1" applyFill="1" applyBorder="1" applyAlignment="1" applyProtection="1">
      <alignment horizontal="center" vertical="top"/>
      <protection hidden="1"/>
    </xf>
    <xf numFmtId="0" fontId="49" fillId="16" borderId="0" xfId="0" applyFont="1" applyFill="1" applyAlignment="1" applyProtection="1">
      <alignment horizontal="center" vertical="center"/>
      <protection hidden="1"/>
    </xf>
    <xf numFmtId="0" fontId="49" fillId="16" borderId="74" xfId="0" applyFont="1" applyFill="1" applyBorder="1" applyAlignment="1" applyProtection="1">
      <alignment horizontal="center" vertical="center"/>
      <protection hidden="1"/>
    </xf>
    <xf numFmtId="0" fontId="50" fillId="4" borderId="118" xfId="0" applyFont="1" applyFill="1" applyBorder="1" applyAlignment="1" applyProtection="1">
      <alignment horizontal="left"/>
      <protection hidden="1"/>
    </xf>
    <xf numFmtId="0" fontId="50" fillId="4" borderId="118" xfId="0" applyFont="1" applyFill="1" applyBorder="1" applyAlignment="1" applyProtection="1">
      <alignment horizontal="center" vertical="center"/>
      <protection hidden="1"/>
    </xf>
    <xf numFmtId="0" fontId="49" fillId="4" borderId="118" xfId="0" applyFont="1" applyFill="1" applyBorder="1" applyAlignment="1" applyProtection="1">
      <alignment horizontal="center" vertical="center"/>
      <protection hidden="1"/>
    </xf>
    <xf numFmtId="0" fontId="49" fillId="4" borderId="122" xfId="0" applyFont="1" applyFill="1" applyBorder="1" applyAlignment="1" applyProtection="1">
      <alignment horizontal="center" vertical="center"/>
      <protection hidden="1"/>
    </xf>
    <xf numFmtId="0" fontId="50" fillId="10" borderId="68"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7" xfId="0" applyFont="1" applyFill="1" applyBorder="1" applyAlignment="1" applyProtection="1">
      <alignment horizontal="center" vertical="center"/>
      <protection hidden="1"/>
    </xf>
    <xf numFmtId="0" fontId="49" fillId="11" borderId="67" xfId="0" applyFont="1" applyFill="1" applyBorder="1" applyAlignment="1" applyProtection="1">
      <alignment horizontal="center" vertical="center"/>
      <protection hidden="1"/>
    </xf>
    <xf numFmtId="0" fontId="49" fillId="11" borderId="72" xfId="0" applyFont="1" applyFill="1" applyBorder="1" applyAlignment="1" applyProtection="1">
      <alignment horizontal="center" vertical="center"/>
      <protection hidden="1"/>
    </xf>
    <xf numFmtId="0" fontId="8" fillId="18"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left"/>
      <protection hidden="1"/>
    </xf>
    <xf numFmtId="0" fontId="49" fillId="4" borderId="50" xfId="0" applyFont="1" applyFill="1" applyBorder="1" applyAlignment="1" applyProtection="1">
      <alignment horizontal="center"/>
      <protection hidden="1"/>
    </xf>
    <xf numFmtId="0" fontId="49" fillId="4" borderId="50" xfId="0" applyFont="1" applyFill="1" applyBorder="1" applyProtection="1">
      <protection hidden="1"/>
    </xf>
    <xf numFmtId="0" fontId="49" fillId="3" borderId="48" xfId="0" applyFont="1" applyFill="1" applyBorder="1" applyAlignment="1" applyProtection="1">
      <alignment horizontal="left"/>
      <protection hidden="1"/>
    </xf>
    <xf numFmtId="0" fontId="49" fillId="3" borderId="48" xfId="0" applyFont="1" applyFill="1" applyBorder="1" applyProtection="1">
      <protection hidden="1"/>
    </xf>
    <xf numFmtId="0" fontId="49" fillId="3" borderId="51" xfId="0" applyFont="1" applyFill="1" applyBorder="1" applyProtection="1">
      <protection hidden="1"/>
    </xf>
    <xf numFmtId="0" fontId="8" fillId="24" borderId="47"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3" xfId="0" applyFont="1" applyFill="1" applyBorder="1" applyAlignment="1" applyProtection="1">
      <alignment horizontal="center" vertical="center"/>
      <protection hidden="1"/>
    </xf>
    <xf numFmtId="0" fontId="0" fillId="43" borderId="0" xfId="0" applyFill="1" applyAlignment="1" applyProtection="1">
      <alignment horizontal="left"/>
      <protection hidden="1"/>
    </xf>
    <xf numFmtId="0" fontId="0" fillId="43" borderId="0" xfId="0" applyFill="1" applyAlignment="1" applyProtection="1">
      <alignment horizontal="center"/>
      <protection hidden="1"/>
    </xf>
    <xf numFmtId="0" fontId="49" fillId="10" borderId="72"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58" fillId="43" borderId="77" xfId="0" applyFont="1" applyFill="1" applyBorder="1" applyAlignment="1" applyProtection="1">
      <alignment horizontal="right" vertical="center"/>
      <protection hidden="1"/>
    </xf>
    <xf numFmtId="0" fontId="49" fillId="16" borderId="75"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8" fillId="20" borderId="45" xfId="0" applyFont="1" applyFill="1" applyBorder="1" applyAlignment="1" applyProtection="1">
      <alignment horizontal="center" vertical="center"/>
      <protection hidden="1"/>
    </xf>
    <xf numFmtId="0" fontId="8" fillId="25" borderId="45" xfId="0" applyFont="1" applyFill="1" applyBorder="1" applyAlignment="1" applyProtection="1">
      <alignment horizontal="center" vertical="center"/>
      <protection hidden="1"/>
    </xf>
    <xf numFmtId="0" fontId="49" fillId="10" borderId="75"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5" borderId="67" xfId="0" applyFont="1" applyFill="1" applyBorder="1" applyAlignment="1" applyProtection="1">
      <alignment horizontal="center" vertical="center"/>
      <protection hidden="1"/>
    </xf>
    <xf numFmtId="0" fontId="49" fillId="15" borderId="67" xfId="0" applyFont="1" applyFill="1" applyBorder="1" applyAlignment="1" applyProtection="1">
      <alignment horizontal="center" vertical="center"/>
      <protection hidden="1"/>
    </xf>
    <xf numFmtId="0" fontId="49" fillId="15" borderId="72" xfId="0" applyFont="1" applyFill="1" applyBorder="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8" fillId="20" borderId="47" xfId="0" applyFont="1" applyFill="1" applyBorder="1" applyAlignment="1" applyProtection="1">
      <alignment horizontal="center" vertical="center"/>
      <protection hidden="1"/>
    </xf>
    <xf numFmtId="0" fontId="8" fillId="25" borderId="47" xfId="0" applyFont="1" applyFill="1" applyBorder="1" applyAlignment="1" applyProtection="1">
      <alignment horizontal="center" vertical="center"/>
      <protection hidden="1"/>
    </xf>
    <xf numFmtId="0" fontId="49" fillId="16" borderId="81" xfId="0" applyFont="1" applyFill="1" applyBorder="1" applyAlignment="1" applyProtection="1">
      <alignment horizontal="center" vertical="center"/>
      <protection hidden="1"/>
    </xf>
    <xf numFmtId="0" fontId="51" fillId="43" borderId="0" xfId="0" applyFont="1" applyFill="1" applyAlignment="1" applyProtection="1">
      <alignment horizontal="centerContinuous"/>
      <protection hidden="1"/>
    </xf>
    <xf numFmtId="0" fontId="0" fillId="43" borderId="0" xfId="0" applyFill="1" applyAlignment="1" applyProtection="1">
      <alignment horizontal="centerContinuous"/>
      <protection hidden="1"/>
    </xf>
    <xf numFmtId="0" fontId="8" fillId="19"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49" fillId="11" borderId="75" xfId="0" applyFont="1" applyFill="1" applyBorder="1" applyAlignment="1" applyProtection="1">
      <alignment horizontal="center" vertical="center"/>
      <protection hidden="1"/>
    </xf>
    <xf numFmtId="0" fontId="8" fillId="19" borderId="45" xfId="0" applyFont="1" applyFill="1" applyBorder="1" applyAlignment="1" applyProtection="1">
      <alignment horizontal="center" vertical="center"/>
      <protection hidden="1"/>
    </xf>
    <xf numFmtId="0" fontId="8" fillId="26" borderId="45"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2" xfId="0" applyFill="1" applyBorder="1" applyAlignment="1" applyProtection="1">
      <alignment horizontal="center"/>
      <protection hidden="1"/>
    </xf>
    <xf numFmtId="0" fontId="49" fillId="30" borderId="0" xfId="0" applyFont="1" applyFill="1" applyAlignment="1" applyProtection="1">
      <alignment horizontal="center"/>
      <protection hidden="1"/>
    </xf>
    <xf numFmtId="0" fontId="8" fillId="19" borderId="47" xfId="0" applyFont="1" applyFill="1" applyBorder="1" applyAlignment="1" applyProtection="1">
      <alignment horizontal="center" vertical="center"/>
      <protection hidden="1"/>
    </xf>
    <xf numFmtId="0" fontId="8" fillId="26" borderId="47" xfId="0" applyFont="1" applyFill="1" applyBorder="1" applyAlignment="1" applyProtection="1">
      <alignment horizontal="center" vertical="center"/>
      <protection hidden="1"/>
    </xf>
    <xf numFmtId="0" fontId="49" fillId="31" borderId="0" xfId="0" applyFont="1" applyFill="1" applyAlignment="1" applyProtection="1">
      <alignment horizontal="center"/>
      <protection hidden="1"/>
    </xf>
    <xf numFmtId="0" fontId="58" fillId="43" borderId="79" xfId="0" applyFont="1" applyFill="1" applyBorder="1" applyProtection="1">
      <protection hidden="1"/>
    </xf>
    <xf numFmtId="0" fontId="49" fillId="17" borderId="80" xfId="0" applyFont="1" applyFill="1" applyBorder="1" applyAlignment="1" applyProtection="1">
      <alignment horizontal="center" vertical="center"/>
      <protection hidden="1"/>
    </xf>
    <xf numFmtId="0" fontId="58" fillId="43" borderId="77" xfId="0" applyFont="1" applyFill="1" applyBorder="1" applyProtection="1">
      <protection hidden="1"/>
    </xf>
    <xf numFmtId="0" fontId="50" fillId="3" borderId="67" xfId="0" applyFont="1" applyFill="1" applyBorder="1" applyAlignment="1" applyProtection="1">
      <alignment horizontal="center" vertical="center"/>
      <protection hidden="1"/>
    </xf>
    <xf numFmtId="0" fontId="49" fillId="3" borderId="67" xfId="0" applyFont="1" applyFill="1" applyBorder="1" applyAlignment="1" applyProtection="1">
      <alignment horizontal="center" vertical="center"/>
      <protection hidden="1"/>
    </xf>
    <xf numFmtId="0" fontId="49" fillId="3" borderId="72" xfId="0" applyFont="1" applyFill="1" applyBorder="1" applyAlignment="1" applyProtection="1">
      <alignment horizontal="center" vertical="center"/>
      <protection hidden="1"/>
    </xf>
    <xf numFmtId="0" fontId="58" fillId="43" borderId="80" xfId="0" applyFont="1" applyFill="1" applyBorder="1" applyProtection="1">
      <protection hidden="1"/>
    </xf>
    <xf numFmtId="0" fontId="49" fillId="32" borderId="0" xfId="0" applyFont="1" applyFill="1" applyAlignment="1" applyProtection="1">
      <alignment horizont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8" fillId="21" borderId="45" xfId="0" applyFont="1" applyFill="1" applyBorder="1" applyAlignment="1" applyProtection="1">
      <alignment horizontal="center" vertical="center"/>
      <protection hidden="1"/>
    </xf>
    <xf numFmtId="0" fontId="8" fillId="27" borderId="45" xfId="0" applyFont="1" applyFill="1" applyBorder="1" applyAlignment="1" applyProtection="1">
      <alignment horizontal="center" vertical="center"/>
      <protection hidden="1"/>
    </xf>
    <xf numFmtId="0" fontId="58" fillId="43" borderId="76" xfId="0" applyFont="1" applyFill="1" applyBorder="1" applyAlignment="1" applyProtection="1">
      <alignment horizontal="center" vertical="center"/>
      <protection hidden="1"/>
    </xf>
    <xf numFmtId="0" fontId="50" fillId="17" borderId="67" xfId="0" applyFont="1" applyFill="1" applyBorder="1" applyAlignment="1" applyProtection="1">
      <alignment horizontal="center" vertical="center"/>
      <protection hidden="1"/>
    </xf>
    <xf numFmtId="0" fontId="49" fillId="17" borderId="67" xfId="0" applyFont="1" applyFill="1" applyBorder="1" applyAlignment="1" applyProtection="1">
      <alignment horizontal="center" vertical="center"/>
      <protection hidden="1"/>
    </xf>
    <xf numFmtId="0" fontId="49" fillId="17" borderId="72" xfId="0" applyFont="1" applyFill="1" applyBorder="1" applyAlignment="1" applyProtection="1">
      <alignment horizontal="center" vertical="center"/>
      <protection hidden="1"/>
    </xf>
    <xf numFmtId="0" fontId="58" fillId="43" borderId="94" xfId="0" applyFont="1" applyFill="1" applyBorder="1" applyProtection="1">
      <protection hidden="1"/>
    </xf>
    <xf numFmtId="0" fontId="49" fillId="3" borderId="94" xfId="0" applyFont="1" applyFill="1" applyBorder="1" applyAlignment="1" applyProtection="1">
      <alignment horizontal="center" vertic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0" fillId="4" borderId="95" xfId="0" applyFill="1" applyBorder="1" applyAlignment="1" applyProtection="1">
      <alignment horizontal="center"/>
      <protection hidden="1"/>
    </xf>
    <xf numFmtId="0" fontId="8" fillId="21" borderId="47" xfId="0" applyFont="1" applyFill="1" applyBorder="1" applyAlignment="1" applyProtection="1">
      <alignment horizontal="center" vertical="center"/>
      <protection hidden="1"/>
    </xf>
    <xf numFmtId="0" fontId="8" fillId="27" borderId="47"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49" fillId="15" borderId="0" xfId="0" applyFont="1" applyFill="1" applyAlignment="1" applyProtection="1">
      <alignment horizontal="left" vertical="center"/>
      <protection hidden="1"/>
    </xf>
    <xf numFmtId="0" fontId="8" fillId="22" borderId="45" xfId="0" applyFont="1" applyFill="1" applyBorder="1" applyAlignment="1" applyProtection="1">
      <alignment horizontal="center" vertical="center"/>
      <protection hidden="1"/>
    </xf>
    <xf numFmtId="0" fontId="8" fillId="28" borderId="45" xfId="0" applyFont="1" applyFill="1" applyBorder="1" applyAlignment="1" applyProtection="1">
      <alignment horizontal="center" vertical="center"/>
      <protection hidden="1"/>
    </xf>
    <xf numFmtId="0" fontId="49" fillId="15" borderId="75" xfId="0" applyFont="1" applyFill="1" applyBorder="1" applyAlignment="1" applyProtection="1">
      <alignment horizontal="center" vertical="center"/>
      <protection hidden="1"/>
    </xf>
    <xf numFmtId="0" fontId="8" fillId="22" borderId="47" xfId="0" applyFont="1" applyFill="1" applyBorder="1" applyAlignment="1" applyProtection="1">
      <alignment horizontal="center" vertical="center"/>
      <protection hidden="1"/>
    </xf>
    <xf numFmtId="0" fontId="8" fillId="28" borderId="47"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8" fillId="29" borderId="42" xfId="0" applyFont="1" applyFill="1" applyBorder="1" applyAlignment="1" applyProtection="1">
      <alignment horizontal="center" vertical="center"/>
      <protection hidden="1"/>
    </xf>
    <xf numFmtId="0" fontId="8" fillId="23" borderId="45" xfId="0" applyFont="1" applyFill="1" applyBorder="1" applyAlignment="1" applyProtection="1">
      <alignment horizontal="center" vertical="center"/>
      <protection hidden="1"/>
    </xf>
    <xf numFmtId="0" fontId="8" fillId="29" borderId="45" xfId="0" applyFont="1" applyFill="1" applyBorder="1" applyAlignment="1" applyProtection="1">
      <alignment horizontal="center" vertical="center"/>
      <protection hidden="1"/>
    </xf>
    <xf numFmtId="0" fontId="8" fillId="23" borderId="47" xfId="0" applyFont="1" applyFill="1" applyBorder="1" applyAlignment="1" applyProtection="1">
      <alignment horizontal="center" vertical="center"/>
      <protection hidden="1"/>
    </xf>
    <xf numFmtId="0" fontId="8" fillId="29" borderId="47" xfId="0" applyFont="1" applyFill="1" applyBorder="1" applyAlignment="1" applyProtection="1">
      <alignment horizontal="center" vertical="center"/>
      <protection hidden="1"/>
    </xf>
    <xf numFmtId="0" fontId="0" fillId="10" borderId="0" xfId="0" applyFill="1" applyProtection="1">
      <protection hidden="1"/>
    </xf>
    <xf numFmtId="0" fontId="0" fillId="16" borderId="0" xfId="0" applyFill="1" applyProtection="1">
      <protection hidden="1"/>
    </xf>
    <xf numFmtId="0" fontId="0" fillId="3" borderId="0" xfId="0" applyFill="1" applyAlignment="1" applyProtection="1">
      <alignment horizontal="center" vertical="center"/>
      <protection hidden="1"/>
    </xf>
    <xf numFmtId="0" fontId="0" fillId="0" borderId="151" xfId="0" applyBorder="1" applyAlignment="1" applyProtection="1">
      <alignment horizontal="right"/>
      <protection hidden="1"/>
    </xf>
    <xf numFmtId="165" fontId="0" fillId="0" borderId="152" xfId="0" applyNumberFormat="1" applyBorder="1" applyProtection="1">
      <protection hidden="1"/>
    </xf>
    <xf numFmtId="165" fontId="58" fillId="0" borderId="152" xfId="0" applyNumberFormat="1" applyFont="1" applyBorder="1" applyProtection="1">
      <protection hidden="1"/>
    </xf>
    <xf numFmtId="165" fontId="7" fillId="0" borderId="152" xfId="0" applyNumberFormat="1" applyFont="1" applyBorder="1" applyProtection="1">
      <protection hidden="1"/>
    </xf>
    <xf numFmtId="165" fontId="0" fillId="0" borderId="153" xfId="0" applyNumberFormat="1" applyBorder="1" applyProtection="1">
      <protection hidden="1"/>
    </xf>
    <xf numFmtId="0" fontId="7" fillId="0" borderId="0" xfId="0" applyFont="1" applyAlignment="1" applyProtection="1">
      <alignment wrapText="1"/>
      <protection hidden="1"/>
    </xf>
    <xf numFmtId="0" fontId="7" fillId="0" borderId="0" xfId="0" applyFont="1" applyAlignment="1" applyProtection="1">
      <alignment horizontal="center"/>
      <protection hidden="1"/>
    </xf>
    <xf numFmtId="0" fontId="8" fillId="0" borderId="0" xfId="0" applyFont="1" applyAlignment="1" applyProtection="1">
      <alignment horizontal="center" vertical="center"/>
      <protection hidden="1"/>
    </xf>
    <xf numFmtId="0" fontId="18" fillId="0" borderId="0" xfId="0" applyFont="1" applyAlignment="1" applyProtection="1">
      <alignment horizontal="center"/>
      <protection hidden="1"/>
    </xf>
    <xf numFmtId="3" fontId="16" fillId="0" borderId="0" xfId="0" applyNumberFormat="1" applyFont="1" applyAlignment="1" applyProtection="1">
      <alignment horizontal="center" vertical="center"/>
      <protection hidden="1"/>
    </xf>
    <xf numFmtId="0" fontId="8" fillId="0" borderId="0" xfId="0" applyFont="1" applyAlignment="1">
      <alignment horizontal="center"/>
    </xf>
    <xf numFmtId="0" fontId="8" fillId="0" borderId="0" xfId="0" applyFont="1" applyAlignment="1">
      <alignment horizontal="center" wrapText="1"/>
    </xf>
    <xf numFmtId="0" fontId="98" fillId="0" borderId="0" xfId="0" applyFont="1" applyAlignment="1" applyProtection="1">
      <alignment horizontal="center"/>
      <protection hidden="1"/>
    </xf>
    <xf numFmtId="0" fontId="35" fillId="0" borderId="0" xfId="0" applyFont="1" applyAlignment="1" applyProtection="1">
      <alignment horizontal="center" vertical="center"/>
      <protection hidden="1"/>
    </xf>
    <xf numFmtId="0" fontId="98" fillId="0" borderId="0" xfId="0" applyFont="1" applyAlignment="1" applyProtection="1">
      <alignment horizontal="center" vertical="center"/>
      <protection hidden="1"/>
    </xf>
    <xf numFmtId="1" fontId="98" fillId="0" borderId="0" xfId="0" applyNumberFormat="1" applyFont="1" applyAlignment="1" applyProtection="1">
      <alignment horizontal="center"/>
      <protection hidden="1"/>
    </xf>
    <xf numFmtId="0" fontId="7" fillId="0" borderId="0" xfId="0" applyFont="1" applyAlignment="1" applyProtection="1">
      <alignment horizontal="right"/>
      <protection hidden="1"/>
    </xf>
    <xf numFmtId="1" fontId="95" fillId="0" borderId="0" xfId="0" applyNumberFormat="1" applyFont="1"/>
    <xf numFmtId="0" fontId="95" fillId="0" borderId="0" xfId="0" applyFont="1"/>
    <xf numFmtId="0" fontId="8" fillId="0" borderId="0" xfId="0" applyFont="1" applyAlignment="1" applyProtection="1">
      <alignment horizontal="right"/>
      <protection hidden="1"/>
    </xf>
    <xf numFmtId="0" fontId="7" fillId="0" borderId="0" xfId="0" applyFont="1" applyAlignment="1">
      <alignment horizontal="right"/>
    </xf>
    <xf numFmtId="1" fontId="7" fillId="0" borderId="0" xfId="0" applyNumberFormat="1" applyFont="1"/>
    <xf numFmtId="1" fontId="7" fillId="0" borderId="0" xfId="0" applyNumberFormat="1" applyFont="1" applyProtection="1">
      <protection hidden="1"/>
    </xf>
    <xf numFmtId="0" fontId="8" fillId="0" borderId="0" xfId="0" applyFont="1" applyAlignment="1">
      <alignment horizontal="center" vertical="center"/>
    </xf>
    <xf numFmtId="17" fontId="7" fillId="0" borderId="0" xfId="0" applyNumberFormat="1" applyFont="1"/>
    <xf numFmtId="0" fontId="8" fillId="0" borderId="0" xfId="0" applyFont="1" applyAlignment="1" applyProtection="1">
      <alignment vertical="center"/>
      <protection hidden="1"/>
    </xf>
    <xf numFmtId="0" fontId="8" fillId="0" borderId="0" xfId="0" applyFont="1" applyAlignment="1">
      <alignment horizontal="center" vertical="top"/>
    </xf>
    <xf numFmtId="0" fontId="8" fillId="0" borderId="0" xfId="0" applyFont="1" applyAlignment="1" applyProtection="1">
      <alignment horizontal="left" vertical="center"/>
      <protection hidden="1"/>
    </xf>
    <xf numFmtId="0" fontId="7" fillId="0" borderId="0" xfId="0" applyFont="1" applyAlignment="1" applyProtection="1">
      <alignment horizontal="left" vertical="center"/>
      <protection hidden="1"/>
    </xf>
    <xf numFmtId="0" fontId="16" fillId="0" borderId="0" xfId="0" applyFont="1" applyAlignment="1" applyProtection="1">
      <alignment horizontal="left" vertical="center"/>
      <protection hidden="1"/>
    </xf>
    <xf numFmtId="0" fontId="49" fillId="43" borderId="0" xfId="0" applyFont="1" applyFill="1" applyAlignment="1" applyProtection="1">
      <alignment horizontal="center" vertical="center"/>
      <protection locked="0" hidden="1"/>
    </xf>
    <xf numFmtId="0" fontId="99" fillId="43" borderId="0" xfId="0" applyFont="1" applyFill="1" applyAlignment="1" applyProtection="1">
      <alignment horizontal="center" vertical="center"/>
      <protection hidden="1"/>
    </xf>
    <xf numFmtId="0" fontId="7" fillId="12" borderId="0" xfId="0" applyFont="1" applyFill="1"/>
    <xf numFmtId="0" fontId="71" fillId="46" borderId="138" xfId="0" applyFont="1" applyFill="1" applyBorder="1" applyAlignment="1" applyProtection="1">
      <alignment horizontal="center" vertical="center"/>
      <protection locked="0" hidden="1"/>
    </xf>
    <xf numFmtId="0" fontId="71" fillId="46" borderId="139" xfId="0" applyFont="1" applyFill="1" applyBorder="1" applyAlignment="1" applyProtection="1">
      <alignment horizontal="center" vertical="center"/>
      <protection locked="0" hidden="1"/>
    </xf>
    <xf numFmtId="0" fontId="26" fillId="14" borderId="9"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10" xfId="0" applyFont="1" applyFill="1" applyBorder="1" applyAlignment="1">
      <alignment horizontal="center" vertical="center" wrapText="1"/>
    </xf>
    <xf numFmtId="0" fontId="26" fillId="14" borderId="11" xfId="0" applyFont="1" applyFill="1" applyBorder="1" applyAlignment="1">
      <alignment horizontal="center" vertical="center" wrapText="1"/>
    </xf>
    <xf numFmtId="0" fontId="26" fillId="14" borderId="12" xfId="0" applyFont="1" applyFill="1" applyBorder="1" applyAlignment="1">
      <alignment horizontal="center" vertical="center" wrapText="1"/>
    </xf>
    <xf numFmtId="0" fontId="26" fillId="14" borderId="13" xfId="0" applyFont="1" applyFill="1" applyBorder="1" applyAlignment="1">
      <alignment horizontal="center" vertical="center" wrapText="1"/>
    </xf>
    <xf numFmtId="14" fontId="17" fillId="23" borderId="45" xfId="0" applyNumberFormat="1" applyFont="1" applyFill="1" applyBorder="1" applyAlignment="1" applyProtection="1">
      <alignment horizontal="center" vertical="center" textRotation="2"/>
      <protection hidden="1"/>
    </xf>
    <xf numFmtId="14" fontId="17" fillId="23" borderId="47" xfId="0" applyNumberFormat="1" applyFont="1" applyFill="1" applyBorder="1" applyAlignment="1" applyProtection="1">
      <alignment horizontal="center" vertical="center" textRotation="2"/>
      <protection hidden="1"/>
    </xf>
    <xf numFmtId="14" fontId="17" fillId="25" borderId="45" xfId="0" applyNumberFormat="1" applyFont="1" applyFill="1" applyBorder="1" applyAlignment="1" applyProtection="1">
      <alignment horizontal="center" vertical="center" textRotation="2"/>
      <protection hidden="1"/>
    </xf>
    <xf numFmtId="14" fontId="17" fillId="25" borderId="47" xfId="0" applyNumberFormat="1" applyFont="1" applyFill="1" applyBorder="1" applyAlignment="1" applyProtection="1">
      <alignment horizontal="center" vertical="center" textRotation="2"/>
      <protection hidden="1"/>
    </xf>
    <xf numFmtId="14" fontId="17" fillId="27" borderId="45" xfId="0" applyNumberFormat="1" applyFont="1" applyFill="1" applyBorder="1" applyAlignment="1" applyProtection="1">
      <alignment horizontal="center" vertical="center" textRotation="2"/>
      <protection hidden="1"/>
    </xf>
    <xf numFmtId="14" fontId="17" fillId="27" borderId="47" xfId="0" applyNumberFormat="1" applyFont="1" applyFill="1" applyBorder="1" applyAlignment="1" applyProtection="1">
      <alignment horizontal="center" vertical="center" textRotation="2"/>
      <protection hidden="1"/>
    </xf>
    <xf numFmtId="14" fontId="17" fillId="29" borderId="45" xfId="0" applyNumberFormat="1" applyFont="1" applyFill="1" applyBorder="1" applyAlignment="1" applyProtection="1">
      <alignment horizontal="center" vertical="center" textRotation="2"/>
      <protection hidden="1"/>
    </xf>
    <xf numFmtId="14" fontId="17" fillId="29" borderId="47" xfId="0" applyNumberFormat="1" applyFont="1" applyFill="1" applyBorder="1" applyAlignment="1" applyProtection="1">
      <alignment horizontal="center" vertical="center" textRotation="2"/>
      <protection hidden="1"/>
    </xf>
    <xf numFmtId="14" fontId="17" fillId="26" borderId="45" xfId="0" applyNumberFormat="1" applyFont="1" applyFill="1" applyBorder="1" applyAlignment="1" applyProtection="1">
      <alignment horizontal="center" vertical="center" textRotation="2"/>
      <protection hidden="1"/>
    </xf>
    <xf numFmtId="14" fontId="17" fillId="26" borderId="47" xfId="0" applyNumberFormat="1" applyFont="1" applyFill="1" applyBorder="1" applyAlignment="1" applyProtection="1">
      <alignment horizontal="center" vertical="center" textRotation="2"/>
      <protection hidden="1"/>
    </xf>
    <xf numFmtId="14" fontId="17" fillId="28" borderId="45" xfId="0" applyNumberFormat="1" applyFont="1" applyFill="1" applyBorder="1" applyAlignment="1" applyProtection="1">
      <alignment horizontal="center" vertical="center" textRotation="2"/>
      <protection hidden="1"/>
    </xf>
    <xf numFmtId="14" fontId="17" fillId="28" borderId="47" xfId="0" applyNumberFormat="1" applyFont="1" applyFill="1" applyBorder="1" applyAlignment="1" applyProtection="1">
      <alignment horizontal="center" vertical="center" textRotation="2"/>
      <protection hidden="1"/>
    </xf>
    <xf numFmtId="14" fontId="32" fillId="36" borderId="45" xfId="0" applyNumberFormat="1" applyFont="1" applyFill="1" applyBorder="1" applyAlignment="1" applyProtection="1">
      <alignment horizontal="center" vertical="center" textRotation="2"/>
      <protection hidden="1"/>
    </xf>
    <xf numFmtId="14" fontId="32" fillId="36" borderId="47" xfId="0" applyNumberFormat="1" applyFont="1" applyFill="1" applyBorder="1" applyAlignment="1" applyProtection="1">
      <alignment horizontal="center" vertical="center" textRotation="2"/>
      <protection hidden="1"/>
    </xf>
    <xf numFmtId="14" fontId="33" fillId="37" borderId="60" xfId="0" quotePrefix="1" applyNumberFormat="1" applyFont="1" applyFill="1" applyBorder="1" applyAlignment="1" applyProtection="1">
      <alignment horizontal="center" vertical="center"/>
      <protection hidden="1"/>
    </xf>
    <xf numFmtId="14" fontId="33" fillId="37" borderId="59" xfId="0" quotePrefix="1" applyNumberFormat="1" applyFont="1" applyFill="1" applyBorder="1" applyAlignment="1" applyProtection="1">
      <alignment horizontal="center" vertical="center"/>
      <protection hidden="1"/>
    </xf>
    <xf numFmtId="14" fontId="33" fillId="36" borderId="60" xfId="0" quotePrefix="1" applyNumberFormat="1" applyFont="1" applyFill="1" applyBorder="1" applyAlignment="1" applyProtection="1">
      <alignment horizontal="center" vertical="center"/>
      <protection hidden="1"/>
    </xf>
    <xf numFmtId="14" fontId="33" fillId="36" borderId="59" xfId="0" quotePrefix="1" applyNumberFormat="1" applyFont="1" applyFill="1" applyBorder="1" applyAlignment="1" applyProtection="1">
      <alignment horizontal="center" vertical="center"/>
      <protection hidden="1"/>
    </xf>
    <xf numFmtId="14" fontId="34" fillId="37" borderId="111" xfId="0" quotePrefix="1" applyNumberFormat="1" applyFont="1" applyFill="1" applyBorder="1" applyAlignment="1" applyProtection="1">
      <alignment horizontal="center" vertical="center"/>
      <protection hidden="1"/>
    </xf>
    <xf numFmtId="14" fontId="34" fillId="37" borderId="112" xfId="0" quotePrefix="1" applyNumberFormat="1" applyFont="1" applyFill="1" applyBorder="1" applyAlignment="1" applyProtection="1">
      <alignment horizontal="center" vertical="center"/>
      <protection hidden="1"/>
    </xf>
    <xf numFmtId="14" fontId="17" fillId="24" borderId="45" xfId="0" applyNumberFormat="1" applyFont="1" applyFill="1" applyBorder="1" applyAlignment="1" applyProtection="1">
      <alignment horizontal="center" vertical="center" textRotation="2"/>
      <protection hidden="1"/>
    </xf>
    <xf numFmtId="14" fontId="17" fillId="24" borderId="47" xfId="0" applyNumberFormat="1" applyFont="1" applyFill="1" applyBorder="1" applyAlignment="1" applyProtection="1">
      <alignment horizontal="center" vertical="center" textRotation="2"/>
      <protection hidden="1"/>
    </xf>
    <xf numFmtId="14" fontId="17" fillId="34" borderId="45" xfId="0" applyNumberFormat="1" applyFont="1" applyFill="1" applyBorder="1" applyAlignment="1" applyProtection="1">
      <alignment horizontal="center" vertical="center" textRotation="2"/>
      <protection hidden="1"/>
    </xf>
    <xf numFmtId="14" fontId="17" fillId="34" borderId="47" xfId="0" applyNumberFormat="1" applyFont="1" applyFill="1" applyBorder="1" applyAlignment="1" applyProtection="1">
      <alignment horizontal="center" vertical="center" textRotation="2"/>
      <protection hidden="1"/>
    </xf>
    <xf numFmtId="14" fontId="17" fillId="20" borderId="45" xfId="0" applyNumberFormat="1" applyFont="1" applyFill="1" applyBorder="1" applyAlignment="1" applyProtection="1">
      <alignment horizontal="center" vertical="center" textRotation="2"/>
      <protection hidden="1"/>
    </xf>
    <xf numFmtId="14" fontId="17" fillId="20" borderId="47" xfId="0" applyNumberFormat="1" applyFont="1" applyFill="1" applyBorder="1" applyAlignment="1" applyProtection="1">
      <alignment horizontal="center" vertical="center" textRotation="2"/>
      <protection hidden="1"/>
    </xf>
    <xf numFmtId="0" fontId="52" fillId="43" borderId="0" xfId="0" applyFont="1" applyFill="1" applyAlignment="1" applyProtection="1">
      <alignment horizontal="center" vertical="center"/>
      <protection hidden="1"/>
    </xf>
    <xf numFmtId="0" fontId="12" fillId="14" borderId="6" xfId="0" applyFont="1" applyFill="1" applyBorder="1" applyAlignment="1" applyProtection="1">
      <alignment horizontal="center" vertical="center" wrapText="1"/>
      <protection hidden="1"/>
    </xf>
    <xf numFmtId="0" fontId="12" fillId="14" borderId="7" xfId="0" applyFont="1" applyFill="1" applyBorder="1" applyAlignment="1" applyProtection="1">
      <alignment horizontal="center" vertical="center" wrapText="1"/>
      <protection hidden="1"/>
    </xf>
    <xf numFmtId="0" fontId="12" fillId="14" borderId="8" xfId="0" applyFont="1" applyFill="1" applyBorder="1" applyAlignment="1" applyProtection="1">
      <alignment horizontal="center" vertical="center" wrapText="1"/>
      <protection hidden="1"/>
    </xf>
    <xf numFmtId="0" fontId="12" fillId="14" borderId="9" xfId="0" applyFont="1" applyFill="1" applyBorder="1" applyAlignment="1" applyProtection="1">
      <alignment horizontal="center" vertical="center" wrapText="1"/>
      <protection hidden="1"/>
    </xf>
    <xf numFmtId="0" fontId="12" fillId="14" borderId="0" xfId="0" applyFont="1" applyFill="1" applyAlignment="1" applyProtection="1">
      <alignment horizontal="center" vertical="center" wrapText="1"/>
      <protection hidden="1"/>
    </xf>
    <xf numFmtId="0" fontId="12" fillId="14" borderId="10" xfId="0" applyFont="1" applyFill="1" applyBorder="1" applyAlignment="1" applyProtection="1">
      <alignment horizontal="center" vertical="center" wrapText="1"/>
      <protection hidden="1"/>
    </xf>
    <xf numFmtId="14" fontId="17" fillId="35" borderId="45" xfId="0" applyNumberFormat="1" applyFont="1" applyFill="1" applyBorder="1" applyAlignment="1" applyProtection="1">
      <alignment horizontal="center" vertical="center" textRotation="2"/>
      <protection hidden="1"/>
    </xf>
    <xf numFmtId="14" fontId="17" fillId="35" borderId="47" xfId="0" applyNumberFormat="1" applyFont="1" applyFill="1" applyBorder="1" applyAlignment="1" applyProtection="1">
      <alignment horizontal="center" vertical="center" textRotation="2"/>
      <protection hidden="1"/>
    </xf>
    <xf numFmtId="14" fontId="17" fillId="21" borderId="45" xfId="0" applyNumberFormat="1" applyFont="1" applyFill="1" applyBorder="1" applyAlignment="1" applyProtection="1">
      <alignment horizontal="center" vertical="center" textRotation="2"/>
      <protection hidden="1"/>
    </xf>
    <xf numFmtId="14" fontId="17" fillId="21" borderId="47" xfId="0" applyNumberFormat="1" applyFont="1" applyFill="1" applyBorder="1" applyAlignment="1" applyProtection="1">
      <alignment horizontal="center" vertical="center" textRotation="2"/>
      <protection hidden="1"/>
    </xf>
    <xf numFmtId="14" fontId="17" fillId="22" borderId="45" xfId="0" applyNumberFormat="1" applyFont="1" applyFill="1" applyBorder="1" applyAlignment="1" applyProtection="1">
      <alignment horizontal="center" vertical="center" textRotation="2"/>
      <protection hidden="1"/>
    </xf>
    <xf numFmtId="14" fontId="17" fillId="22" borderId="47" xfId="0" applyNumberFormat="1" applyFont="1" applyFill="1" applyBorder="1" applyAlignment="1" applyProtection="1">
      <alignment horizontal="center" vertical="center" textRotation="2"/>
      <protection hidden="1"/>
    </xf>
    <xf numFmtId="0" fontId="45" fillId="45" borderId="143" xfId="27" applyFont="1" applyFill="1" applyBorder="1" applyAlignment="1" applyProtection="1">
      <alignment horizontal="center" vertical="center"/>
      <protection hidden="1"/>
    </xf>
    <xf numFmtId="0" fontId="45" fillId="45" borderId="144" xfId="27" applyFont="1" applyFill="1" applyBorder="1" applyAlignment="1" applyProtection="1">
      <alignment horizontal="center" vertical="center"/>
      <protection hidden="1"/>
    </xf>
    <xf numFmtId="0" fontId="45" fillId="45" borderId="145" xfId="27" applyFont="1" applyFill="1" applyBorder="1" applyAlignment="1" applyProtection="1">
      <alignment horizontal="center" vertical="center"/>
      <protection hidden="1"/>
    </xf>
    <xf numFmtId="0" fontId="44" fillId="43" borderId="0" xfId="27" applyFont="1" applyFill="1" applyBorder="1" applyAlignment="1" applyProtection="1">
      <alignment horizontal="center" vertical="center" wrapText="1"/>
      <protection hidden="1"/>
    </xf>
    <xf numFmtId="0" fontId="44" fillId="43" borderId="0" xfId="0" applyFont="1" applyFill="1" applyAlignment="1" applyProtection="1">
      <alignment horizontal="center" vertical="center" wrapText="1"/>
      <protection hidden="1"/>
    </xf>
    <xf numFmtId="0" fontId="78" fillId="43" borderId="0" xfId="0" applyFont="1" applyFill="1" applyAlignment="1" applyProtection="1">
      <alignment horizontal="center" vertical="center"/>
      <protection hidden="1"/>
    </xf>
    <xf numFmtId="0" fontId="53" fillId="43" borderId="0" xfId="27" applyFont="1" applyFill="1" applyBorder="1" applyAlignment="1" applyProtection="1">
      <alignment horizontal="left" vertical="center" wrapText="1"/>
      <protection hidden="1"/>
    </xf>
    <xf numFmtId="0" fontId="53" fillId="43"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3"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7" borderId="0" xfId="0" quotePrefix="1" applyNumberFormat="1" applyFont="1" applyFill="1" applyAlignment="1" applyProtection="1">
      <alignment horizontal="center" vertical="top"/>
      <protection hidden="1"/>
    </xf>
    <xf numFmtId="14" fontId="84" fillId="36"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4" borderId="0" xfId="0" applyNumberFormat="1" applyFont="1" applyFill="1" applyAlignment="1" applyProtection="1">
      <alignment horizontal="center" vertical="center" textRotation="2"/>
      <protection hidden="1"/>
    </xf>
    <xf numFmtId="0" fontId="91" fillId="14" borderId="0" xfId="0" applyFont="1" applyFill="1" applyAlignment="1">
      <alignment horizontal="center" vertical="top"/>
    </xf>
    <xf numFmtId="0" fontId="91" fillId="14"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3"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8" borderId="0" xfId="0" applyFont="1" applyFill="1" applyAlignment="1">
      <alignment horizontal="left" vertical="center" wrapText="1"/>
    </xf>
    <xf numFmtId="0" fontId="48" fillId="48"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3" borderId="125" xfId="90" applyFont="1" applyFill="1" applyBorder="1" applyAlignment="1" applyProtection="1">
      <alignment horizontal="left" vertical="center" wrapText="1"/>
      <protection hidden="1"/>
    </xf>
    <xf numFmtId="0" fontId="49" fillId="43" borderId="126" xfId="90" applyFont="1" applyFill="1" applyBorder="1" applyAlignment="1" applyProtection="1">
      <alignment horizontal="left" vertical="center" wrapText="1"/>
      <protection hidden="1"/>
    </xf>
    <xf numFmtId="0" fontId="49" fillId="43" borderId="127" xfId="90" applyFont="1" applyFill="1" applyBorder="1" applyAlignment="1" applyProtection="1">
      <alignment horizontal="left" vertical="center" wrapText="1"/>
      <protection hidden="1"/>
    </xf>
    <xf numFmtId="0" fontId="49" fillId="43" borderId="128" xfId="90" applyFont="1" applyFill="1" applyBorder="1" applyAlignment="1" applyProtection="1">
      <alignment horizontal="left" vertical="center" wrapText="1"/>
      <protection hidden="1"/>
    </xf>
    <xf numFmtId="0" fontId="49" fillId="43" borderId="0" xfId="90" applyFont="1" applyFill="1" applyAlignment="1" applyProtection="1">
      <alignment horizontal="left" vertical="center" wrapText="1"/>
      <protection hidden="1"/>
    </xf>
    <xf numFmtId="0" fontId="49" fillId="43" borderId="129" xfId="90" applyFont="1" applyFill="1" applyBorder="1" applyAlignment="1" applyProtection="1">
      <alignment horizontal="left" vertical="center" wrapText="1"/>
      <protection hidden="1"/>
    </xf>
    <xf numFmtId="0" fontId="49" fillId="43" borderId="130" xfId="90" applyFont="1" applyFill="1" applyBorder="1" applyAlignment="1" applyProtection="1">
      <alignment horizontal="left" vertical="center" wrapText="1"/>
      <protection hidden="1"/>
    </xf>
    <xf numFmtId="0" fontId="49" fillId="43" borderId="131" xfId="90" applyFont="1" applyFill="1" applyBorder="1" applyAlignment="1" applyProtection="1">
      <alignment horizontal="left" vertical="center" wrapText="1"/>
      <protection hidden="1"/>
    </xf>
    <xf numFmtId="0" fontId="49" fillId="43" borderId="132" xfId="90" applyFont="1" applyFill="1" applyBorder="1" applyAlignment="1" applyProtection="1">
      <alignment horizontal="left" vertical="center" wrapText="1"/>
      <protection hidden="1"/>
    </xf>
    <xf numFmtId="0" fontId="76" fillId="45" borderId="143" xfId="0" applyFont="1" applyFill="1" applyBorder="1" applyAlignment="1">
      <alignment horizontal="center" vertical="center"/>
    </xf>
    <xf numFmtId="0" fontId="76" fillId="45" borderId="144" xfId="0" applyFont="1" applyFill="1" applyBorder="1" applyAlignment="1">
      <alignment horizontal="center" vertical="center"/>
    </xf>
    <xf numFmtId="0" fontId="76" fillId="45" borderId="145" xfId="0" applyFont="1" applyFill="1" applyBorder="1" applyAlignment="1">
      <alignment horizontal="center" vertical="center"/>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2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0"/>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0"/>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solid">
          <fgColor indexed="64"/>
          <bgColor theme="0"/>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65BBB0"/>
      <color rgb="FFEE7701"/>
      <color rgb="FFBFBFBF"/>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28" dataDxfId="27">
  <sortState xmlns:xlrd2="http://schemas.microsoft.com/office/spreadsheetml/2017/richdata2" ref="A2:D13">
    <sortCondition ref="D2:D13"/>
  </sortState>
  <tableColumns count="4">
    <tableColumn id="1" xr3:uid="{00000000-0010-0000-0B00-000001000000}" name="Num" dataDxfId="26">
      <calculatedColumnFormula>NOT(ISERROR(VLOOKUP(Equipos!$B2,#REF!,1,FALSE)))</calculatedColumnFormula>
    </tableColumn>
    <tableColumn id="2" xr3:uid="{00000000-0010-0000-0B00-000002000000}" name="NombreEquipo" dataDxfId="25">
      <calculatedColumnFormula>+INDEX(Idiomas!$D$199:$D$246,MATCH(T_Equipos[[#This Row],[Num]],Idiomas!$C$199:$C$246,0))</calculatedColumnFormula>
    </tableColumn>
    <tableColumn id="4" xr3:uid="{00000000-0010-0000-0B00-000004000000}" name="Grupo" dataDxfId="24"/>
    <tableColumn id="3" xr3:uid="{00000000-0010-0000-0B00-000003000000}" name="Rank" dataDxfId="2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GV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10.77734375" defaultRowHeight="13.8"/>
  <cols>
    <col min="1" max="1" width="3.77734375" style="308" customWidth="1"/>
    <col min="2" max="2" width="15.77734375" style="308" customWidth="1"/>
    <col min="3" max="3" width="26.77734375" style="308" customWidth="1"/>
    <col min="4" max="4" width="5.77734375" style="308" customWidth="1"/>
    <col min="5" max="9" width="11.33203125" style="329" customWidth="1"/>
    <col min="10" max="10" width="5.77734375" style="329" customWidth="1"/>
    <col min="11" max="11" width="26.77734375" style="329" customWidth="1"/>
    <col min="12" max="12" width="15.77734375" style="308" customWidth="1"/>
    <col min="13" max="13" width="10.44140625" style="308" customWidth="1"/>
    <col min="14" max="15" width="10.77734375" style="308" customWidth="1"/>
    <col min="16" max="16" width="12.109375" style="308" customWidth="1"/>
    <col min="17" max="17" width="6.109375" style="308" customWidth="1"/>
    <col min="18" max="16380" width="10.77734375" style="308" customWidth="1"/>
    <col min="16381" max="16384" width="10.77734375" style="308"/>
  </cols>
  <sheetData>
    <row r="1" spans="1:31">
      <c r="A1" s="307"/>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row>
    <row r="2" spans="1:31">
      <c r="A2" s="307"/>
      <c r="B2" s="307"/>
      <c r="C2" s="309"/>
      <c r="D2" s="307"/>
      <c r="E2" s="310"/>
      <c r="F2" s="310"/>
      <c r="G2" s="310"/>
      <c r="H2" s="310"/>
      <c r="I2" s="310"/>
      <c r="J2" s="310"/>
      <c r="K2" s="310"/>
      <c r="L2" s="307"/>
      <c r="M2" s="307"/>
      <c r="N2" s="307"/>
      <c r="O2" s="307"/>
      <c r="P2" s="307"/>
      <c r="Q2" s="307"/>
      <c r="R2" s="307"/>
      <c r="S2" s="307"/>
      <c r="T2" s="307"/>
      <c r="U2" s="307"/>
      <c r="V2" s="307"/>
      <c r="W2" s="307"/>
      <c r="X2" s="307"/>
      <c r="Y2" s="307"/>
      <c r="Z2" s="307"/>
      <c r="AA2" s="307"/>
      <c r="AB2" s="307"/>
      <c r="AC2" s="307"/>
      <c r="AD2" s="307"/>
      <c r="AE2" s="307"/>
    </row>
    <row r="3" spans="1:31" ht="34.950000000000003" customHeight="1">
      <c r="A3" s="307"/>
      <c r="B3" s="703" t="str">
        <f>Idiomas!D8</f>
        <v>XXIII Mundial USA/MEX/CAN 2026</v>
      </c>
      <c r="C3" s="703"/>
      <c r="D3" s="703"/>
      <c r="E3" s="703"/>
      <c r="F3" s="703"/>
      <c r="G3" s="703"/>
      <c r="H3" s="703"/>
      <c r="I3" s="703"/>
      <c r="J3" s="703"/>
      <c r="K3" s="703"/>
      <c r="L3" s="703"/>
      <c r="M3" s="307"/>
      <c r="N3" s="307"/>
      <c r="O3" s="307"/>
      <c r="P3" s="307"/>
      <c r="Q3" s="307"/>
      <c r="R3" s="307"/>
      <c r="S3" s="307"/>
      <c r="T3" s="307"/>
      <c r="U3" s="307"/>
      <c r="V3" s="307"/>
      <c r="W3" s="307"/>
      <c r="X3" s="307"/>
      <c r="Y3" s="307"/>
      <c r="Z3" s="307"/>
      <c r="AA3" s="307"/>
      <c r="AB3" s="307"/>
      <c r="AC3" s="307"/>
      <c r="AD3" s="307"/>
      <c r="AE3" s="307"/>
    </row>
    <row r="4" spans="1:31" ht="15" customHeight="1">
      <c r="A4" s="307"/>
      <c r="B4" s="307"/>
      <c r="C4" s="307"/>
      <c r="D4" s="307"/>
      <c r="E4" s="310"/>
      <c r="F4" s="310"/>
      <c r="G4" s="310"/>
      <c r="H4" s="310"/>
      <c r="I4" s="310"/>
      <c r="J4" s="310"/>
      <c r="K4" s="310"/>
      <c r="L4" s="311"/>
      <c r="M4" s="307"/>
      <c r="N4" s="307"/>
      <c r="O4" s="307"/>
      <c r="P4" s="307"/>
      <c r="Q4" s="307"/>
      <c r="R4" s="307"/>
      <c r="S4" s="307"/>
      <c r="T4" s="307"/>
      <c r="U4" s="307"/>
      <c r="V4" s="307"/>
      <c r="W4" s="307"/>
      <c r="X4" s="307"/>
      <c r="Y4" s="307"/>
      <c r="Z4" s="307"/>
      <c r="AA4" s="307"/>
      <c r="AB4" s="307"/>
      <c r="AC4" s="307"/>
      <c r="AD4" s="307"/>
      <c r="AE4" s="307"/>
    </row>
    <row r="5" spans="1:31" ht="19.95" customHeight="1" thickBot="1">
      <c r="A5" s="307"/>
      <c r="B5" s="307"/>
      <c r="C5" s="312" t="str">
        <f>"📋 "&amp;Idiomas!D7</f>
        <v>📋 Selecciona idioma</v>
      </c>
      <c r="D5" s="307"/>
      <c r="E5" s="313"/>
      <c r="F5" s="313"/>
      <c r="G5" s="313"/>
      <c r="H5" s="313"/>
      <c r="I5" s="313"/>
      <c r="J5" s="313"/>
      <c r="K5" s="313"/>
      <c r="L5" s="314"/>
      <c r="M5" s="315"/>
      <c r="N5" s="315"/>
      <c r="O5" s="315"/>
      <c r="P5" s="307"/>
      <c r="Q5" s="307"/>
      <c r="R5" s="307"/>
      <c r="S5" s="307"/>
      <c r="T5" s="307"/>
      <c r="U5" s="307"/>
      <c r="V5" s="307"/>
      <c r="W5" s="307"/>
      <c r="X5" s="307"/>
      <c r="Y5" s="307"/>
      <c r="Z5" s="307"/>
      <c r="AA5" s="307"/>
      <c r="AB5" s="307"/>
      <c r="AC5" s="307"/>
      <c r="AD5" s="307"/>
      <c r="AE5" s="307"/>
    </row>
    <row r="6" spans="1:31" ht="25.05" customHeight="1" thickBot="1">
      <c r="A6" s="307"/>
      <c r="B6" s="22"/>
      <c r="C6" s="298" t="s">
        <v>230</v>
      </c>
      <c r="D6" s="307"/>
      <c r="E6" s="310"/>
      <c r="F6" s="310"/>
      <c r="G6" s="310"/>
      <c r="H6" s="310"/>
      <c r="I6" s="310"/>
      <c r="J6" s="310"/>
      <c r="K6" s="316" t="str">
        <f>Idiomas!D4</f>
        <v>Introducir resultados</v>
      </c>
      <c r="L6" s="307"/>
      <c r="M6" s="307"/>
      <c r="N6" s="307"/>
      <c r="O6" s="307"/>
      <c r="P6" s="307"/>
      <c r="Q6" s="307"/>
      <c r="R6" s="307"/>
      <c r="S6" s="307"/>
      <c r="T6" s="307"/>
      <c r="U6" s="307"/>
      <c r="V6" s="307"/>
      <c r="W6" s="307"/>
      <c r="X6" s="307"/>
      <c r="Y6" s="307"/>
      <c r="Z6" s="307"/>
      <c r="AA6" s="307"/>
      <c r="AB6" s="307"/>
      <c r="AC6" s="307"/>
      <c r="AD6" s="307"/>
      <c r="AE6" s="307"/>
    </row>
    <row r="7" spans="1:31" ht="19.95" customHeight="1" thickBot="1">
      <c r="A7" s="307"/>
      <c r="B7" s="317"/>
      <c r="C7" s="312" t="str">
        <f>"🕒 "&amp;Idiomas!D15</f>
        <v>🕒 Selecciona horario</v>
      </c>
      <c r="D7" s="307"/>
      <c r="E7" s="310"/>
      <c r="F7" s="310"/>
      <c r="G7" s="310"/>
      <c r="H7" s="310"/>
      <c r="I7" s="310"/>
      <c r="J7" s="310"/>
      <c r="K7" s="310"/>
      <c r="L7" s="307"/>
      <c r="M7" s="307"/>
      <c r="N7" s="307"/>
      <c r="O7" s="307"/>
      <c r="P7" s="307"/>
      <c r="Q7" s="307"/>
      <c r="R7" s="307"/>
      <c r="S7" s="307"/>
      <c r="T7" s="307"/>
      <c r="U7" s="307"/>
      <c r="V7" s="307"/>
      <c r="W7" s="307"/>
      <c r="X7" s="307"/>
      <c r="Y7" s="307"/>
      <c r="Z7" s="307"/>
      <c r="AA7" s="307"/>
      <c r="AB7" s="307"/>
      <c r="AC7" s="307"/>
      <c r="AD7" s="307"/>
      <c r="AE7" s="307"/>
    </row>
    <row r="8" spans="1:31" ht="25.05" customHeight="1" thickBot="1">
      <c r="A8" s="307"/>
      <c r="B8" s="22"/>
      <c r="C8" s="298" t="s">
        <v>40</v>
      </c>
      <c r="D8" s="307"/>
      <c r="E8" s="310"/>
      <c r="F8" s="310"/>
      <c r="G8" s="310"/>
      <c r="H8" s="310"/>
      <c r="I8" s="310"/>
      <c r="J8" s="310"/>
      <c r="K8" s="316" t="s">
        <v>1320</v>
      </c>
      <c r="L8" s="307"/>
      <c r="M8" s="307"/>
      <c r="N8" s="307"/>
      <c r="O8" s="307"/>
      <c r="P8" s="307"/>
      <c r="Q8" s="307"/>
      <c r="R8" s="307"/>
      <c r="S8" s="307"/>
      <c r="T8" s="307"/>
      <c r="U8" s="307"/>
      <c r="V8" s="307"/>
      <c r="W8" s="307"/>
      <c r="X8" s="307"/>
      <c r="Y8" s="307"/>
      <c r="Z8" s="307"/>
      <c r="AA8" s="307"/>
      <c r="AB8" s="307"/>
      <c r="AC8" s="307"/>
      <c r="AD8" s="307"/>
      <c r="AE8" s="307"/>
    </row>
    <row r="9" spans="1:31" ht="19.95" customHeight="1" thickBot="1">
      <c r="A9" s="307"/>
      <c r="B9" s="317"/>
      <c r="C9" s="312" t="str">
        <f>"✍️ "&amp;Idiomas!D46</f>
        <v>✍️ Escribe tu nombre</v>
      </c>
      <c r="D9" s="307"/>
      <c r="E9" s="310"/>
      <c r="F9" s="310"/>
      <c r="G9" s="310"/>
      <c r="H9" s="310"/>
      <c r="I9" s="310"/>
      <c r="J9" s="310"/>
      <c r="K9" s="310"/>
      <c r="L9" s="307"/>
      <c r="M9" s="307"/>
      <c r="N9" s="307"/>
      <c r="O9" s="307"/>
      <c r="P9" s="307"/>
      <c r="Q9" s="307"/>
      <c r="R9" s="307"/>
      <c r="S9" s="307"/>
      <c r="T9" s="307"/>
      <c r="U9" s="307"/>
      <c r="V9" s="307"/>
      <c r="W9" s="307"/>
      <c r="X9" s="307"/>
      <c r="Y9" s="307"/>
      <c r="Z9" s="307"/>
      <c r="AA9" s="307"/>
      <c r="AB9" s="307"/>
      <c r="AC9" s="307"/>
      <c r="AD9" s="307"/>
      <c r="AE9" s="307"/>
    </row>
    <row r="10" spans="1:31" ht="25.05" customHeight="1" thickBot="1">
      <c r="A10" s="307"/>
      <c r="B10" s="22"/>
      <c r="C10" s="298" t="str">
        <f>Idiomas!D45</f>
        <v>Nombre</v>
      </c>
      <c r="D10" s="307"/>
      <c r="E10" s="310"/>
      <c r="F10" s="310"/>
      <c r="G10" s="310"/>
      <c r="H10" s="310"/>
      <c r="I10" s="310"/>
      <c r="J10" s="310"/>
      <c r="K10" s="316" t="s">
        <v>1331</v>
      </c>
      <c r="L10" s="307"/>
      <c r="M10" s="307"/>
      <c r="N10" s="307"/>
      <c r="O10" s="307"/>
      <c r="P10" s="307"/>
      <c r="Q10" s="307"/>
      <c r="R10" s="307"/>
      <c r="S10" s="307"/>
      <c r="T10" s="307"/>
      <c r="U10" s="307"/>
      <c r="V10" s="307"/>
      <c r="W10" s="307"/>
      <c r="X10" s="307"/>
      <c r="Y10" s="307"/>
      <c r="Z10" s="307"/>
      <c r="AA10" s="307"/>
      <c r="AB10" s="307"/>
      <c r="AC10" s="307"/>
      <c r="AD10" s="307"/>
      <c r="AE10" s="307"/>
    </row>
    <row r="11" spans="1:31" ht="19.95" customHeight="1">
      <c r="A11" s="307"/>
      <c r="B11" s="307"/>
      <c r="C11" s="307"/>
      <c r="D11" s="307"/>
      <c r="E11" s="310"/>
      <c r="F11" s="310"/>
      <c r="G11" s="310"/>
      <c r="H11" s="310"/>
      <c r="I11" s="310"/>
      <c r="J11" s="310"/>
      <c r="K11" s="310"/>
      <c r="L11" s="307"/>
      <c r="M11" s="307"/>
      <c r="N11" s="307"/>
      <c r="O11" s="307"/>
      <c r="P11" s="307"/>
      <c r="Q11" s="307"/>
      <c r="R11" s="307"/>
      <c r="S11" s="307"/>
      <c r="T11" s="307"/>
      <c r="U11" s="307"/>
      <c r="V11" s="307"/>
      <c r="W11" s="307"/>
      <c r="X11" s="307"/>
      <c r="Y11" s="307"/>
      <c r="Z11" s="307"/>
      <c r="AA11" s="307"/>
      <c r="AB11" s="307"/>
      <c r="AC11" s="307"/>
      <c r="AD11" s="307"/>
      <c r="AE11" s="307"/>
    </row>
    <row r="12" spans="1:31" ht="25.05" customHeight="1">
      <c r="A12" s="307"/>
      <c r="B12" s="307"/>
      <c r="C12" s="307"/>
      <c r="D12" s="307"/>
      <c r="E12" s="310"/>
      <c r="F12" s="310"/>
      <c r="G12" s="310"/>
      <c r="H12" s="310"/>
      <c r="I12" s="310"/>
      <c r="J12" s="310"/>
      <c r="K12" s="310"/>
      <c r="L12" s="318"/>
      <c r="M12" s="307"/>
      <c r="N12" s="307"/>
      <c r="O12" s="307"/>
      <c r="P12" s="307"/>
      <c r="Q12" s="307"/>
      <c r="R12" s="307"/>
      <c r="S12" s="307"/>
      <c r="T12" s="307"/>
      <c r="U12" s="307"/>
      <c r="V12" s="307"/>
      <c r="W12" s="307"/>
      <c r="X12" s="307"/>
      <c r="Y12" s="307"/>
      <c r="Z12" s="307"/>
      <c r="AA12" s="307"/>
      <c r="AB12" s="307"/>
      <c r="AC12" s="307"/>
      <c r="AD12" s="307"/>
      <c r="AE12" s="307"/>
    </row>
    <row r="13" spans="1:31" ht="16.05" customHeight="1">
      <c r="A13" s="307"/>
      <c r="B13" s="307"/>
      <c r="C13" s="287"/>
      <c r="D13" s="307"/>
      <c r="E13" s="310"/>
      <c r="F13" s="310"/>
      <c r="G13" s="310"/>
      <c r="H13" s="310"/>
      <c r="I13" s="310"/>
      <c r="J13" s="310"/>
      <c r="K13" s="310"/>
      <c r="L13" s="307"/>
      <c r="M13" s="307"/>
      <c r="N13" s="307"/>
      <c r="O13" s="307"/>
      <c r="P13" s="307"/>
      <c r="Q13" s="307"/>
      <c r="R13" s="307"/>
      <c r="S13" s="307"/>
      <c r="T13" s="307"/>
      <c r="U13" s="307"/>
      <c r="V13" s="307"/>
      <c r="W13" s="307"/>
      <c r="X13" s="307"/>
      <c r="Y13" s="307"/>
      <c r="Z13" s="307"/>
      <c r="AA13" s="307"/>
      <c r="AB13" s="307"/>
      <c r="AC13" s="307"/>
      <c r="AD13" s="307"/>
      <c r="AE13" s="307"/>
    </row>
    <row r="14" spans="1:31" ht="15" customHeight="1">
      <c r="A14" s="307"/>
      <c r="B14" s="21"/>
      <c r="C14" s="21"/>
      <c r="D14" s="307"/>
      <c r="E14" s="310"/>
      <c r="F14" s="310"/>
      <c r="G14" s="310"/>
      <c r="H14" s="310"/>
      <c r="I14" s="310"/>
      <c r="J14" s="310"/>
      <c r="K14" s="310"/>
      <c r="L14" s="319"/>
      <c r="M14" s="307"/>
      <c r="N14" s="307"/>
      <c r="O14" s="307"/>
      <c r="P14" s="307"/>
      <c r="Q14" s="307"/>
      <c r="R14" s="307"/>
      <c r="S14" s="307"/>
      <c r="T14" s="307"/>
      <c r="U14" s="307"/>
      <c r="V14" s="307"/>
      <c r="W14" s="307"/>
      <c r="X14" s="307"/>
      <c r="Y14" s="307"/>
      <c r="Z14" s="307"/>
      <c r="AA14" s="307"/>
      <c r="AB14" s="307"/>
      <c r="AC14" s="307"/>
      <c r="AD14" s="307"/>
      <c r="AE14" s="307"/>
    </row>
    <row r="15" spans="1:31" ht="15" customHeight="1">
      <c r="A15" s="307"/>
      <c r="B15" s="21"/>
      <c r="C15" s="21"/>
      <c r="D15" s="307"/>
      <c r="E15" s="310"/>
      <c r="F15" s="310"/>
      <c r="G15" s="310"/>
      <c r="H15" s="310"/>
      <c r="I15" s="310"/>
      <c r="J15" s="310"/>
      <c r="K15" s="310"/>
      <c r="L15" s="318"/>
      <c r="M15" s="307"/>
      <c r="N15" s="307"/>
      <c r="O15" s="307"/>
      <c r="P15" s="307"/>
      <c r="Q15" s="307"/>
      <c r="R15" s="307"/>
      <c r="S15" s="307"/>
      <c r="T15" s="307"/>
      <c r="U15" s="307"/>
      <c r="V15" s="307"/>
      <c r="W15" s="307"/>
      <c r="X15" s="307"/>
      <c r="Y15" s="307"/>
      <c r="Z15" s="307"/>
      <c r="AA15" s="307"/>
      <c r="AB15" s="307"/>
      <c r="AC15" s="307"/>
      <c r="AD15" s="307"/>
      <c r="AE15" s="307"/>
    </row>
    <row r="16" spans="1:31" ht="40.049999999999997" customHeight="1" thickBot="1">
      <c r="A16" s="307"/>
      <c r="B16" s="307"/>
      <c r="C16" s="307"/>
      <c r="D16" s="307"/>
      <c r="E16" s="701" t="str">
        <f>HYPERLINK(Idiomas!D10,Idiomas!D5)</f>
        <v>Si quieres organizar una porra (quiniela) con tu grupo puedes descargar el archivo de adminsitrador desde el enlace de abajo</v>
      </c>
      <c r="F16" s="702"/>
      <c r="G16" s="702"/>
      <c r="H16" s="702"/>
      <c r="I16" s="702"/>
      <c r="J16" s="310"/>
      <c r="K16" s="320"/>
      <c r="L16" s="307"/>
      <c r="M16" s="307"/>
      <c r="N16" s="307"/>
      <c r="O16" s="307"/>
      <c r="P16" s="307"/>
      <c r="Q16" s="307"/>
      <c r="R16" s="307"/>
      <c r="S16" s="307"/>
      <c r="T16" s="307"/>
      <c r="U16" s="307"/>
      <c r="V16" s="307"/>
      <c r="W16" s="307"/>
      <c r="X16" s="307"/>
      <c r="Y16" s="307"/>
      <c r="Z16" s="307"/>
      <c r="AA16" s="307"/>
      <c r="AB16" s="307"/>
      <c r="AC16" s="307"/>
      <c r="AD16" s="307"/>
      <c r="AE16" s="307"/>
    </row>
    <row r="17" spans="1:31" ht="40.049999999999997" customHeight="1" thickBot="1">
      <c r="A17" s="307"/>
      <c r="B17" s="307"/>
      <c r="C17" s="307"/>
      <c r="D17" s="307"/>
      <c r="E17" s="698" t="str">
        <f>HYPERLINK(Idiomas!D10,Idiomas!D9)</f>
        <v>▼ Descargar Excel Administrador Porra ▼</v>
      </c>
      <c r="F17" s="699"/>
      <c r="G17" s="699"/>
      <c r="H17" s="699"/>
      <c r="I17" s="700"/>
      <c r="J17" s="310"/>
      <c r="K17" s="321" t="s">
        <v>1358</v>
      </c>
      <c r="L17" s="322"/>
      <c r="M17" s="307"/>
      <c r="N17" s="323"/>
      <c r="O17" s="324"/>
      <c r="P17" s="307"/>
      <c r="Q17" s="307"/>
      <c r="R17" s="307"/>
      <c r="S17" s="307"/>
      <c r="T17" s="307"/>
      <c r="U17" s="307"/>
      <c r="V17" s="307"/>
      <c r="W17" s="307"/>
      <c r="X17" s="307"/>
      <c r="Y17" s="307"/>
      <c r="Z17" s="307"/>
      <c r="AA17" s="307"/>
      <c r="AB17" s="307"/>
      <c r="AC17" s="307"/>
      <c r="AD17" s="307"/>
      <c r="AE17" s="307"/>
    </row>
    <row r="18" spans="1:31" ht="15" customHeight="1">
      <c r="A18" s="307"/>
      <c r="B18" s="307"/>
      <c r="C18" s="307"/>
      <c r="D18" s="307"/>
      <c r="E18" s="310"/>
      <c r="F18" s="310"/>
      <c r="G18" s="310"/>
      <c r="H18" s="310"/>
      <c r="I18" s="310"/>
      <c r="J18" s="310"/>
      <c r="K18" s="310"/>
      <c r="L18" s="307"/>
      <c r="M18" s="307"/>
      <c r="N18" s="307"/>
      <c r="O18" s="307"/>
      <c r="P18" s="307"/>
      <c r="Q18" s="307"/>
      <c r="R18" s="307"/>
      <c r="S18" s="307"/>
      <c r="T18" s="307"/>
      <c r="U18" s="307"/>
      <c r="V18" s="307"/>
      <c r="W18" s="307"/>
      <c r="X18" s="307"/>
      <c r="Y18" s="307"/>
      <c r="Z18" s="307"/>
      <c r="AA18" s="307"/>
      <c r="AB18" s="307"/>
      <c r="AC18" s="307"/>
      <c r="AD18" s="307"/>
      <c r="AE18" s="307"/>
    </row>
    <row r="19" spans="1:31">
      <c r="A19" s="307"/>
      <c r="B19" s="307"/>
      <c r="C19" s="307"/>
      <c r="D19" s="307"/>
      <c r="E19" s="310"/>
      <c r="F19" s="310"/>
      <c r="G19" s="310"/>
      <c r="H19" s="310"/>
      <c r="I19" s="310"/>
      <c r="J19" s="310"/>
      <c r="K19" s="310"/>
      <c r="L19" s="307"/>
      <c r="M19" s="307"/>
      <c r="N19" s="307"/>
      <c r="O19" s="307"/>
      <c r="P19" s="307"/>
      <c r="Q19" s="307"/>
      <c r="R19" s="307"/>
      <c r="S19" s="307"/>
      <c r="T19" s="307"/>
      <c r="U19" s="307"/>
      <c r="V19" s="307"/>
      <c r="W19" s="307"/>
      <c r="X19" s="307"/>
      <c r="Y19" s="307"/>
      <c r="Z19" s="307"/>
      <c r="AA19" s="307"/>
      <c r="AB19" s="307"/>
      <c r="AC19" s="307"/>
      <c r="AD19" s="307"/>
      <c r="AE19" s="307"/>
    </row>
    <row r="20" spans="1:31">
      <c r="A20" s="307"/>
      <c r="B20" s="307" t="s">
        <v>1319</v>
      </c>
      <c r="C20" s="307"/>
      <c r="D20" s="307"/>
      <c r="E20" s="310"/>
      <c r="F20" s="310"/>
      <c r="G20" s="310"/>
      <c r="H20" s="310"/>
      <c r="I20" s="310"/>
      <c r="J20" s="310"/>
      <c r="K20" s="310"/>
      <c r="L20" s="307"/>
      <c r="M20" s="307"/>
      <c r="N20" s="307"/>
      <c r="O20" s="307"/>
      <c r="P20" s="307"/>
      <c r="Q20" s="307"/>
      <c r="R20" s="307"/>
      <c r="S20" s="307"/>
      <c r="T20" s="307"/>
      <c r="U20" s="307"/>
      <c r="V20" s="307"/>
      <c r="W20" s="307"/>
      <c r="X20" s="307"/>
      <c r="Y20" s="307"/>
      <c r="Z20" s="307"/>
      <c r="AA20" s="307"/>
      <c r="AB20" s="307"/>
      <c r="AC20" s="307"/>
      <c r="AD20" s="307"/>
      <c r="AE20" s="307"/>
    </row>
    <row r="21" spans="1:31" ht="15" customHeight="1" thickBot="1">
      <c r="A21" s="307"/>
      <c r="B21" s="307" t="s">
        <v>1319</v>
      </c>
      <c r="C21" s="307"/>
      <c r="D21" s="307"/>
      <c r="E21" s="325" t="s">
        <v>1355</v>
      </c>
      <c r="F21" s="310"/>
      <c r="G21" s="310"/>
      <c r="H21" s="310"/>
      <c r="I21" s="310"/>
      <c r="J21" s="310"/>
      <c r="K21" s="310"/>
      <c r="L21" s="307"/>
      <c r="M21" s="307"/>
      <c r="N21" s="307"/>
      <c r="O21" s="318"/>
      <c r="P21" s="307"/>
      <c r="Q21" s="307"/>
      <c r="R21" s="307"/>
      <c r="S21" s="307"/>
      <c r="T21" s="307"/>
      <c r="U21" s="307"/>
      <c r="V21" s="307"/>
      <c r="W21" s="307"/>
      <c r="X21" s="307"/>
      <c r="Y21" s="307"/>
      <c r="Z21" s="307"/>
      <c r="AA21" s="307"/>
      <c r="AB21" s="307"/>
      <c r="AC21" s="307"/>
      <c r="AD21" s="307"/>
      <c r="AE21" s="307"/>
    </row>
    <row r="22" spans="1:31" ht="31.05" customHeight="1" thickBot="1">
      <c r="A22" s="307"/>
      <c r="B22" s="307" t="s">
        <v>1319</v>
      </c>
      <c r="C22" s="307"/>
      <c r="D22" s="307"/>
      <c r="E22" s="23" t="s">
        <v>1315</v>
      </c>
      <c r="F22" s="24" t="s">
        <v>1316</v>
      </c>
      <c r="G22" s="25" t="s">
        <v>1317</v>
      </c>
      <c r="H22" s="26" t="s">
        <v>13</v>
      </c>
      <c r="I22" s="326" t="s">
        <v>1318</v>
      </c>
      <c r="J22" s="310"/>
      <c r="K22" s="310"/>
      <c r="L22" s="307"/>
      <c r="M22" s="307"/>
      <c r="N22" s="307"/>
      <c r="O22" s="318"/>
      <c r="P22" s="307"/>
      <c r="Q22" s="307"/>
      <c r="R22" s="307"/>
      <c r="S22" s="307"/>
      <c r="T22" s="307"/>
      <c r="U22" s="307"/>
      <c r="V22" s="307"/>
      <c r="W22" s="307"/>
      <c r="X22" s="307"/>
      <c r="Y22" s="307"/>
      <c r="Z22" s="307"/>
      <c r="AA22" s="307"/>
      <c r="AB22" s="307"/>
      <c r="AC22" s="307"/>
      <c r="AD22" s="307"/>
      <c r="AE22" s="307"/>
    </row>
    <row r="23" spans="1:31" ht="19.95" customHeight="1" thickBot="1">
      <c r="A23" s="307"/>
      <c r="B23" s="307" t="s">
        <v>1319</v>
      </c>
      <c r="C23" s="307"/>
      <c r="D23" s="307"/>
      <c r="E23" s="310"/>
      <c r="F23" s="310"/>
      <c r="G23" s="310"/>
      <c r="H23" s="310"/>
      <c r="I23" s="310"/>
      <c r="J23" s="310"/>
      <c r="K23" s="305" t="s">
        <v>1339</v>
      </c>
      <c r="L23" s="306" t="str">
        <f>+Idiomas!D12</f>
        <v>Donar</v>
      </c>
      <c r="M23" s="307"/>
      <c r="N23" s="318"/>
      <c r="O23" s="318"/>
      <c r="P23" s="307"/>
      <c r="Q23" s="307"/>
      <c r="R23" s="307"/>
      <c r="S23" s="307"/>
      <c r="T23" s="307"/>
      <c r="U23" s="307"/>
      <c r="V23" s="307"/>
      <c r="W23" s="307"/>
      <c r="X23" s="307"/>
      <c r="Y23" s="307"/>
      <c r="Z23" s="307"/>
      <c r="AA23" s="307"/>
      <c r="AB23" s="307"/>
      <c r="AC23" s="307"/>
      <c r="AD23" s="307"/>
      <c r="AE23" s="307"/>
    </row>
    <row r="24" spans="1:31" ht="30" customHeight="1">
      <c r="A24" s="307"/>
      <c r="B24" s="704" t="str">
        <f>Idiomas!D11</f>
        <v>*Versión provisional hasta que se conozcan todos los participantes en marzo 2026</v>
      </c>
      <c r="C24" s="705"/>
      <c r="D24" s="307"/>
      <c r="E24" s="310"/>
      <c r="F24" s="310"/>
      <c r="G24" s="310"/>
      <c r="H24" s="327"/>
      <c r="I24" s="327"/>
      <c r="J24" s="310"/>
      <c r="K24" s="327"/>
      <c r="L24" s="318"/>
      <c r="M24" s="318"/>
      <c r="N24" s="318"/>
      <c r="O24" s="318"/>
      <c r="P24" s="307"/>
      <c r="Q24" s="307"/>
      <c r="R24" s="307"/>
      <c r="S24" s="307"/>
      <c r="T24" s="307"/>
      <c r="U24" s="307"/>
      <c r="V24" s="307"/>
      <c r="W24" s="307"/>
      <c r="X24" s="307"/>
      <c r="Y24" s="307"/>
      <c r="Z24" s="307"/>
      <c r="AA24" s="307"/>
      <c r="AB24" s="307"/>
      <c r="AC24" s="307"/>
      <c r="AD24" s="307"/>
      <c r="AE24" s="307"/>
    </row>
    <row r="25" spans="1:31">
      <c r="A25" s="307"/>
      <c r="B25" s="307"/>
      <c r="C25" s="307"/>
      <c r="D25" s="307"/>
      <c r="E25" s="310"/>
      <c r="F25" s="310"/>
      <c r="G25" s="310"/>
      <c r="H25" s="327"/>
      <c r="I25" s="327"/>
      <c r="J25" s="310"/>
      <c r="K25" s="327"/>
      <c r="L25" s="318"/>
      <c r="M25" s="318"/>
      <c r="N25" s="318"/>
      <c r="O25" s="318"/>
      <c r="P25" s="307"/>
      <c r="Q25" s="307"/>
      <c r="R25" s="307"/>
      <c r="S25" s="307"/>
      <c r="T25" s="307"/>
      <c r="U25" s="307"/>
      <c r="V25" s="307"/>
      <c r="W25" s="307"/>
      <c r="X25" s="307"/>
      <c r="Y25" s="307"/>
      <c r="Z25" s="307"/>
      <c r="AA25" s="307"/>
      <c r="AB25" s="307"/>
      <c r="AC25" s="307"/>
      <c r="AD25" s="307"/>
      <c r="AE25" s="307"/>
    </row>
    <row r="26" spans="1:31">
      <c r="A26" s="307"/>
      <c r="B26" s="307"/>
      <c r="C26" s="307"/>
      <c r="D26" s="307"/>
      <c r="E26" s="307"/>
      <c r="F26" s="307"/>
      <c r="G26" s="307"/>
      <c r="H26" s="307"/>
      <c r="I26" s="307"/>
      <c r="J26" s="310"/>
      <c r="K26" s="307"/>
      <c r="L26" s="307"/>
      <c r="M26" s="307"/>
      <c r="N26" s="307"/>
      <c r="O26" s="307"/>
      <c r="P26" s="307"/>
      <c r="Q26" s="307"/>
      <c r="R26" s="307"/>
      <c r="S26" s="307"/>
      <c r="T26" s="307"/>
      <c r="U26" s="307"/>
      <c r="V26" s="307"/>
      <c r="W26" s="307"/>
      <c r="X26" s="307"/>
      <c r="Y26" s="307"/>
      <c r="Z26" s="307"/>
      <c r="AA26" s="307"/>
      <c r="AB26" s="307"/>
      <c r="AC26" s="307"/>
      <c r="AD26" s="307"/>
      <c r="AE26" s="307"/>
    </row>
    <row r="27" spans="1:31">
      <c r="A27" s="307"/>
      <c r="B27" s="307"/>
      <c r="C27" s="307"/>
      <c r="D27" s="307"/>
      <c r="E27" s="307"/>
      <c r="F27" s="307"/>
      <c r="G27" s="307"/>
      <c r="H27" s="307"/>
      <c r="I27" s="307"/>
      <c r="J27" s="310"/>
      <c r="K27" s="307"/>
      <c r="L27" s="307"/>
      <c r="M27" s="307"/>
      <c r="N27" s="307"/>
      <c r="O27" s="307"/>
      <c r="P27" s="307"/>
      <c r="Q27" s="307"/>
      <c r="R27" s="307"/>
      <c r="S27" s="307"/>
      <c r="T27" s="307"/>
      <c r="U27" s="307"/>
      <c r="V27" s="307"/>
      <c r="W27" s="307"/>
      <c r="X27" s="307"/>
      <c r="Y27" s="307"/>
      <c r="Z27" s="307"/>
      <c r="AA27" s="307"/>
      <c r="AB27" s="307"/>
      <c r="AC27" s="307"/>
      <c r="AD27" s="307"/>
      <c r="AE27" s="307"/>
    </row>
    <row r="28" spans="1:31">
      <c r="A28" s="307"/>
      <c r="B28" s="307"/>
      <c r="C28" s="307"/>
      <c r="D28" s="307"/>
      <c r="E28" s="307"/>
      <c r="F28" s="307"/>
      <c r="G28" s="307"/>
      <c r="H28" s="307"/>
      <c r="I28" s="307"/>
      <c r="J28" s="310"/>
      <c r="K28" s="307"/>
      <c r="L28" s="307"/>
      <c r="M28" s="307"/>
      <c r="N28" s="307"/>
      <c r="O28" s="307"/>
      <c r="P28" s="307"/>
      <c r="Q28" s="307"/>
      <c r="R28" s="307"/>
      <c r="S28" s="307"/>
      <c r="T28" s="307"/>
      <c r="U28" s="307"/>
      <c r="V28" s="307"/>
      <c r="W28" s="307"/>
      <c r="X28" s="307"/>
      <c r="Y28" s="307"/>
      <c r="Z28" s="307"/>
      <c r="AA28" s="307"/>
      <c r="AB28" s="307"/>
      <c r="AC28" s="307"/>
      <c r="AD28" s="307"/>
      <c r="AE28" s="307"/>
    </row>
    <row r="29" spans="1:31">
      <c r="A29" s="307"/>
      <c r="B29" s="307"/>
      <c r="C29" s="307"/>
      <c r="D29" s="307"/>
      <c r="E29" s="307"/>
      <c r="F29" s="307"/>
      <c r="G29" s="307"/>
      <c r="H29" s="307"/>
      <c r="I29" s="307"/>
      <c r="J29" s="307"/>
      <c r="K29" s="307"/>
      <c r="L29" s="307"/>
      <c r="M29" s="307"/>
      <c r="N29" s="307"/>
      <c r="O29" s="307"/>
      <c r="P29" s="307"/>
      <c r="Q29" s="307"/>
      <c r="R29" s="307"/>
      <c r="S29" s="307"/>
      <c r="T29" s="307"/>
      <c r="U29" s="307"/>
      <c r="V29" s="307"/>
      <c r="W29" s="307"/>
      <c r="X29" s="307"/>
      <c r="Y29" s="307"/>
      <c r="Z29" s="307"/>
      <c r="AA29" s="307"/>
      <c r="AB29" s="307"/>
      <c r="AC29" s="307"/>
      <c r="AD29" s="307"/>
      <c r="AE29" s="307"/>
    </row>
    <row r="30" spans="1:31">
      <c r="A30" s="307"/>
      <c r="B30" s="307"/>
      <c r="C30" s="307"/>
      <c r="D30" s="307"/>
      <c r="E30" s="307"/>
      <c r="F30" s="307"/>
      <c r="G30" s="307"/>
      <c r="H30" s="307"/>
      <c r="I30" s="307"/>
      <c r="J30" s="307"/>
      <c r="K30" s="307"/>
      <c r="L30" s="307"/>
      <c r="M30" s="307"/>
      <c r="N30" s="307"/>
      <c r="O30" s="307"/>
      <c r="P30" s="307"/>
      <c r="Q30" s="307"/>
      <c r="R30" s="307"/>
      <c r="S30" s="307"/>
      <c r="T30" s="307"/>
      <c r="U30" s="307"/>
      <c r="V30" s="307"/>
      <c r="W30" s="307"/>
      <c r="X30" s="307"/>
      <c r="Y30" s="307"/>
      <c r="Z30" s="307"/>
      <c r="AA30" s="307"/>
      <c r="AB30" s="307"/>
      <c r="AC30" s="307"/>
      <c r="AD30" s="307"/>
      <c r="AE30" s="307"/>
    </row>
    <row r="31" spans="1:31">
      <c r="A31" s="307"/>
      <c r="B31" s="307"/>
      <c r="C31" s="307"/>
      <c r="D31" s="307"/>
      <c r="E31" s="307"/>
      <c r="F31" s="307"/>
      <c r="G31" s="307"/>
      <c r="H31" s="307"/>
      <c r="I31" s="307"/>
      <c r="J31" s="307"/>
      <c r="K31" s="307"/>
      <c r="L31" s="307"/>
      <c r="M31" s="307"/>
      <c r="N31" s="307"/>
      <c r="O31" s="307"/>
      <c r="P31" s="307"/>
      <c r="Q31" s="307"/>
      <c r="R31" s="307"/>
      <c r="S31" s="307"/>
      <c r="T31" s="307"/>
      <c r="U31" s="307"/>
      <c r="V31" s="307"/>
      <c r="W31" s="307"/>
      <c r="X31" s="307"/>
      <c r="Y31" s="307"/>
      <c r="Z31" s="307"/>
      <c r="AA31" s="307"/>
      <c r="AB31" s="307"/>
      <c r="AC31" s="307"/>
      <c r="AD31" s="307"/>
      <c r="AE31" s="307"/>
    </row>
    <row r="32" spans="1:31">
      <c r="A32" s="307"/>
      <c r="B32" s="307"/>
      <c r="C32" s="307"/>
      <c r="D32" s="307"/>
      <c r="E32" s="307"/>
      <c r="F32" s="307"/>
      <c r="G32" s="307"/>
      <c r="H32" s="307"/>
      <c r="I32" s="307"/>
      <c r="J32" s="307"/>
      <c r="K32" s="307"/>
      <c r="L32" s="307"/>
      <c r="M32" s="307"/>
      <c r="N32" s="307"/>
      <c r="O32" s="307"/>
      <c r="P32" s="307"/>
      <c r="Q32" s="307"/>
      <c r="R32" s="307"/>
      <c r="S32" s="307"/>
      <c r="T32" s="307"/>
      <c r="U32" s="307"/>
      <c r="V32" s="307"/>
      <c r="W32" s="307"/>
      <c r="X32" s="307"/>
      <c r="Y32" s="307"/>
      <c r="Z32" s="307"/>
      <c r="AA32" s="307"/>
      <c r="AB32" s="307"/>
      <c r="AC32" s="307"/>
      <c r="AD32" s="307"/>
      <c r="AE32" s="307"/>
    </row>
    <row r="33" spans="1:31">
      <c r="A33" s="307"/>
      <c r="B33" s="307"/>
      <c r="C33" s="307"/>
      <c r="D33" s="307"/>
      <c r="E33" s="307"/>
      <c r="F33" s="307"/>
      <c r="G33" s="307"/>
      <c r="H33" s="307"/>
      <c r="I33" s="307"/>
      <c r="J33" s="307"/>
      <c r="K33" s="307"/>
      <c r="L33" s="307"/>
      <c r="M33" s="307"/>
      <c r="N33" s="307"/>
      <c r="O33" s="307"/>
      <c r="P33" s="307"/>
      <c r="Q33" s="307"/>
      <c r="R33" s="307"/>
      <c r="S33" s="307"/>
      <c r="T33" s="307"/>
      <c r="U33" s="307"/>
      <c r="V33" s="307"/>
      <c r="W33" s="307"/>
      <c r="X33" s="307"/>
      <c r="Y33" s="307"/>
      <c r="Z33" s="307"/>
      <c r="AA33" s="307"/>
      <c r="AB33" s="307"/>
      <c r="AC33" s="307"/>
      <c r="AD33" s="307"/>
      <c r="AE33" s="307"/>
    </row>
    <row r="34" spans="1:31">
      <c r="A34" s="307"/>
      <c r="B34" s="307"/>
      <c r="C34" s="307"/>
      <c r="D34" s="307"/>
      <c r="E34" s="307"/>
      <c r="F34" s="307"/>
      <c r="G34" s="307"/>
      <c r="H34" s="307"/>
      <c r="I34" s="307"/>
      <c r="J34" s="307"/>
      <c r="K34" s="307"/>
      <c r="L34" s="307"/>
      <c r="M34" s="307"/>
      <c r="N34" s="307"/>
      <c r="O34" s="307"/>
      <c r="P34" s="307"/>
      <c r="Q34" s="307"/>
      <c r="R34" s="307"/>
      <c r="S34" s="307"/>
      <c r="T34" s="307"/>
      <c r="U34" s="307"/>
      <c r="V34" s="307"/>
      <c r="W34" s="307"/>
      <c r="X34" s="307"/>
      <c r="Y34" s="307"/>
      <c r="Z34" s="307"/>
      <c r="AA34" s="307"/>
      <c r="AB34" s="307"/>
      <c r="AC34" s="307"/>
      <c r="AD34" s="307"/>
      <c r="AE34" s="307"/>
    </row>
    <row r="35" spans="1:31">
      <c r="A35" s="307"/>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c r="Z35" s="307"/>
      <c r="AA35" s="307"/>
      <c r="AB35" s="307"/>
      <c r="AC35" s="307"/>
      <c r="AD35" s="307"/>
      <c r="AE35" s="307"/>
    </row>
    <row r="36" spans="1:31">
      <c r="A36" s="307"/>
      <c r="B36" s="307"/>
      <c r="C36" s="307"/>
      <c r="D36" s="307"/>
      <c r="E36" s="307"/>
      <c r="F36" s="307"/>
      <c r="G36" s="307"/>
      <c r="H36" s="307"/>
      <c r="I36" s="307"/>
      <c r="J36" s="307"/>
      <c r="K36" s="307"/>
      <c r="L36" s="307"/>
      <c r="M36" s="307"/>
      <c r="N36" s="307"/>
      <c r="O36" s="307"/>
      <c r="P36" s="307"/>
      <c r="Q36" s="307"/>
      <c r="R36" s="307"/>
      <c r="S36" s="307"/>
      <c r="T36" s="307"/>
      <c r="U36" s="307"/>
      <c r="V36" s="307"/>
      <c r="W36" s="307"/>
      <c r="X36" s="307"/>
      <c r="Y36" s="307"/>
      <c r="Z36" s="307"/>
      <c r="AA36" s="307"/>
      <c r="AB36" s="307"/>
      <c r="AC36" s="307"/>
      <c r="AD36" s="307"/>
      <c r="AE36" s="307"/>
    </row>
    <row r="37" spans="1:31">
      <c r="A37" s="307"/>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c r="Z37" s="307"/>
      <c r="AA37" s="307"/>
      <c r="AB37" s="307"/>
      <c r="AC37" s="307"/>
      <c r="AD37" s="307"/>
      <c r="AE37" s="307"/>
    </row>
    <row r="38" spans="1:31">
      <c r="A38" s="307"/>
      <c r="B38" s="307"/>
      <c r="C38" s="307"/>
      <c r="D38" s="307"/>
      <c r="E38" s="307"/>
      <c r="F38" s="307"/>
      <c r="G38" s="307"/>
      <c r="H38" s="307"/>
      <c r="I38" s="307"/>
      <c r="J38" s="307"/>
      <c r="K38" s="307"/>
      <c r="L38" s="307"/>
      <c r="M38" s="307"/>
      <c r="N38" s="307"/>
      <c r="O38" s="307"/>
      <c r="P38" s="307"/>
      <c r="Q38" s="307"/>
      <c r="R38" s="307"/>
      <c r="S38" s="307"/>
      <c r="T38" s="307"/>
      <c r="U38" s="307"/>
      <c r="V38" s="307"/>
      <c r="W38" s="307"/>
      <c r="X38" s="307"/>
      <c r="Y38" s="307"/>
      <c r="Z38" s="307"/>
      <c r="AA38" s="307"/>
      <c r="AB38" s="307"/>
      <c r="AC38" s="307"/>
      <c r="AD38" s="307"/>
      <c r="AE38" s="307"/>
    </row>
    <row r="39" spans="1:31">
      <c r="A39" s="307"/>
      <c r="B39" s="307"/>
      <c r="C39" s="307"/>
      <c r="D39" s="307"/>
      <c r="E39" s="307"/>
      <c r="F39" s="307"/>
      <c r="G39" s="307"/>
      <c r="H39" s="307"/>
      <c r="I39" s="307"/>
      <c r="J39" s="307"/>
      <c r="K39" s="307"/>
      <c r="L39" s="307"/>
      <c r="M39" s="307"/>
      <c r="N39" s="307"/>
      <c r="O39" s="307"/>
      <c r="P39" s="307"/>
      <c r="Q39" s="307"/>
      <c r="R39" s="307"/>
      <c r="S39" s="307"/>
      <c r="T39" s="307"/>
      <c r="U39" s="307"/>
      <c r="V39" s="307"/>
      <c r="W39" s="307"/>
      <c r="X39" s="307"/>
      <c r="Y39" s="307"/>
      <c r="Z39" s="307"/>
      <c r="AA39" s="307"/>
      <c r="AB39" s="307"/>
      <c r="AC39" s="307"/>
      <c r="AD39" s="307"/>
      <c r="AE39" s="307"/>
    </row>
    <row r="40" spans="1:31">
      <c r="A40" s="307"/>
      <c r="B40" s="307"/>
      <c r="C40" s="307"/>
      <c r="D40" s="307"/>
      <c r="E40" s="307"/>
      <c r="F40" s="307"/>
      <c r="G40" s="307"/>
      <c r="H40" s="307"/>
      <c r="I40" s="307"/>
      <c r="J40" s="307"/>
      <c r="K40" s="307"/>
      <c r="L40" s="307"/>
      <c r="M40" s="307"/>
      <c r="N40" s="307"/>
      <c r="O40" s="307"/>
      <c r="P40" s="307"/>
      <c r="Q40" s="307"/>
      <c r="R40" s="307"/>
      <c r="S40" s="307"/>
      <c r="T40" s="307"/>
      <c r="U40" s="307"/>
      <c r="V40" s="307"/>
      <c r="W40" s="307"/>
      <c r="X40" s="307"/>
      <c r="Y40" s="307"/>
      <c r="Z40" s="307"/>
      <c r="AA40" s="307"/>
      <c r="AB40" s="307"/>
      <c r="AC40" s="307"/>
      <c r="AD40" s="307"/>
      <c r="AE40" s="307"/>
    </row>
    <row r="41" spans="1:31">
      <c r="A41" s="307"/>
      <c r="B41" s="307"/>
      <c r="C41" s="307"/>
      <c r="D41" s="307"/>
      <c r="E41" s="307"/>
      <c r="F41" s="307"/>
      <c r="G41" s="307"/>
      <c r="H41" s="307"/>
      <c r="I41" s="307"/>
      <c r="J41" s="307"/>
      <c r="K41" s="307"/>
      <c r="L41" s="307"/>
      <c r="M41" s="307"/>
      <c r="N41" s="307"/>
      <c r="O41" s="307"/>
      <c r="P41" s="307"/>
      <c r="Q41" s="307"/>
      <c r="R41" s="307"/>
      <c r="S41" s="307"/>
      <c r="T41" s="307"/>
      <c r="U41" s="307"/>
      <c r="V41" s="307"/>
      <c r="W41" s="307"/>
      <c r="X41" s="307"/>
      <c r="Y41" s="307"/>
      <c r="Z41" s="307"/>
      <c r="AA41" s="307"/>
      <c r="AB41" s="307"/>
      <c r="AC41" s="307"/>
      <c r="AD41" s="307"/>
      <c r="AE41" s="307"/>
    </row>
    <row r="42" spans="1:31">
      <c r="A42" s="307"/>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c r="Z42" s="307"/>
      <c r="AA42" s="307"/>
      <c r="AB42" s="307"/>
      <c r="AC42" s="307"/>
      <c r="AD42" s="307"/>
      <c r="AE42" s="307"/>
    </row>
    <row r="43" spans="1:31">
      <c r="A43" s="307"/>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row>
    <row r="44" spans="1:31">
      <c r="A44" s="307"/>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row>
    <row r="45" spans="1:31">
      <c r="A45" s="307"/>
      <c r="B45" s="307"/>
      <c r="C45" s="307"/>
      <c r="D45" s="307"/>
      <c r="E45" s="307"/>
      <c r="F45" s="307"/>
      <c r="G45" s="307"/>
      <c r="H45" s="307"/>
      <c r="I45" s="307"/>
      <c r="J45" s="307"/>
      <c r="K45" s="307"/>
      <c r="L45" s="307"/>
      <c r="M45" s="307"/>
      <c r="N45" s="307"/>
      <c r="O45" s="307"/>
      <c r="P45" s="307"/>
      <c r="Q45" s="307"/>
      <c r="R45" s="307"/>
      <c r="S45" s="307"/>
      <c r="T45" s="307"/>
      <c r="U45" s="307"/>
      <c r="V45" s="307"/>
      <c r="W45" s="307"/>
      <c r="X45" s="307"/>
      <c r="Y45" s="307"/>
      <c r="Z45" s="307"/>
      <c r="AA45" s="307"/>
      <c r="AB45" s="307"/>
      <c r="AC45" s="307"/>
      <c r="AD45" s="307"/>
      <c r="AE45" s="307"/>
    </row>
    <row r="46" spans="1:31">
      <c r="A46" s="307"/>
      <c r="B46" s="307"/>
      <c r="C46" s="307"/>
      <c r="D46" s="307"/>
      <c r="E46" s="307"/>
      <c r="F46" s="307"/>
      <c r="G46" s="307"/>
      <c r="H46" s="307"/>
      <c r="I46" s="307"/>
      <c r="J46" s="307"/>
      <c r="K46" s="307"/>
      <c r="L46" s="307"/>
      <c r="M46" s="307"/>
      <c r="N46" s="307"/>
      <c r="O46" s="307"/>
      <c r="P46" s="307"/>
      <c r="Q46" s="307"/>
      <c r="R46" s="307"/>
      <c r="S46" s="307"/>
      <c r="T46" s="307"/>
      <c r="U46" s="307"/>
      <c r="V46" s="307"/>
      <c r="W46" s="307"/>
      <c r="X46" s="307"/>
      <c r="Y46" s="307"/>
      <c r="Z46" s="307"/>
      <c r="AA46" s="307"/>
      <c r="AB46" s="307"/>
      <c r="AC46" s="307"/>
      <c r="AD46" s="307"/>
      <c r="AE46" s="307"/>
    </row>
    <row r="47" spans="1:31">
      <c r="A47" s="307"/>
      <c r="B47" s="307"/>
      <c r="C47" s="307"/>
      <c r="D47" s="307"/>
      <c r="E47" s="307"/>
      <c r="F47" s="307"/>
      <c r="G47" s="307"/>
      <c r="H47" s="307"/>
      <c r="I47" s="307"/>
      <c r="J47" s="307"/>
      <c r="K47" s="307"/>
      <c r="L47" s="307"/>
      <c r="M47" s="307"/>
      <c r="N47" s="307"/>
      <c r="O47" s="307"/>
      <c r="P47" s="307"/>
      <c r="Q47" s="307"/>
      <c r="R47" s="307"/>
      <c r="S47" s="307"/>
      <c r="T47" s="307"/>
      <c r="U47" s="307"/>
      <c r="V47" s="307"/>
      <c r="W47" s="307"/>
      <c r="X47" s="307"/>
      <c r="Y47" s="307"/>
      <c r="Z47" s="307"/>
      <c r="AA47" s="307"/>
      <c r="AB47" s="307"/>
      <c r="AC47" s="307"/>
      <c r="AD47" s="307"/>
      <c r="AE47" s="307"/>
    </row>
    <row r="48" spans="1:31">
      <c r="A48" s="307"/>
      <c r="B48" s="307"/>
      <c r="C48" s="307"/>
      <c r="D48" s="307"/>
      <c r="E48" s="307"/>
      <c r="F48" s="307"/>
      <c r="G48" s="307"/>
      <c r="H48" s="307"/>
      <c r="I48" s="307"/>
      <c r="J48" s="307"/>
      <c r="K48" s="307"/>
      <c r="L48" s="307"/>
      <c r="M48" s="307"/>
      <c r="N48" s="307"/>
      <c r="O48" s="307"/>
      <c r="P48" s="307"/>
      <c r="Q48" s="307"/>
      <c r="R48" s="307"/>
      <c r="S48" s="307"/>
      <c r="T48" s="307"/>
      <c r="U48" s="307"/>
      <c r="V48" s="307"/>
      <c r="W48" s="307"/>
      <c r="X48" s="307"/>
      <c r="Y48" s="307"/>
      <c r="Z48" s="307"/>
      <c r="AA48" s="307"/>
      <c r="AB48" s="307"/>
      <c r="AC48" s="307"/>
      <c r="AD48" s="307"/>
      <c r="AE48" s="307"/>
    </row>
    <row r="49" spans="1:880">
      <c r="A49" s="307"/>
      <c r="B49" s="307"/>
      <c r="C49" s="307"/>
      <c r="D49" s="307"/>
      <c r="E49" s="307"/>
      <c r="F49" s="307"/>
      <c r="G49" s="307"/>
      <c r="H49" s="307"/>
      <c r="I49" s="307"/>
      <c r="J49" s="307"/>
      <c r="K49" s="307"/>
      <c r="L49" s="307"/>
      <c r="M49" s="307"/>
      <c r="N49" s="307"/>
      <c r="O49" s="307"/>
      <c r="P49" s="307"/>
      <c r="Q49" s="307"/>
      <c r="R49" s="307"/>
      <c r="S49" s="307"/>
      <c r="T49" s="307"/>
      <c r="U49" s="307"/>
      <c r="V49" s="307"/>
      <c r="W49" s="307"/>
      <c r="X49" s="307"/>
      <c r="Y49" s="307"/>
      <c r="Z49" s="307"/>
      <c r="AA49" s="307"/>
      <c r="AB49" s="307"/>
      <c r="AC49" s="307"/>
      <c r="AD49" s="307"/>
      <c r="AE49" s="307"/>
    </row>
    <row r="50" spans="1:880">
      <c r="A50" s="307"/>
      <c r="B50" s="307"/>
      <c r="C50" s="307"/>
      <c r="D50" s="307"/>
      <c r="E50" s="307"/>
      <c r="F50" s="307"/>
      <c r="G50" s="307"/>
      <c r="H50" s="307"/>
      <c r="I50" s="307"/>
      <c r="J50" s="307"/>
      <c r="K50" s="307"/>
      <c r="L50" s="307"/>
      <c r="M50" s="307"/>
      <c r="N50" s="307"/>
      <c r="O50" s="307"/>
      <c r="P50" s="307"/>
      <c r="Q50" s="307"/>
      <c r="R50" s="307"/>
      <c r="S50" s="307"/>
      <c r="T50" s="307"/>
      <c r="U50" s="307"/>
      <c r="V50" s="307"/>
      <c r="W50" s="307"/>
      <c r="X50" s="307"/>
      <c r="Y50" s="307"/>
      <c r="Z50" s="307"/>
      <c r="AA50" s="307"/>
      <c r="AB50" s="307"/>
      <c r="AC50" s="307"/>
      <c r="AD50" s="307"/>
      <c r="AE50" s="307"/>
    </row>
    <row r="52" spans="1:880">
      <c r="B52" s="328"/>
    </row>
    <row r="59" spans="1:880">
      <c r="AGA59" s="308">
        <f t="array" ref="AGA59">IF(AND($BZ$59:$BZ$60=$BZ$59,$BZ$60&lt;&gt;$BZ$61,$BZ$61&lt;&gt;$BZ$62,$BZ$62&lt;&gt;$BZ$63,$BZ$63:$BZ$64=$BZ$63,$CB$59:$CB$60=$CB$59,$CB$63:$CB$64=$CB$63,$CC$59:$CC$60=$CC$59,$CC$63&lt;&gt;$CC$64,$CD$59:$CD$60=$CD$59),1,0)</f>
        <v>0</v>
      </c>
      <c r="AGB59" s="308">
        <f t="array" ref="AGB59">IF(AND($BZ$59:$BZ$60=$BZ$59,$BZ$60&lt;&gt;$BZ$61,$BZ$61&lt;&gt;$BZ$62,$BZ$62&lt;&gt;$BZ$63,$BZ$63:$BZ$64=$BZ$63,$CB$59:$CB$60=$CB$59,$CB$63:$CB$64=$CB$63,$CC$59&lt;&gt;$CC$60,$CC$63:$CC$64=$CC$63,$CD$63:$CD$64=$CD$63),1,0)</f>
        <v>0</v>
      </c>
      <c r="AGC59" s="308">
        <f t="array" ref="AGC59">IF(AND($BZ$59:$BZ$60=$BZ$59,$BZ$60&lt;&gt;$BZ$61,$BZ$61&lt;&gt;$BZ$62,$BZ$62&lt;&gt;$BZ$63,$BZ$63:$BZ$64=$BZ$63,$CB$59:$CB$60=$CB$59,$CB$63:$CB$64=$CB$63,$CC$59&lt;&gt;$CC$60,$CC$63&lt;&gt;$CC$64),1,0)</f>
        <v>0</v>
      </c>
    </row>
    <row r="60" spans="1:880">
      <c r="CC60" s="308">
        <v>5</v>
      </c>
      <c r="AGA60" s="308">
        <f t="array" ref="AGA60">IF(AND($BZ$59:$BZ$60=$BZ$60,$BZ$60&lt;&gt;$BZ$61,$BZ$61&lt;&gt;$BZ$62,$BZ$62&lt;&gt;$BZ$63,$BZ$63:$BZ$64=$BZ$63,$CB$59:$CB$60=$CB$60,$CB$63:$CB$64=$CB$63,$CC$59:$CC$60=$CC$60,$CC$63&lt;&gt;$CC$64,$CD$59:$CD$60=$CD$60),1,0)</f>
        <v>0</v>
      </c>
      <c r="AGB60" s="308">
        <f t="array" ref="AGB60">IF(AND($BZ$59:$BZ$60=$BZ$60,$BZ$60&lt;&gt;$BZ$61,$BZ$61&lt;&gt;$BZ$62,$BZ$62&lt;&gt;$BZ$63,$BZ$63:$BZ$64=$BZ$63,$CB$59:$CB$60=$CB$60,$CB$63:$CB$64=$CB$63,$CC$59&lt;&gt;$CC$60,$CC$63:$CC$64=$CC$63,$CD$63:$CD$64=$CD$63),1,0)</f>
        <v>0</v>
      </c>
      <c r="AGC60" s="308">
        <f t="array" ref="AGC60">IF(AND($BZ$59:$BZ$60=$BZ$60,$BZ$60&lt;&gt;$BZ$61,$BZ$61&lt;&gt;$BZ$62,$BZ$62&lt;&gt;$BZ$63,$BZ$63:$BZ$64=$BZ$63,$CB$59:$CB$60=$CB$60,$CB$63:$CB$64=$CB$63,$CC$59&lt;&gt;$CC$60,$CC$63&lt;&gt;$CC$64),1,0)</f>
        <v>0</v>
      </c>
    </row>
    <row r="61" spans="1:880">
      <c r="JW61" s="308">
        <f t="array" ref="JW61">IF(AND($BZ$59:$BZ$64=$BZ$61,$CB$59:$CB$64=$CB$61,$CC$59:$CC$60=$CC$60,$CC$60&lt;&gt;$CC$61,$CC$61:$CC$64=$CC$61,$CD$59:$CD$60=$CD$60,$CD$61&lt;&gt;$CD$62,$CD$62:$CD$64=$CD$62),1,0)</f>
        <v>0</v>
      </c>
      <c r="AGA61" s="308">
        <f t="array" ref="AGA61">IF(AND($BZ$59:$BZ$60=$BZ$60,$BZ$60&lt;&gt;$BZ$61,$BZ$61&lt;&gt;$BZ$62,$BZ$62&lt;&gt;$BZ$63,$BZ$63:$BZ$64=$BZ$63,$CB$59:$CB$60=$CB$60,$CB$63:$CB$64=$CB$63,$CC$59:$CC$60=$CC$60,$CC$63&lt;&gt;$CC$64,$CD$59:$CD$60=$CD$60),1,0)</f>
        <v>0</v>
      </c>
      <c r="AGB61" s="308">
        <f t="array" ref="AGB61">IF(AND($BZ$59:$BZ$60=$BZ$60,$BZ$60&lt;&gt;$BZ$61,$BZ$61&lt;&gt;$BZ$62,$BZ$62&lt;&gt;$BZ$63,$BZ$63:$BZ$64=$BZ$63,$CB$59:$CB$60=$CB$60,$CB$63:$CB$64=$CB$63,$CC$59&lt;&gt;$CC$60,$CC$63:$CC$64=$CC$63,$CD$63:$CD$64=$CD$63),1,0)</f>
        <v>0</v>
      </c>
      <c r="AGC61" s="308">
        <f t="array" ref="AGC61">IF(AND($BZ$59:$BZ$60=$BZ$60,$BZ$60&lt;&gt;$BZ$61,$BZ$61&lt;&gt;$BZ$62,$BZ$62&lt;&gt;$BZ$63,$BZ$63:$BZ$64=$BZ$63,$CB$59:$CB$60=$CB$60,$CB$63:$CB$64=$CB$63,$CC$59&lt;&gt;$CC$60,$CC$63&lt;&gt;$CC$64),1,0)</f>
        <v>0</v>
      </c>
    </row>
    <row r="62" spans="1:880">
      <c r="JW62" s="308">
        <f t="array" ref="JW62">IF(AND($BZ$59:$BZ$64=$BZ$62,$CB$59:$CB$64=$CB$62,$CC$59:$CC$60=$CC$60,$CC$60&lt;&gt;$CC$61,$CC$61:$CC$64=$CC$62,$CD$59:$CD$60=$CD$60,$CD$61&lt;&gt;$CD$62,$CD$62:$CD$64=$CD$62),1,0)</f>
        <v>0</v>
      </c>
      <c r="AFW62" s="308">
        <f t="array" ref="AFW62">IF(AND($BZ$59:$BZ$60=$BZ$60,$BZ$60&lt;&gt;$BZ$61,$BZ$61&lt;&gt;$BZ$62,$BZ$62:$BZ$64=$BZ$62,$CB$59:$CB$60=$CB$60,$CB$62:$CB$64=$CB$62,$CC$59&lt;&gt;$CC$60,$CC$62:$CC$64=$CC$62,$CD$62:$CD$64=$CD$62),1,0)</f>
        <v>0</v>
      </c>
      <c r="AFX62" s="308">
        <f t="array" ref="AFX62">IF(AND($BZ$59:$BZ$60=$BZ$60,$BZ$60&lt;&gt;$BZ$61,$BZ$61&lt;&gt;$BZ$62,$BZ$62:$BZ$64=$BZ$62,$CB$59:$CB$60=$CB$60,$CB$62:$CB$64=$CB$62,$CC$59&lt;&gt;$CC$60,$CC$62:$CC$64=$CC$62,$CD$62:$CD$64=$CD$62),1,0)</f>
        <v>0</v>
      </c>
      <c r="AGA62" s="308">
        <f t="array" ref="AGA62">IF(AND($BZ$59:$BZ$60=$BZ$60,$BZ$60&lt;&gt;$BZ$61,$BZ$61&lt;&gt;$BZ$62,$BZ$62&lt;&gt;$BZ$63,$BZ$63:$BZ$64=$BZ$63,$CB$59:$CB$60=$CB$60,$CB$63:$CB$64=$CB$63,$CC$59:$CC$60=$CC$60,$CC$63&lt;&gt;$CC$64,$CD$59:$CD$60=$CD$60),1,0)</f>
        <v>0</v>
      </c>
      <c r="AGB62" s="308">
        <f t="array" ref="AGB62">IF(AND($BZ$59:$BZ$60=$BZ$60,$BZ$60&lt;&gt;$BZ$61,$BZ$61&lt;&gt;$BZ$62,$BZ$62&lt;&gt;$BZ$63,$BZ$63:$BZ$64=$BZ$63,$CB$59:$CB$60=$CB$60,$CB$63:$CB$64=$CB$63,$CC$59&lt;&gt;$CC$60,$CC$63:$CC$64=$CC$63,$CD$63:$CD$64=$CD$63),1,0)</f>
        <v>0</v>
      </c>
      <c r="AGC62" s="308">
        <f t="array" ref="AGC62">IF(AND($BZ$59:$BZ$60=$BZ$60,$BZ$60&lt;&gt;$BZ$61,$BZ$61&lt;&gt;$BZ$62,$BZ$62&lt;&gt;$BZ$63,$BZ$63:$BZ$64=$BZ$63,$CB$59:$CB$60=$CB$60,$CB$63:$CB$64=$CB$63,$CC$59&lt;&gt;$CC$60,$CC$63&lt;&gt;$CC$64),1,0)</f>
        <v>0</v>
      </c>
    </row>
    <row r="63" spans="1:880">
      <c r="JW63" s="308">
        <f t="array" ref="JW63">IF(AND($BZ$59:$BZ$64=$BZ$63,$CB$59:$CB$64=$CB$63,$CC$59:$CC$60=$CC$60,$CC$60&lt;&gt;$CC$61,$CC$61:$CC$64=$CC$62,$CD$59:$CD$60=$CD$60,$CD$61&lt;&gt;$CD$62,$CD$62:$CD$64=$CD$63),1,0)</f>
        <v>0</v>
      </c>
      <c r="AFW63" s="308">
        <f t="array" ref="AFW63">IF(AND($BZ$59:$BZ$60=$BZ$60,$BZ$60&lt;&gt;$BZ$61,$BZ$61&lt;&gt;$BZ$62,$BZ$62:$BZ$64=$BZ$63,$CB$59:$CB$60=$CB$60,$CB$62:$CB$64=$CB$63,$CC$59&lt;&gt;$CC$60,$CC$62:$CC$64=$CC$63,$CD$62:$CD$64=$CD$63),1,0)</f>
        <v>0</v>
      </c>
      <c r="AFX63" s="308">
        <f t="array" ref="AFX63">IF(AND($BZ$59:$BZ$60=$BZ$60,$BZ$60&lt;&gt;$BZ$61,$BZ$61&lt;&gt;$BZ$62,$BZ$62:$BZ$64=$BZ$63,$CB$59:$CB$60=$CB$60,$CB$62:$CB$64=$CB$63,$CC$59&lt;&gt;$CC$60,$CC$62:$CC$64=$CC$63,$CD$62:$CD$64=$CD$63),1,0)</f>
        <v>0</v>
      </c>
      <c r="AGA63" s="308">
        <f t="array" ref="AGA63">IF(AND($BZ$59:$BZ$60=$BZ$60,$BZ$60&lt;&gt;$BZ$61,$BZ$61&lt;&gt;$BZ$62,$BZ$62&lt;&gt;$BZ$63,$BZ$63:$BZ$64=$BZ$63,$CB$59:$CB$60=$CB$60,$CB$63:$CB$64=$CB$63,$CC$59:$CC$60=$CC$60,$CC$63&lt;&gt;$CC$64,$CD$59:$CD$60=$CD$60),1,0)</f>
        <v>0</v>
      </c>
      <c r="AGB63" s="308">
        <f t="array" ref="AGB63">IF(AND($BZ$59:$BZ$60=$BZ$60,$BZ$60&lt;&gt;$BZ$61,$BZ$61&lt;&gt;$BZ$62,$BZ$62&lt;&gt;$BZ$63,$BZ$63:$BZ$64=$BZ$63,$CB$59:$CB$60=$CB$60,$CB$63:$CB$64=$CB$63,$CC$59&lt;&gt;$CC$60,$CC$63:$CC$64=$CC$63,$CD$63:$CD$64=$CD$63),1,0)</f>
        <v>0</v>
      </c>
      <c r="AGC63" s="308">
        <f t="array" ref="AGC63">IF(AND($BZ$59:$BZ$60=$BZ$60,$BZ$60&lt;&gt;$BZ$61,$BZ$61&lt;&gt;$BZ$62,$BZ$62&lt;&gt;$BZ$63,$BZ$63:$BZ$64=$BZ$63,$CB$59:$CB$60=$CB$60,$CB$63:$CB$64=$CB$63,$CC$59&lt;&gt;$CC$60,$CC$63&lt;&gt;$CC$64),1,0)</f>
        <v>0</v>
      </c>
    </row>
    <row r="64" spans="1:880">
      <c r="CC64" s="308">
        <v>1</v>
      </c>
      <c r="JW64" s="308">
        <f t="array" ref="JW64">IF(AND($BZ$59:$BZ$64=$BZ$64,$CB$59:$CB$64=$CB$64,$CC$59:$CC$60=$CC$60,$CC$60&lt;&gt;$CC$61,$CC$61:$CC$64=$CC$62,$CD$59:$CD$60=$CD$60,$CD$61&lt;&gt;$CD$62,$CD$62:$CD$64=$CD$64),1,0)</f>
        <v>0</v>
      </c>
      <c r="AFW64" s="308">
        <f t="array" ref="AFW64">IF(AND($BZ$59:$BZ$60=$BZ$60,$BZ$60&lt;&gt;$BZ$61,$BZ$61&lt;&gt;$BZ$62,$BZ$62:$BZ$64=$BZ$64,$CB$59:$CB$60=$CB$60,$CB$62:$CB$64=$CB$64,$CC$59&lt;&gt;$CC$60,$CC$62:$CC$64=$CC$64,$CD$62:$CD$64=$CD$64),1,0)</f>
        <v>0</v>
      </c>
      <c r="AFX64" s="308">
        <f t="array" ref="AFX64">IF(AND($BZ$59:$BZ$60=$BZ$60,$BZ$60&lt;&gt;$BZ$61,$BZ$61&lt;&gt;$BZ$62,$BZ$62:$BZ$64=$BZ$64,$CB$59:$CB$60=$CB$60,$CB$62:$CB$64=$CB$64,$CC$59&lt;&gt;$CC$60,$CC$62:$CC$64=$CC$64,$CD$62:$CD$64=$CD$64),1,0)</f>
        <v>0</v>
      </c>
      <c r="AGA64" s="308">
        <f t="array" ref="AGA64">IF(AND($BZ$59:$BZ$60=$BZ$60,$BZ$60&lt;&gt;$BZ$61,$BZ$61&lt;&gt;$BZ$62,$BZ$62&lt;&gt;$BZ$63,$BZ$63:$BZ$64=$BZ$64,$CB$59:$CB$60=$CB$60,$CB$63:$CB$64=$CB$64,$CC$59:$CC$60=$CC$60,$CC$63&lt;&gt;$CC$64,$CD$59:$CD$60=$CD$60),1,0)</f>
        <v>0</v>
      </c>
      <c r="AGB64" s="308">
        <f t="array" ref="AGB64">IF(AND($BZ$59:$BZ$60=$BZ$60,$BZ$60&lt;&gt;$BZ$61,$BZ$61&lt;&gt;$BZ$62,$BZ$62&lt;&gt;$BZ$63,$BZ$63:$BZ$64=$BZ$64,$CB$59:$CB$60=$CB$60,$CB$63:$CB$64=$CB$64,$CC$59&lt;&gt;$CC$60,$CC$63:$CC$64=$CC$64,$CD$63:$CD$64=$CD$64),1,0)</f>
        <v>0</v>
      </c>
      <c r="AGC64" s="308">
        <f t="array" ref="AGC64">IF(AND($BZ$59:$BZ$60=$BZ$60,$BZ$60&lt;&gt;$BZ$61,$BZ$61&lt;&gt;$BZ$62,$BZ$62&lt;&gt;$BZ$63,$BZ$63:$BZ$64=$BZ$64,$CB$59:$CB$60=$CB$60,$CB$63:$CB$64=$CB$64,$CC$59&lt;&gt;$CC$60,$CC$63&lt;&gt;$CC$64),1,0)</f>
        <v>0</v>
      </c>
      <c r="AGU64" s="308">
        <f t="array" ref="AGU64">IF(AND($BZ$59&lt;&gt;$BZ$60,$BZ$60:$BZ$64=$BZ$64,$CB$60:$CB$64=$CB$64,$CC$60&lt;&gt;$CC$61,$CC$61&lt;&gt;$CC$62,$CC$62&lt;&gt;$CC$63,$CC$63:$CC$64=$CC$64,$CD$63:$CD$64=$CD$64),1,0)</f>
        <v>0</v>
      </c>
      <c r="AGV64" s="308">
        <f t="array" ref="AGV64">IF(AND($BZ$59&lt;&gt;$BZ$60,$BZ$60:$BZ$64=$BZ$64,$CB$60:$CB$64=$CB$64,$CC$60&lt;&gt;$CC$61,$CC$61&lt;&gt;$CC$62,$CC$62&lt;&gt;$CC$63,$CC$63&lt;&gt;$CC$64),1,0)</f>
        <v>0</v>
      </c>
    </row>
  </sheetData>
  <sheetProtection algorithmName="SHA-512" hashValue="mCN8xtiC/J8td7DyGpqJIQamOWs3P4IstHfIshQ8MP1Ph0s0AiqzkefGzffCQqmeU2j2W1eLalnm0IOwewAdkw==" saltValue="9s2etWFzZWP0FHUAwUSEY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UQL208"/>
  <sheetViews>
    <sheetView showGridLines="0" showRowColHeaders="0" tabSelected="1" topLeftCell="X53" zoomScale="115" zoomScaleNormal="115" workbookViewId="0">
      <selection activeCell="AD108" sqref="AC108:AD10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style="3"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19.77734375" customWidth="1"/>
    <col min="28" max="28" width="3.77734375" customWidth="1"/>
    <col min="29" max="30" width="5.33203125" customWidth="1"/>
    <col min="31" max="31" width="3.77734375" customWidth="1"/>
    <col min="32" max="32" width="19.77734375" customWidth="1"/>
    <col min="33" max="33" width="3.44140625" customWidth="1"/>
    <col min="34" max="34" width="5.109375" style="196" customWidth="1"/>
    <col min="35" max="35" width="3.33203125" style="196" customWidth="1"/>
    <col min="36" max="36" width="4.33203125" customWidth="1"/>
    <col min="37" max="37" width="3.33203125" customWidth="1"/>
    <col min="38" max="38" width="19.109375" customWidth="1"/>
    <col min="39" max="39" width="5.77734375" customWidth="1"/>
    <col min="40" max="46" width="4.33203125" customWidth="1"/>
    <col min="47" max="47" width="3.33203125" style="199" customWidth="1"/>
    <col min="48" max="48" width="18.44140625" style="203" customWidth="1"/>
    <col min="49" max="49" width="3.44140625" style="8" customWidth="1"/>
    <col min="50" max="50" width="3.44140625" style="4" customWidth="1"/>
    <col min="51" max="51" width="19.6640625" style="18" customWidth="1"/>
    <col min="52" max="52" width="15.77734375" style="8" customWidth="1"/>
    <col min="53" max="53" width="3" customWidth="1"/>
    <col min="54" max="54" width="10.77734375" style="10" hidden="1" customWidth="1"/>
    <col min="55" max="55" width="6" style="10" hidden="1" customWidth="1"/>
    <col min="56" max="56" width="17" style="10" hidden="1" customWidth="1"/>
    <col min="57" max="57" width="3.44140625" style="10" hidden="1" customWidth="1"/>
    <col min="58" max="58" width="2.109375" style="10" hidden="1" customWidth="1"/>
    <col min="59" max="59" width="8.109375" style="10" hidden="1" customWidth="1"/>
    <col min="60" max="61" width="2.109375" style="10" hidden="1" customWidth="1"/>
    <col min="62" max="63" width="4.109375" style="10" hidden="1" customWidth="1"/>
    <col min="64" max="64" width="3.33203125" style="10" hidden="1" customWidth="1"/>
    <col min="65" max="66" width="5.6640625" style="10" hidden="1" customWidth="1"/>
    <col min="67" max="67" width="1.6640625" style="10" hidden="1" customWidth="1"/>
    <col min="68" max="69" width="7.33203125" style="10" hidden="1" customWidth="1"/>
    <col min="70" max="98" width="8" style="10" hidden="1" customWidth="1"/>
    <col min="99" max="99" width="4.109375" style="10" hidden="1" customWidth="1"/>
    <col min="100" max="100" width="7.33203125" style="10" hidden="1" customWidth="1"/>
    <col min="101" max="101" width="10.77734375" style="10" hidden="1" customWidth="1"/>
    <col min="102" max="102" width="3.109375" style="10" hidden="1" customWidth="1"/>
    <col min="103" max="103" width="8.6640625" style="10" hidden="1" customWidth="1"/>
    <col min="104" max="104" width="8" style="10" hidden="1" customWidth="1"/>
    <col min="105" max="105" width="15.77734375" style="10" hidden="1" customWidth="1"/>
    <col min="106" max="106" width="10.77734375" style="10" hidden="1" customWidth="1"/>
    <col min="107" max="107" width="2.6640625" style="10" hidden="1" customWidth="1"/>
    <col min="108" max="116" width="10.77734375" style="10" hidden="1" customWidth="1"/>
    <col min="117" max="119" width="10.77734375" style="10" hidden="1"/>
    <col min="120" max="14650" width="0" style="10" hidden="1"/>
    <col min="14651" max="16384" width="10.77734375" style="10" hidden="1"/>
  </cols>
  <sheetData>
    <row r="1" spans="1:119 5612:5612 8867:8867 13370:13370" s="441" customFormat="1" ht="30" customHeight="1" thickBot="1">
      <c r="A1" s="643"/>
      <c r="B1" s="643"/>
      <c r="C1" s="643"/>
      <c r="D1" s="643"/>
      <c r="E1" s="643"/>
      <c r="F1" s="643"/>
      <c r="G1" s="643"/>
      <c r="H1" s="643"/>
      <c r="I1" s="643"/>
      <c r="J1" s="643"/>
      <c r="K1" s="643"/>
      <c r="L1" s="643"/>
      <c r="M1" s="643"/>
      <c r="N1" s="643"/>
      <c r="O1" s="643"/>
      <c r="P1" s="643"/>
      <c r="Q1" s="643"/>
      <c r="R1" s="643"/>
      <c r="S1" s="643"/>
      <c r="T1" s="643"/>
      <c r="U1" s="643"/>
      <c r="V1" s="296"/>
      <c r="W1" s="685" t="str">
        <f>Idiomas!D8</f>
        <v>XXIII Mundial USA/MEX/CAN 2026</v>
      </c>
      <c r="X1" s="685"/>
      <c r="Y1" s="685"/>
      <c r="Z1" s="685"/>
      <c r="AA1" s="685"/>
      <c r="AB1" s="685"/>
      <c r="AC1" s="685"/>
      <c r="AD1" s="685"/>
      <c r="AE1" s="685"/>
      <c r="AF1" s="685"/>
      <c r="AG1" s="152"/>
      <c r="AH1" s="189"/>
      <c r="AI1" s="189"/>
      <c r="AJ1" s="152"/>
      <c r="AK1" s="152"/>
      <c r="AL1" s="303" t="str">
        <f>HYPERLINK(Idiomas!D10,Idiomas!D9)</f>
        <v>▼ Descargar Excel Administrador Porra ▼</v>
      </c>
      <c r="AM1" s="152"/>
      <c r="AN1" s="152"/>
      <c r="AO1" s="152"/>
      <c r="AP1" s="152"/>
      <c r="AQ1" s="152"/>
      <c r="AR1" s="152"/>
      <c r="AS1" s="152"/>
      <c r="AT1" s="152"/>
      <c r="AU1" s="344"/>
      <c r="AV1" s="304" t="s">
        <v>1358</v>
      </c>
      <c r="AW1" s="152"/>
      <c r="AX1" s="152"/>
      <c r="AY1" s="152"/>
      <c r="AZ1" s="152"/>
      <c r="BA1" s="152"/>
      <c r="DL1" s="441" t="s">
        <v>1368</v>
      </c>
    </row>
    <row r="2" spans="1:119 5612:5612 8867:8867 13370:13370" ht="10.050000000000001" customHeight="1" thickBot="1">
      <c r="A2" s="643"/>
      <c r="B2" s="643"/>
      <c r="C2" s="643"/>
      <c r="D2" s="643"/>
      <c r="E2" s="643"/>
      <c r="F2" s="643"/>
      <c r="G2" s="643"/>
      <c r="H2" s="643"/>
      <c r="I2" s="643"/>
      <c r="J2" s="643"/>
      <c r="K2" s="643"/>
      <c r="L2" s="643"/>
      <c r="M2" s="643"/>
      <c r="N2" s="643"/>
      <c r="O2" s="643"/>
      <c r="P2" s="643"/>
      <c r="Q2" s="643"/>
      <c r="R2" s="643"/>
      <c r="S2" s="643"/>
      <c r="T2" s="643"/>
      <c r="U2" s="643"/>
      <c r="V2" s="20"/>
      <c r="W2" s="153"/>
      <c r="X2" s="153"/>
      <c r="Y2" s="152"/>
      <c r="Z2" s="153"/>
      <c r="AA2" s="154"/>
      <c r="AB2" s="153"/>
      <c r="AC2" s="154"/>
      <c r="AD2" s="154"/>
      <c r="AE2" s="154"/>
      <c r="AF2" s="154"/>
      <c r="AG2" s="155"/>
      <c r="AH2" s="188"/>
      <c r="AI2" s="188"/>
      <c r="AJ2" s="155"/>
      <c r="AK2" s="155"/>
      <c r="AL2" s="155"/>
      <c r="AM2" s="155"/>
      <c r="AN2" s="155"/>
      <c r="AO2" s="155"/>
      <c r="AP2" s="155"/>
      <c r="AQ2" s="155"/>
      <c r="AR2" s="155"/>
      <c r="AS2" s="155"/>
      <c r="AT2" s="155"/>
      <c r="AU2" s="197"/>
      <c r="AV2" s="197"/>
      <c r="AW2" s="157"/>
      <c r="AX2" s="157"/>
      <c r="AY2" s="158"/>
      <c r="AZ2" s="156"/>
      <c r="BA2" s="155"/>
      <c r="DA2" s="623"/>
    </row>
    <row r="3" spans="1:119 5612:5612 8867:8867 13370:13370" ht="15" thickBot="1">
      <c r="A3" s="643"/>
      <c r="B3" s="643"/>
      <c r="C3" s="643"/>
      <c r="D3" s="643" t="s">
        <v>1220</v>
      </c>
      <c r="E3" s="644" t="s">
        <v>655</v>
      </c>
      <c r="F3" s="644" t="s">
        <v>656</v>
      </c>
      <c r="G3" s="643"/>
      <c r="H3" s="644" t="s">
        <v>657</v>
      </c>
      <c r="I3" s="644" t="s">
        <v>658</v>
      </c>
      <c r="J3" s="643"/>
      <c r="K3" s="644" t="s">
        <v>662</v>
      </c>
      <c r="L3" s="644" t="s">
        <v>663</v>
      </c>
      <c r="M3" s="644"/>
      <c r="N3" s="644" t="s">
        <v>1230</v>
      </c>
      <c r="O3" s="644" t="s">
        <v>1231</v>
      </c>
      <c r="P3" s="643"/>
      <c r="Q3" s="644" t="s">
        <v>1232</v>
      </c>
      <c r="R3" s="644" t="s">
        <v>1233</v>
      </c>
      <c r="S3" s="643"/>
      <c r="T3" s="644" t="s">
        <v>1234</v>
      </c>
      <c r="U3" s="644" t="s">
        <v>1235</v>
      </c>
      <c r="V3" s="20"/>
      <c r="W3" s="9"/>
      <c r="X3" s="77" t="str">
        <f>Idiomas!D17</f>
        <v>Fecha</v>
      </c>
      <c r="Y3" s="77" t="str">
        <f>Idiomas!D18</f>
        <v>Hora</v>
      </c>
      <c r="Z3" s="63" t="str">
        <f>Idiomas!D19</f>
        <v>Jor.</v>
      </c>
      <c r="AA3" s="65" t="str">
        <f>Idiomas!D20</f>
        <v>Casa</v>
      </c>
      <c r="AB3" s="64"/>
      <c r="AC3" s="63" t="str">
        <f>Idiomas!D21</f>
        <v>Gol</v>
      </c>
      <c r="AD3" s="63" t="str">
        <f>Idiomas!D21</f>
        <v>Gol</v>
      </c>
      <c r="AE3" s="64"/>
      <c r="AF3" s="66" t="str">
        <f>Idiomas!D22</f>
        <v>Fuera</v>
      </c>
      <c r="AG3" s="155"/>
      <c r="AH3" s="188"/>
      <c r="AI3" s="188"/>
      <c r="AJ3" s="188" t="str">
        <f>Idiomas!D23</f>
        <v>Grupo</v>
      </c>
      <c r="AK3" s="185"/>
      <c r="AL3" s="170"/>
      <c r="AM3" s="170"/>
      <c r="AN3" s="170"/>
      <c r="AO3" s="170"/>
      <c r="AP3" s="170"/>
      <c r="AQ3" s="170"/>
      <c r="AR3" s="170"/>
      <c r="AS3" s="170"/>
      <c r="AT3" s="170"/>
      <c r="AU3" s="197"/>
      <c r="AV3" s="200" t="str">
        <f>Idiomas!D24</f>
        <v>¡EMPATE! Puedes seleccionar el orden de los empatados.</v>
      </c>
      <c r="AW3" s="173"/>
      <c r="AX3" s="173"/>
      <c r="AY3" s="411" t="str">
        <f>Idiomas!D72</f>
        <v>¿Hay equipos penalizados?</v>
      </c>
      <c r="AZ3" s="410" t="s">
        <v>1241</v>
      </c>
      <c r="BA3" s="155"/>
      <c r="MCA3" s="10" t="s">
        <v>15</v>
      </c>
    </row>
    <row r="4" spans="1:119 5612:5612 8867:8867 13370:13370" ht="15" customHeight="1" thickBot="1">
      <c r="A4" s="645" t="s">
        <v>32</v>
      </c>
      <c r="B4" s="11" t="s">
        <v>0</v>
      </c>
      <c r="C4" s="441">
        <f>COUNTIF(Equipos!$C$2:$C$49,WORLDCUP!B4)</f>
        <v>4</v>
      </c>
      <c r="D4" s="10" t="str">
        <f t="shared" ref="D4:D9" si="0">IF(OR(AC4="",AD4=""),"Pendiente",IF(AC4&gt;AD4,"Local",IF(AC4&lt;AD4,"Visitante","Empate")))</f>
        <v>Local</v>
      </c>
      <c r="E4" s="10" t="str">
        <f t="shared" ref="E4:E9" ca="1" si="1">IF(D4="Pendiente","-",INDEX($BR$6:$BR$53,MATCH($AA4,$BD$6:$BD$53,0)))</f>
        <v>-</v>
      </c>
      <c r="F4" s="10" t="str">
        <f t="shared" ref="F4:F9" ca="1" si="2">IF(D4="Pendiente","-",INDEX($BR$6:$BR$53,MATCH($AF4,$BD$6:$BD$53,0)))</f>
        <v>-</v>
      </c>
      <c r="G4" s="10"/>
      <c r="H4" s="10" t="str">
        <f t="shared" ref="H4:H9" ca="1" si="3">IF(D4="Pendiente","-",INDEX($BX$6:$BX$53,MATCH($AA4,$BD$6:$BD$53,0)))</f>
        <v>-</v>
      </c>
      <c r="I4" s="10" t="str">
        <f t="shared" ref="I4:I9" ca="1" si="4">IF(D4="Pendiente","-",INDEX($BX$6:$BX$53,MATCH($AF4,$BD$6:$BD$53,0)))</f>
        <v>-</v>
      </c>
      <c r="J4" s="10"/>
      <c r="K4" s="10" t="str">
        <f t="shared" ref="K4:K9" ca="1" si="5">IF(D4="Pendiente","-",INDEX($CC$6:$CC$53,MATCH($AA4,$BD$6:$BD$53,0)))</f>
        <v>-</v>
      </c>
      <c r="L4" s="10" t="str">
        <f t="shared" ref="L4:L9" ca="1" si="6">IF(D4="Pendiente","-",INDEX($CC$6:$CC$53,MATCH($AF4,$BD$6:$BD$53,0)))</f>
        <v>-</v>
      </c>
      <c r="M4" s="10"/>
      <c r="N4" s="10" t="str">
        <f t="shared" ref="N4:N9" ca="1" si="7">IF(D4="Pendiente","-",INDEX($CF$6:$CF$53,MATCH($AA4,$BD$6:$BD$53,0)))</f>
        <v>-</v>
      </c>
      <c r="O4" s="10" t="str">
        <f t="shared" ref="O4:O9" ca="1" si="8">IF(D4="Pendiente","-",INDEX($CF$6:$CF$53,MATCH($AF4,$BD$6:$BD$53,0)))</f>
        <v>-</v>
      </c>
      <c r="P4" s="10"/>
      <c r="Q4" s="10" t="str">
        <f t="shared" ref="Q4:Q9" ca="1" si="9">IF(D4="Pendiente","-",INDEX($CL$6:$CL$53,MATCH($AA4,$BD$6:$BD$53,0)))</f>
        <v>-</v>
      </c>
      <c r="R4" s="10" t="str">
        <f t="shared" ref="R4:R9" ca="1" si="10">IF(D4="Pendiente","-",INDEX($CL$6:$CL$53,MATCH($AF4,$BD$6:$BD$53,0)))</f>
        <v>-</v>
      </c>
      <c r="S4" s="10"/>
      <c r="T4" s="10" t="str">
        <f t="shared" ref="T4:T9" ca="1" si="11">IF(D4="Pendiente","-",INDEX($CQ$6:$CQ$53,MATCH($AA4,$BD$6:$BD$53,0)))</f>
        <v>-</v>
      </c>
      <c r="U4" s="10" t="str">
        <f t="shared" ref="U4:U9" ca="1" si="12">IF(D4="Pendiente","-",INDEX($CQ$6:$CQ$53,MATCH($AF4,$BD$6:$BD$53,0)))</f>
        <v>-</v>
      </c>
      <c r="V4" s="20"/>
      <c r="W4" s="681" t="s">
        <v>0</v>
      </c>
      <c r="X4" s="27">
        <f ca="1">Horarios!C4</f>
        <v>46184.875</v>
      </c>
      <c r="Y4" s="28">
        <f ca="1">Horarios!C4</f>
        <v>46184.875</v>
      </c>
      <c r="Z4" s="29" t="str">
        <f>Idiomas!D61</f>
        <v>J1</v>
      </c>
      <c r="AA4" s="30" t="str">
        <f ca="1">+A5</f>
        <v>México</v>
      </c>
      <c r="AB4" s="55" t="str">
        <f ca="1">+INDEX(Equipos!$L$2:$L$49,MATCH(WORLDCUP!AA4,Equipos!$K$2:$K$49,0))</f>
        <v>🇲🇽</v>
      </c>
      <c r="AC4" s="56">
        <v>2</v>
      </c>
      <c r="AD4" s="57">
        <v>1</v>
      </c>
      <c r="AE4" s="58" t="str">
        <f ca="1">+INDEX(Equipos!$L$2:$L$49,MATCH(WORLDCUP!AF4,Equipos!$K$2:$K$49,0))</f>
        <v>🇿🇦</v>
      </c>
      <c r="AF4" s="35" t="str">
        <f ca="1">A6</f>
        <v>Sudáfrica</v>
      </c>
      <c r="AG4" s="335">
        <f t="shared" ref="AG4:AG9" si="13">IF(NOT(OR(ISBLANK(AC4),ISBLANK(AD4))),1,0)</f>
        <v>1</v>
      </c>
      <c r="AH4" s="204">
        <v>1</v>
      </c>
      <c r="AI4" s="190"/>
      <c r="AJ4" s="67" t="str">
        <f>CONCATENATE(AJ3," ",B4)</f>
        <v>Grupo A</v>
      </c>
      <c r="AK4" s="68"/>
      <c r="AL4" s="68"/>
      <c r="AM4" s="68"/>
      <c r="AN4" s="68"/>
      <c r="AO4" s="68"/>
      <c r="AP4" s="68"/>
      <c r="AQ4" s="68"/>
      <c r="AR4" s="68"/>
      <c r="AS4" s="68"/>
      <c r="AT4" s="69"/>
      <c r="AU4" s="197"/>
      <c r="AV4" s="295" t="str">
        <f ca="1">IF(AU5&gt;0,$AV$3,"")</f>
        <v/>
      </c>
      <c r="AW4" s="176"/>
      <c r="AX4" s="176"/>
      <c r="AY4" s="186"/>
      <c r="AZ4" s="186"/>
      <c r="BA4" s="155"/>
      <c r="CW4" s="624"/>
      <c r="DA4" s="10" t="s">
        <v>1359</v>
      </c>
    </row>
    <row r="5" spans="1:119 5612:5612 8867:8867 13370:13370" ht="16.95" customHeight="1">
      <c r="A5" s="646" t="str">
        <f ca="1">+Equipos!B2</f>
        <v>México</v>
      </c>
      <c r="B5" s="11"/>
      <c r="C5" s="11"/>
      <c r="D5" s="10" t="str">
        <f t="shared" si="0"/>
        <v>Empate</v>
      </c>
      <c r="E5" s="10" t="str">
        <f t="shared" ca="1" si="1"/>
        <v>P.3 (2)</v>
      </c>
      <c r="F5" s="10" t="str">
        <f t="shared" ca="1" si="2"/>
        <v>P.3 (2)</v>
      </c>
      <c r="G5" s="10"/>
      <c r="H5" s="10" t="str">
        <f t="shared" ca="1" si="3"/>
        <v>P.3 (2)</v>
      </c>
      <c r="I5" s="10" t="str">
        <f t="shared" ca="1" si="4"/>
        <v>P.3 (2)</v>
      </c>
      <c r="J5" s="10"/>
      <c r="K5" s="10" t="str">
        <f t="shared" ca="1" si="5"/>
        <v>P.3 (2)</v>
      </c>
      <c r="L5" s="10" t="str">
        <f t="shared" ca="1" si="6"/>
        <v>P.3 (2)</v>
      </c>
      <c r="M5" s="10"/>
      <c r="N5" s="10" t="str">
        <f t="shared" ca="1" si="7"/>
        <v>P.3 (2)</v>
      </c>
      <c r="O5" s="10" t="str">
        <f t="shared" ca="1" si="8"/>
        <v>P.3 (2)</v>
      </c>
      <c r="P5" s="10"/>
      <c r="Q5" s="10" t="str">
        <f t="shared" ca="1" si="9"/>
        <v>P.3 (2)</v>
      </c>
      <c r="R5" s="10" t="str">
        <f t="shared" ca="1" si="10"/>
        <v>P.3 (2)</v>
      </c>
      <c r="S5" s="10"/>
      <c r="T5" s="10" t="str">
        <f t="shared" ca="1" si="11"/>
        <v>P.3 (2)</v>
      </c>
      <c r="U5" s="10" t="str">
        <f t="shared" ca="1" si="12"/>
        <v>P.3 (2)</v>
      </c>
      <c r="V5" s="20"/>
      <c r="W5" s="681"/>
      <c r="X5" s="27">
        <f ca="1">Horarios!C5</f>
        <v>46185.166666666664</v>
      </c>
      <c r="Y5" s="28">
        <f ca="1">Horarios!C5</f>
        <v>46185.166666666664</v>
      </c>
      <c r="Z5" s="29" t="str">
        <f>$Z$4</f>
        <v>J1</v>
      </c>
      <c r="AA5" s="30" t="str">
        <f ca="1">A7</f>
        <v>Corea del Sur</v>
      </c>
      <c r="AB5" s="55" t="str">
        <f ca="1">+INDEX(Equipos!$L$2:$L$49,MATCH(WORLDCUP!AA5,Equipos!$K$2:$K$49,0))</f>
        <v>🇰🇷</v>
      </c>
      <c r="AC5" s="56">
        <v>1</v>
      </c>
      <c r="AD5" s="57">
        <v>1</v>
      </c>
      <c r="AE5" s="58" t="str">
        <f ca="1">+INDEX(Equipos!$L$2:$L$49,MATCH(WORLDCUP!AF5,Equipos!$K$2:$K$49,0))</f>
        <v xml:space="preserve"> </v>
      </c>
      <c r="AF5" s="35" t="str">
        <f ca="1">A8</f>
        <v>PO D: DEN/MKD/CZE/IRL</v>
      </c>
      <c r="AG5" s="335">
        <f t="shared" si="13"/>
        <v>1</v>
      </c>
      <c r="AH5" s="204">
        <v>2</v>
      </c>
      <c r="AI5" s="190"/>
      <c r="AJ5" s="70" t="str">
        <f>Idiomas!D51</f>
        <v>Pos</v>
      </c>
      <c r="AK5" s="71"/>
      <c r="AL5" s="72" t="str">
        <f>Idiomas!D52</f>
        <v>Selección</v>
      </c>
      <c r="AM5" s="71" t="str">
        <f>Idiomas!D53</f>
        <v>Pts</v>
      </c>
      <c r="AN5" s="71" t="str">
        <f>Idiomas!D54</f>
        <v>J</v>
      </c>
      <c r="AO5" s="71" t="str">
        <f>Idiomas!D55</f>
        <v>G</v>
      </c>
      <c r="AP5" s="71" t="str">
        <f>Idiomas!D56</f>
        <v>E</v>
      </c>
      <c r="AQ5" s="71" t="str">
        <f>Idiomas!D57</f>
        <v>P</v>
      </c>
      <c r="AR5" s="71" t="str">
        <f>Idiomas!D58</f>
        <v>GF</v>
      </c>
      <c r="AS5" s="71" t="str">
        <f>Idiomas!D59</f>
        <v>GC</v>
      </c>
      <c r="AT5" s="73" t="str">
        <f>Idiomas!D60</f>
        <v>DG</v>
      </c>
      <c r="AU5" s="197">
        <f ca="1">COUNTIF(AU6:AU9,"&gt;1")</f>
        <v>0</v>
      </c>
      <c r="AV5" s="201"/>
      <c r="AW5" s="176"/>
      <c r="AX5" s="176"/>
      <c r="AY5" s="216" t="str">
        <f>AL5</f>
        <v>Selección</v>
      </c>
      <c r="AZ5" s="217" t="str">
        <f>+Idiomas!$D$67</f>
        <v>Puntos penalizados</v>
      </c>
      <c r="BA5" s="155"/>
      <c r="BC5" s="625" t="str">
        <f>Idiomas!D23</f>
        <v>Grupo</v>
      </c>
      <c r="BD5" s="625" t="str">
        <f>Idiomas!D52</f>
        <v>Selección</v>
      </c>
      <c r="BE5" s="625" t="str">
        <f t="shared" ref="BE5:BL5" si="14">+AM5</f>
        <v>Pts</v>
      </c>
      <c r="BF5" s="625" t="str">
        <f t="shared" si="14"/>
        <v>J</v>
      </c>
      <c r="BG5" s="625" t="str">
        <f t="shared" si="14"/>
        <v>G</v>
      </c>
      <c r="BH5" s="625" t="str">
        <f t="shared" si="14"/>
        <v>E</v>
      </c>
      <c r="BI5" s="625" t="str">
        <f t="shared" si="14"/>
        <v>P</v>
      </c>
      <c r="BJ5" s="625" t="str">
        <f t="shared" si="14"/>
        <v>GF</v>
      </c>
      <c r="BK5" s="625" t="str">
        <f t="shared" si="14"/>
        <v>GC</v>
      </c>
      <c r="BL5" s="625" t="str">
        <f t="shared" si="14"/>
        <v>DG</v>
      </c>
      <c r="BM5" s="625" t="s">
        <v>631</v>
      </c>
      <c r="BN5" s="625" t="s">
        <v>632</v>
      </c>
      <c r="BO5" s="626"/>
      <c r="BP5" s="627" t="s">
        <v>633</v>
      </c>
      <c r="BQ5" s="627" t="s">
        <v>636</v>
      </c>
      <c r="BR5" s="627" t="s">
        <v>634</v>
      </c>
      <c r="BS5" s="625" t="s">
        <v>651</v>
      </c>
      <c r="BT5" s="625" t="s">
        <v>652</v>
      </c>
      <c r="BU5" s="625" t="s">
        <v>653</v>
      </c>
      <c r="BV5" s="625" t="s">
        <v>654</v>
      </c>
      <c r="BW5" s="625" t="s">
        <v>637</v>
      </c>
      <c r="BX5" s="627" t="s">
        <v>635</v>
      </c>
      <c r="BY5" s="627" t="s">
        <v>659</v>
      </c>
      <c r="BZ5" s="627" t="s">
        <v>660</v>
      </c>
      <c r="CA5" s="627" t="s">
        <v>661</v>
      </c>
      <c r="CB5" s="627" t="s">
        <v>638</v>
      </c>
      <c r="CC5" s="627" t="s">
        <v>639</v>
      </c>
      <c r="CD5" s="625" t="s">
        <v>659</v>
      </c>
      <c r="CE5" s="625" t="s">
        <v>640</v>
      </c>
      <c r="CF5" s="627" t="s">
        <v>641</v>
      </c>
      <c r="CG5" s="625" t="s">
        <v>1224</v>
      </c>
      <c r="CH5" s="625" t="s">
        <v>1225</v>
      </c>
      <c r="CI5" s="625" t="s">
        <v>1226</v>
      </c>
      <c r="CJ5" s="625" t="s">
        <v>1227</v>
      </c>
      <c r="CK5" s="625" t="s">
        <v>642</v>
      </c>
      <c r="CL5" s="627" t="s">
        <v>643</v>
      </c>
      <c r="CM5" s="627" t="s">
        <v>1221</v>
      </c>
      <c r="CN5" s="627" t="s">
        <v>1222</v>
      </c>
      <c r="CO5" s="627" t="s">
        <v>1223</v>
      </c>
      <c r="CP5" s="627" t="s">
        <v>644</v>
      </c>
      <c r="CQ5" s="627" t="s">
        <v>645</v>
      </c>
      <c r="CR5" s="625" t="s">
        <v>1221</v>
      </c>
      <c r="CS5" s="625" t="s">
        <v>1228</v>
      </c>
      <c r="CT5" s="627" t="s">
        <v>1229</v>
      </c>
      <c r="CU5" s="627" t="s">
        <v>68</v>
      </c>
      <c r="CV5" s="627" t="s">
        <v>1236</v>
      </c>
      <c r="CW5" s="627" t="s">
        <v>1237</v>
      </c>
      <c r="CX5" s="627" t="s">
        <v>8</v>
      </c>
      <c r="CY5" s="627" t="s">
        <v>1238</v>
      </c>
      <c r="CZ5" s="627" t="s">
        <v>1239</v>
      </c>
      <c r="DA5" s="628" t="s">
        <v>1268</v>
      </c>
      <c r="DB5" s="628" t="s">
        <v>647</v>
      </c>
      <c r="DC5" s="629"/>
      <c r="DD5" s="628" t="s">
        <v>648</v>
      </c>
      <c r="DE5" s="628" t="s">
        <v>649</v>
      </c>
      <c r="DF5" s="628" t="s">
        <v>650</v>
      </c>
      <c r="DH5" s="429" t="s">
        <v>671</v>
      </c>
      <c r="DI5" s="429" t="s">
        <v>1214</v>
      </c>
      <c r="DJ5" s="429" t="s">
        <v>672</v>
      </c>
      <c r="DK5" s="429" t="s">
        <v>673</v>
      </c>
      <c r="DL5" s="429" t="s">
        <v>674</v>
      </c>
      <c r="DM5" s="429"/>
      <c r="DN5" s="429" t="s">
        <v>781</v>
      </c>
      <c r="DO5" s="429" t="s">
        <v>782</v>
      </c>
    </row>
    <row r="6" spans="1:119 5612:5612 8867:8867 13370:13370" ht="16.95" customHeight="1">
      <c r="A6" s="646" t="str">
        <f ca="1">+Equipos!B3</f>
        <v>Sudáfrica</v>
      </c>
      <c r="B6" s="11"/>
      <c r="C6" s="429"/>
      <c r="D6" s="10" t="str">
        <f t="shared" si="0"/>
        <v>Empate</v>
      </c>
      <c r="E6" s="10" t="str">
        <f t="shared" ca="1" si="1"/>
        <v>P.3 (2)</v>
      </c>
      <c r="F6" s="10" t="str">
        <f t="shared" ca="1" si="2"/>
        <v>-</v>
      </c>
      <c r="G6" s="10"/>
      <c r="H6" s="10" t="str">
        <f t="shared" ca="1" si="3"/>
        <v>P.3 (2)</v>
      </c>
      <c r="I6" s="10" t="str">
        <f t="shared" ca="1" si="4"/>
        <v>-</v>
      </c>
      <c r="J6" s="10"/>
      <c r="K6" s="10" t="str">
        <f t="shared" ca="1" si="5"/>
        <v>P.3 (2)</v>
      </c>
      <c r="L6" s="10" t="str">
        <f t="shared" ca="1" si="6"/>
        <v>-</v>
      </c>
      <c r="M6" s="10"/>
      <c r="N6" s="10" t="str">
        <f t="shared" ca="1" si="7"/>
        <v>P.3 (2)</v>
      </c>
      <c r="O6" s="10" t="str">
        <f t="shared" ca="1" si="8"/>
        <v>-</v>
      </c>
      <c r="P6" s="10"/>
      <c r="Q6" s="10" t="str">
        <f t="shared" ca="1" si="9"/>
        <v>P.3 (2)</v>
      </c>
      <c r="R6" s="10" t="str">
        <f t="shared" ca="1" si="10"/>
        <v>-</v>
      </c>
      <c r="S6" s="10"/>
      <c r="T6" s="10" t="str">
        <f t="shared" ca="1" si="11"/>
        <v>P.3 (2)</v>
      </c>
      <c r="U6" s="10" t="str">
        <f t="shared" ca="1" si="12"/>
        <v>-</v>
      </c>
      <c r="V6" s="20"/>
      <c r="W6" s="681"/>
      <c r="X6" s="27">
        <f ca="1">Horarios!C6</f>
        <v>46191.75</v>
      </c>
      <c r="Y6" s="28">
        <f ca="1">Horarios!C6</f>
        <v>46191.75</v>
      </c>
      <c r="Z6" s="29" t="str">
        <f>Idiomas!D62</f>
        <v>J2</v>
      </c>
      <c r="AA6" s="30" t="str">
        <f ca="1">A8</f>
        <v>PO D: DEN/MKD/CZE/IRL</v>
      </c>
      <c r="AB6" s="55" t="str">
        <f ca="1">+INDEX(Equipos!$L$2:$L$49,MATCH(WORLDCUP!AA6,Equipos!$K$2:$K$49,0))</f>
        <v xml:space="preserve"> </v>
      </c>
      <c r="AC6" s="56">
        <v>1</v>
      </c>
      <c r="AD6" s="57">
        <v>1</v>
      </c>
      <c r="AE6" s="58" t="str">
        <f ca="1">+INDEX(Equipos!$L$2:$L$49,MATCH(WORLDCUP!AF6,Equipos!$K$2:$K$49,0))</f>
        <v>🇿🇦</v>
      </c>
      <c r="AF6" s="35" t="str">
        <f ca="1">A6</f>
        <v>Sudáfrica</v>
      </c>
      <c r="AG6" s="335">
        <f t="shared" si="13"/>
        <v>1</v>
      </c>
      <c r="AH6" s="204">
        <v>25</v>
      </c>
      <c r="AI6" s="190" t="str">
        <f>AJ6&amp;$B$4</f>
        <v>1A</v>
      </c>
      <c r="AJ6" s="43">
        <v>1</v>
      </c>
      <c r="AK6" s="44" t="str">
        <f ca="1">+INDEX(Equipos!$L$2:$L$49,MATCH(WORLDCUP!AL6,Equipos!$K$2:$K$49,0))</f>
        <v>🇲🇽</v>
      </c>
      <c r="AL6" s="37" t="str">
        <f ca="1">IFERROR(INDEX($BD$6:$BD$53,MATCH(AI6,$BN$6:$BN$53,0)),"")</f>
        <v>México</v>
      </c>
      <c r="AM6" s="38">
        <f t="shared" ref="AM6:AT9" ca="1" si="15">INDEX($BE$6:$BN$53,MATCH($AL6,$BD$6:$BD$53,0),MATCH(AM$5,$BE$5:$BN$5,0))</f>
        <v>7</v>
      </c>
      <c r="AN6" s="39">
        <f t="shared" ca="1" si="15"/>
        <v>3</v>
      </c>
      <c r="AO6" s="39">
        <f t="shared" ca="1" si="15"/>
        <v>2</v>
      </c>
      <c r="AP6" s="39">
        <f t="shared" ca="1" si="15"/>
        <v>1</v>
      </c>
      <c r="AQ6" s="39">
        <f t="shared" ca="1" si="15"/>
        <v>0</v>
      </c>
      <c r="AR6" s="39">
        <f t="shared" ca="1" si="15"/>
        <v>3</v>
      </c>
      <c r="AS6" s="39">
        <f t="shared" ca="1" si="15"/>
        <v>1</v>
      </c>
      <c r="AT6" s="45">
        <f t="shared" ca="1" si="15"/>
        <v>2</v>
      </c>
      <c r="AU6" s="342">
        <f ca="1">INDEX($DJ$6:$DJ$53,MATCH(AI6,$DN$6:$DN$53,0))</f>
        <v>1</v>
      </c>
      <c r="AV6" s="191" t="str">
        <f ca="1">INDEX($BD$6:$BD$53,MATCH(AI6,$BM$6:$BM$53,0))</f>
        <v>México</v>
      </c>
      <c r="AW6" s="219"/>
      <c r="AX6" s="179"/>
      <c r="AY6" s="210" t="str">
        <f ca="1">+A5</f>
        <v>México</v>
      </c>
      <c r="AZ6" s="211"/>
      <c r="BA6" s="155"/>
      <c r="BC6" s="630" t="str">
        <f ca="1">+INDEX(T_Equipos[Grupo],MATCH(WORLDCUP!BD6,T_Equipos[NombreEquipo],0))</f>
        <v>A</v>
      </c>
      <c r="BD6" s="10" t="str">
        <f ca="1">+Equipos!B2</f>
        <v>México</v>
      </c>
      <c r="BE6" s="424">
        <f t="shared" ref="BE6:BE53" ca="1" si="16">+BG6*3+BH6+IF($AZ$3="No",0,INDEX($AZ$6:$AZ$97,MATCH(BD6,$AY$6:$AY$97,0)))</f>
        <v>7</v>
      </c>
      <c r="BF6" s="424">
        <f ca="1">+BG6+BH6+BI6</f>
        <v>3</v>
      </c>
      <c r="BG6" s="424">
        <f t="shared" ref="BG6:BG53" ca="1" si="17">+COUNTIFS(FGLocal,BD6,Ganador,"Local")+COUNTIFS(FGVisitante,BD6,Ganador,"Visitante")</f>
        <v>2</v>
      </c>
      <c r="BH6" s="424">
        <f t="shared" ref="BH6:BH53" ca="1" si="18">+COUNTIFS(FGLocal,BD6,Ganador,"Empate")+COUNTIFS(FGVisitante,BD6,Ganador,"Empate")</f>
        <v>1</v>
      </c>
      <c r="BI6" s="424">
        <f t="shared" ref="BI6:BI53" ca="1" si="19">+COUNTIFS(FGVisitante,BD6,Ganador,"Local")+COUNTIFS(FGLocal,BD6,Ganador,"Visitante")</f>
        <v>0</v>
      </c>
      <c r="BJ6" s="424">
        <f t="shared" ref="BJ6:BJ53" ca="1" si="20">+SUMIFS(FG_GolesLocal,FGLocal,BD6,Ganador,"&lt;&gt;"&amp;"Pendiente",FG_GolesLocal,"&lt;&gt;"&amp;"",FG_GolesVisitante,"&lt;&gt;"&amp;"")+SUMIFS(FG_GolesVisitante,FGVisitante,BD6,Ganador,"&lt;&gt;"&amp;"Pendiente",FG_GolesLocal,"&lt;&gt;"&amp;"",FG_GolesVisitante,"&lt;&gt;"&amp;"")</f>
        <v>3</v>
      </c>
      <c r="BK6" s="424">
        <f t="shared" ref="BK6:BK53" ca="1" si="21">+SUMIFS(FG_GolesLocal,FGVisitante,BD6,Ganador,"&lt;&gt;"&amp;"Pendiente",FG_GolesLocal,"&lt;&gt;"&amp;"",FG_GolesVisitante,"&lt;&gt;"&amp;"")+SUMIFS(FG_GolesVisitante,FGLocal,BD6,Ganador,"&lt;&gt;"&amp;"Pendiente",FG_GolesLocal,"&lt;&gt;"&amp;"",FG_GolesVisitante,"&lt;&gt;"&amp;"")</f>
        <v>1</v>
      </c>
      <c r="BL6" s="424">
        <f ca="1">+BJ6-BK6</f>
        <v>2</v>
      </c>
      <c r="BM6" s="424" t="str">
        <f t="shared" ref="BM6:BM53" ca="1" si="22">DB6&amp;BC6</f>
        <v>1A</v>
      </c>
      <c r="BN6" s="424" t="str">
        <f t="shared" ref="BN6:BN53" ca="1" si="23">DF6&amp;BC6</f>
        <v>1A</v>
      </c>
      <c r="BO6" s="630"/>
      <c r="BP6" s="631">
        <f ca="1">+BE6</f>
        <v>7</v>
      </c>
      <c r="BQ6" s="631">
        <f ca="1">COUNTIFS($BE$6:$BE$53,"&gt;"&amp;BE6,$BC$6:$BC$53,INDEX(T_Equipos[Grupo],MATCH(BD6,T_Equipos[NombreEquipo],0)))+1</f>
        <v>1</v>
      </c>
      <c r="BR6" s="631" t="str">
        <f ca="1">IF(COUNTIFS($BQ$6:$BQ$53,BQ6,$BC$6:$BC$53,INDEX(T_Equipos[Grupo],MATCH(BD6,T_Equipos[NombreEquipo],0)))=1,"-","P."&amp;BQ6&amp;" ("&amp;COUNTIFS($BQ$6:$BQ$53,BQ6,$BC$6:$BC$53,INDEX(T_Equipos[Grupo],MATCH(BD6,T_Equipos[NombreEquipo],0)))&amp;")")</f>
        <v>-</v>
      </c>
      <c r="BS6" s="632" t="str">
        <f ca="1">IF($BR6="-","-",COUNTIFS(FGLocal,$BD6,Ganador,"Local",Part1Empate1V,$BR6)+COUNTIFS(FGVisitante,$BD6,Ganador,"Visitante",Part1Empate1L,$BR6))</f>
        <v>-</v>
      </c>
      <c r="BT6" s="632" t="str">
        <f ca="1">IF($BR6="-","-",COUNTIFS(FGLocal,$BD6,Ganador,"Empate",Part1Empate1V,$BR6)+COUNTIFS(FGVisitante,$BD6,Ganador,"Empate",Part1Empate1L,$BR6))</f>
        <v>-</v>
      </c>
      <c r="BU6" s="632" t="str">
        <f ca="1">IF($BR6="-","-",COUNTIFS(FGLocal,$BD6,Ganador,"Visitante",Part1Empate1V,$BR6)+COUNTIFS(FGVisitante,$BD6,Ganador,"Local",Part1Empate1L,$BR6))</f>
        <v>-</v>
      </c>
      <c r="BV6" s="632" t="str">
        <f ca="1">IF($BR6="-","-",BS6*3+BT6)</f>
        <v>-</v>
      </c>
      <c r="BW6" s="632">
        <f ca="1">BQ6+COUNTIFS($BR$6:$BR$53,BR6,$BV$6:BV$53,"&gt;"&amp;BV6,$BC$6:$BC$53,INDEX(T_Equipos[Grupo],MATCH(BD6,T_Equipos[NombreEquipo],0)))</f>
        <v>1</v>
      </c>
      <c r="BX6" s="631" t="str">
        <f ca="1">IF(COUNTIFS($BW$6:$BW$53,BW6,$BC$6:$BC$53,INDEX(T_Equipos[Grupo],MATCH(BD6,T_Equipos[NombreEquipo],0)))=1,"-","P."&amp;BW6&amp;" ("&amp;COUNTIFS($BW$6:$BW$53,BW6,$BC$6:$BC$53,INDEX(T_Equipos[Grupo],MATCH(BD6,T_Equipos[NombreEquipo],0)))&amp;")")</f>
        <v>-</v>
      </c>
      <c r="BY6" s="632" t="str">
        <f ca="1">IF($BX6="-","-",SUMIFS(FG_GolesLocal,FGLocal,$BD6,Part1Empate2V,$BX6)+SUMIFS(FG_GolesVisitante,FGVisitante,$BD6,Part1Empate2L,$BX6))</f>
        <v>-</v>
      </c>
      <c r="BZ6" s="632" t="str">
        <f ca="1">IF($BX6="-","-",SUMIFS(FG_GolesVisitante,FGLocal,$BD6,Part1Empate2V,$BX6)+SUMIFS(FG_GolesLocal,FGVisitante,$BD6,Part1Empate2L,$BX6))</f>
        <v>-</v>
      </c>
      <c r="CA6" s="632" t="str">
        <f ca="1">IF($BX6="-","-",BY6-BZ6)</f>
        <v>-</v>
      </c>
      <c r="CB6" s="632">
        <f ca="1">BW6+COUNTIFS($BX$6:$BX$53,BX6,$CA$6:CA$53,"&gt;"&amp;CA6,$BC$6:$BC$53,INDEX(T_Equipos[Grupo],MATCH(BD6,T_Equipos[NombreEquipo],0)))</f>
        <v>1</v>
      </c>
      <c r="CC6" s="631" t="str">
        <f ca="1">IF(COUNTIFS($CB$6:$CB$53,CB6,$BC$6:$BC$53,INDEX(T_Equipos[Grupo],MATCH(BD6,T_Equipos[NombreEquipo],0)))=1,"-","P."&amp;CB6&amp;" ("&amp;COUNTIFS($CB$6:$CB$53,CB6,$BC$6:$BC$53,INDEX(T_Equipos[Grupo],MATCH(BD6,T_Equipos[NombreEquipo],0)))&amp;")")</f>
        <v>-</v>
      </c>
      <c r="CD6" s="632" t="str">
        <f ca="1">IF($CC6="-","-",SUMIFS(FG_GolesLocal,FGLocal,$BD6,Part1Empate3V,$CC6)+SUMIFS(FG_GolesVisitante,FGVisitante,$BD6,Part1Empate3L,$CC6))</f>
        <v>-</v>
      </c>
      <c r="CE6" s="632">
        <f ca="1">CB6+COUNTIFS($CC$6:$CC$53,CC6,$CD$6:CD$53,"&gt;"&amp;CD6,$BC$6:$BC$53,INDEX(T_Equipos[Grupo],MATCH(BD6,T_Equipos[NombreEquipo],0)))</f>
        <v>1</v>
      </c>
      <c r="CF6" s="631" t="str">
        <f ca="1">IF(COUNTIFS($CE$6:$CE$53,CE6,$BC$6:$BC$53,INDEX(T_Equipos[Grupo],MATCH(BD6,T_Equipos[NombreEquipo],0)))=1,"-","P."&amp;CE6&amp;" ("&amp;COUNTIFS($CE$6:$CE$53,CE6,$BC$6:$BC$53,INDEX(T_Equipos[Grupo],MATCH(BD6,T_Equipos[NombreEquipo],0)))&amp;")")</f>
        <v>-</v>
      </c>
      <c r="CG6" s="632" t="str">
        <f ca="1">IF($CF6="-","-",COUNTIFS(FGLocal,$BD6,Ganador,"Local",Part2Empate4V,$CF6)+COUNTIFS(FGVisitante,$BD6,Ganador,"Visitante",Part2Empate4L,$CF6))</f>
        <v>-</v>
      </c>
      <c r="CH6" s="632" t="str">
        <f ca="1">IF($CF6="-","-",COUNTIFS(FGLocal,$BD6,Ganador,"Empate",Part2Empate4V,$CF6)+COUNTIFS(FGVisitante,$BD6,Ganador,"Empate",Part2Empate4L,$CF6))</f>
        <v>-</v>
      </c>
      <c r="CI6" s="632" t="str">
        <f ca="1">IF($CF6="-","-",COUNTIFS(FGLocal,$BD6,Ganador,"Visitante",Part2Empate4V,$CF6)+COUNTIFS(FGVisitante,$BD6,Ganador,"Local",Part2Empate4L,$CF6))</f>
        <v>-</v>
      </c>
      <c r="CJ6" s="632" t="str">
        <f ca="1">IF($CF6="-","-",CG6*3+CH6)</f>
        <v>-</v>
      </c>
      <c r="CK6" s="632">
        <f ca="1">CE6+COUNTIFS($CF$6:$CF$53,CF6,$CJ$6:CJ$53,"&gt;"&amp;CJ6,$BC$6:$BC$53,INDEX(T_Equipos[Grupo],MATCH(BD6,T_Equipos[NombreEquipo],0)))</f>
        <v>1</v>
      </c>
      <c r="CL6" s="631" t="str">
        <f ca="1">IF(COUNTIFS($CK$6:$CK$53,CK6,$BC$6:$BC$53,INDEX(T_Equipos[Grupo],MATCH(BD6,T_Equipos[NombreEquipo],0)))=1,"-","P."&amp;CK6&amp;" ("&amp;COUNTIFS($CK$6:$CK$53,CK6,$BC$6:$BC$53,INDEX(T_Equipos[Grupo],MATCH(BD6,T_Equipos[NombreEquipo],0)))&amp;")")</f>
        <v>-</v>
      </c>
      <c r="CM6" s="632" t="str">
        <f ca="1">IF($CL6="-","-",SUMIFS(FG_GolesLocal,FGLocal,$BD6,Part2Empate5V,$CL6)+SUMIFS(FG_GolesVisitante,FGVisitante,$BD6,Part2Empate5L,$CL6))</f>
        <v>-</v>
      </c>
      <c r="CN6" s="632" t="str">
        <f ca="1">IF($CL6="-","-",SUMIFS(FG_GolesVisitante,FGLocal,$BD6,Part2Empate5V,$CL6)+SUMIFS(FG_GolesLocal,FGVisitante,$BD6,Part2Empate5L,$CL6))</f>
        <v>-</v>
      </c>
      <c r="CO6" s="632" t="str">
        <f ca="1">IF($CL6="-","-",CM6-CN6)</f>
        <v>-</v>
      </c>
      <c r="CP6" s="632">
        <f ca="1">CK6+COUNTIFS($CL$6:$CL$53,CL6,$CO$6:CO$53,"&gt;"&amp;CO6,$BC$6:$BC$53,INDEX(T_Equipos[Grupo],MATCH(BD6,T_Equipos[NombreEquipo],0)))</f>
        <v>1</v>
      </c>
      <c r="CQ6" s="631" t="str">
        <f ca="1">IF(COUNTIFS($CP$6:$CP$53,CP6,$BC$6:$BC$53,INDEX(T_Equipos[Grupo],MATCH(BD6,T_Equipos[NombreEquipo],0)))=1,"-","P."&amp;CP6&amp;" ("&amp;COUNTIFS($CP$6:$CP$53,CP6,$BC$6:$BC$53,INDEX(T_Equipos[Grupo],MATCH(BD6,T_Equipos[NombreEquipo],0)))&amp;")")</f>
        <v>-</v>
      </c>
      <c r="CR6" s="632" t="str">
        <f ca="1">IF($CQ6="-","-",SUMIFS(FG_GolesLocal,FGLocal,$BD6,Part2Empate6V,$CQ6)+SUMIFS(FG_GolesVisitante,FGVisitante,$BD6,Part2Empate6L,$CQ6))</f>
        <v>-</v>
      </c>
      <c r="CS6" s="632">
        <f ca="1">CP6+COUNTIFS($CQ$6:$CQ$53,CQ6,$CR$6:CR$53,"&gt;"&amp;CR6,$BC$6:$BC$53,INDEX(T_Equipos[Grupo],MATCH(BD6,T_Equipos[NombreEquipo],0)))</f>
        <v>1</v>
      </c>
      <c r="CT6" s="631" t="str">
        <f ca="1">IF(COUNTIFS($CS$6:$CS$53,CS6,$BC$6:$BC$53,INDEX(T_Equipos[Grupo],MATCH(BD6,T_Equipos[NombreEquipo],0)))=1,"-","P."&amp;CS6&amp;" ("&amp;COUNTIFS($CS$6:$CS$53,CS6,$BC$6:$BC$53,INDEX(T_Equipos[Grupo],MATCH(BD6,T_Equipos[NombreEquipo],0)))&amp;")")</f>
        <v>-</v>
      </c>
      <c r="CU6" s="631" t="str">
        <f ca="1">IF(CT6="-","-",BL6)</f>
        <v>-</v>
      </c>
      <c r="CV6" s="631">
        <f ca="1">CS6+COUNTIFS($CT$6:$CT$53,CT6,$CU$6:CU$53,"&gt;"&amp;CU6,$BC$6:$BC$53,INDEX(T_Equipos[Grupo],MATCH(BD6,T_Equipos[NombreEquipo],0)))</f>
        <v>1</v>
      </c>
      <c r="CW6" s="631" t="str">
        <f ca="1">IF(COUNTIFS($CV$6:$CV$53,CV6,$BC$6:$BC$53,INDEX(T_Equipos[Grupo],MATCH(BD6,T_Equipos[NombreEquipo],0)))=1,"-","P."&amp;CV6&amp;" ("&amp;COUNTIFS($CV$6:$CV$53,CV6,$BC$6:$BC$53,INDEX(T_Equipos[Grupo],MATCH(BD6,T_Equipos[NombreEquipo],0)))&amp;")")</f>
        <v>-</v>
      </c>
      <c r="CX6" s="631" t="str">
        <f ca="1">IF(CW6="-","-",BJ6)</f>
        <v>-</v>
      </c>
      <c r="CY6" s="632">
        <f ca="1">CV6+COUNTIFS($CW$6:$CW$53,CW6,$CX$6:CX$53,"&gt;"&amp;CX6,$BC$6:$BC$53,INDEX(T_Equipos[Grupo],MATCH(BD6,T_Equipos[NombreEquipo],0)))</f>
        <v>1</v>
      </c>
      <c r="CZ6" s="631" t="str">
        <f ca="1">IF(COUNTIFS($CY$6:$CY$53,CY6,$BC$6:$BC$53,INDEX(T_Equipos[Grupo],MATCH(BD6,T_Equipos[NombreEquipo],0)))=1,"-","P."&amp;CY6&amp;" ("&amp;COUNTIFS($CY$6:$CY$53,CY6,$BC$6:$BC$53,INDEX(T_Equipos[Grupo],MATCH(BD6,T_Equipos[NombreEquipo],0)))&amp;")")</f>
        <v>-</v>
      </c>
      <c r="DA6" s="633" t="str">
        <f ca="1">IF(CZ6="-","-",COUNTIFS(T_Equipos[Rank],"&lt;"&amp;INDEX(T_Equipos[Rank],MATCH(BD6,T_Equipos[NombreEquipo],0)),$BC$6:$BC$53,INDEX(T_Equipos[Grupo],MATCH(BD6,T_Equipos[NombreEquipo],0)))+1)</f>
        <v>-</v>
      </c>
      <c r="DB6" s="630">
        <f ca="1">CY6+COUNTIFS($CZ$6:$CZ$53,CZ6,$DA$6:DA$53,"&lt;"&amp;DA6,$BC$6:$BC$53,INDEX(T_Equipos[Grupo],MATCH(BD6,T_Equipos[NombreEquipo],0)))</f>
        <v>1</v>
      </c>
      <c r="DC6" s="630"/>
      <c r="DD6" s="630">
        <f ca="1">IF(OR(INDEX($AW$6:$AW$97,MATCH($BD6,$AV$6:$AV$97,0))="",CZ6="-"),DB6,INDEX($AW$6:$AW$97,MATCH($BD6,$AV$6:$AV$97,0))+DB6/1000)</f>
        <v>1</v>
      </c>
      <c r="DE6" s="630" t="str">
        <f ca="1">IF(CZ6="-","-",COUNTIFS(DD$6:DD$53,"&lt;"&amp;DD6,$BC$6:$BC$53,INDEX(T_Equipos[Grupo],MATCH(BD6,T_Equipos[NombreEquipo],0))))</f>
        <v>-</v>
      </c>
      <c r="DF6" s="630">
        <f ca="1">CY6+COUNTIFS(CZ$6:CZ$53,CZ6,DE$6:DE$53,"&lt;"&amp;DE6,$BC$6:$BC$53,INDEX(T_Equipos[Grupo],MATCH(BD6,T_Equipos[NombreEquipo],0)))</f>
        <v>1</v>
      </c>
      <c r="DH6" s="10">
        <f ca="1">INDEX($CY$6:$CY$53,MATCH($DO6,$BD$6:$BD$53,0))</f>
        <v>1</v>
      </c>
      <c r="DI6" s="10">
        <f t="shared" ref="DI6:DI53" ca="1" si="24">+SUMIF($BC$6:$BC$53,BC6,$BF$6:$BF$53)</f>
        <v>12</v>
      </c>
      <c r="DJ6" s="10">
        <f ca="1">IF(OR(DI6=12,$AJ$99=144),COUNTIFS($DH$6:$DH$53,DH6,$BC$6:$BC$53,BC6),1)</f>
        <v>1</v>
      </c>
      <c r="DK6" s="19" t="str">
        <f ca="1">DH6&amp;"."&amp;DJ6</f>
        <v>1.1</v>
      </c>
      <c r="DL6" s="10" cm="1">
        <f t="array" aca="1" ref="DL6" ca="1">OFFSET(Horarios!$P$3,DH6-1,0,DJ6,1)</f>
        <v>1</v>
      </c>
      <c r="DN6" s="10" t="s">
        <v>664</v>
      </c>
      <c r="DO6" s="10" t="str">
        <f ca="1">INDEX($BD$6:$BD$53,MATCH(DN6,$BM$6:$BM$53,0))</f>
        <v>México</v>
      </c>
    </row>
    <row r="7" spans="1:119 5612:5612 8867:8867 13370:13370" ht="16.95" customHeight="1">
      <c r="A7" s="646" t="str">
        <f ca="1">+Equipos!B4</f>
        <v>Corea del Sur</v>
      </c>
      <c r="B7" s="11"/>
      <c r="C7" s="10"/>
      <c r="D7" s="10" t="str">
        <f t="shared" si="0"/>
        <v>Empate</v>
      </c>
      <c r="E7" s="10" t="str">
        <f t="shared" ca="1" si="1"/>
        <v>-</v>
      </c>
      <c r="F7" s="10" t="str">
        <f t="shared" ca="1" si="2"/>
        <v>P.3 (2)</v>
      </c>
      <c r="G7" s="10"/>
      <c r="H7" s="10" t="str">
        <f t="shared" ca="1" si="3"/>
        <v>-</v>
      </c>
      <c r="I7" s="10" t="str">
        <f t="shared" ca="1" si="4"/>
        <v>P.3 (2)</v>
      </c>
      <c r="J7" s="10"/>
      <c r="K7" s="10" t="str">
        <f t="shared" ca="1" si="5"/>
        <v>-</v>
      </c>
      <c r="L7" s="10" t="str">
        <f t="shared" ca="1" si="6"/>
        <v>P.3 (2)</v>
      </c>
      <c r="M7" s="10"/>
      <c r="N7" s="10" t="str">
        <f t="shared" ca="1" si="7"/>
        <v>-</v>
      </c>
      <c r="O7" s="10" t="str">
        <f t="shared" ca="1" si="8"/>
        <v>P.3 (2)</v>
      </c>
      <c r="P7" s="10"/>
      <c r="Q7" s="10" t="str">
        <f t="shared" ca="1" si="9"/>
        <v>-</v>
      </c>
      <c r="R7" s="10" t="str">
        <f t="shared" ca="1" si="10"/>
        <v>P.3 (2)</v>
      </c>
      <c r="S7" s="10"/>
      <c r="T7" s="10" t="str">
        <f t="shared" ca="1" si="11"/>
        <v>-</v>
      </c>
      <c r="U7" s="10" t="str">
        <f t="shared" ca="1" si="12"/>
        <v>P.3 (2)</v>
      </c>
      <c r="V7" s="20"/>
      <c r="W7" s="681"/>
      <c r="X7" s="27">
        <f ca="1">Horarios!C7</f>
        <v>46192.125</v>
      </c>
      <c r="Y7" s="28">
        <f ca="1">Horarios!C7</f>
        <v>46192.125</v>
      </c>
      <c r="Z7" s="29" t="str">
        <f>$Z$6</f>
        <v>J2</v>
      </c>
      <c r="AA7" s="30" t="str">
        <f ca="1">A5</f>
        <v>México</v>
      </c>
      <c r="AB7" s="55" t="str">
        <f ca="1">+INDEX(Equipos!$L$2:$L$49,MATCH(WORLDCUP!AA7,Equipos!$K$2:$K$49,0))</f>
        <v>🇲🇽</v>
      </c>
      <c r="AC7" s="56">
        <v>0</v>
      </c>
      <c r="AD7" s="57">
        <v>0</v>
      </c>
      <c r="AE7" s="58" t="str">
        <f ca="1">+INDEX(Equipos!$L$2:$L$49,MATCH(WORLDCUP!AF7,Equipos!$K$2:$K$49,0))</f>
        <v>🇰🇷</v>
      </c>
      <c r="AF7" s="35" t="str">
        <f ca="1">A7</f>
        <v>Corea del Sur</v>
      </c>
      <c r="AG7" s="335">
        <f t="shared" si="13"/>
        <v>1</v>
      </c>
      <c r="AH7" s="204">
        <v>28</v>
      </c>
      <c r="AI7" s="190" t="str">
        <f>AJ7&amp;$B$4</f>
        <v>2A</v>
      </c>
      <c r="AJ7" s="46">
        <v>2</v>
      </c>
      <c r="AK7" s="47" t="str">
        <f ca="1">+INDEX(Equipos!$L$2:$L$49,MATCH(WORLDCUP!AL7,Equipos!$K$2:$K$49,0))</f>
        <v>🇿🇦</v>
      </c>
      <c r="AL7" s="40" t="str">
        <f ca="1">IFERROR(INDEX($BD$6:$BD$53,MATCH(AI7,$BN$6:$BN$53,0)),"")</f>
        <v>Sudáfrica</v>
      </c>
      <c r="AM7" s="41">
        <f t="shared" ca="1" si="15"/>
        <v>4</v>
      </c>
      <c r="AN7" s="42">
        <f t="shared" ca="1" si="15"/>
        <v>3</v>
      </c>
      <c r="AO7" s="42">
        <f t="shared" ca="1" si="15"/>
        <v>1</v>
      </c>
      <c r="AP7" s="42">
        <f t="shared" ca="1" si="15"/>
        <v>1</v>
      </c>
      <c r="AQ7" s="42">
        <f t="shared" ca="1" si="15"/>
        <v>1</v>
      </c>
      <c r="AR7" s="42">
        <f t="shared" ca="1" si="15"/>
        <v>3</v>
      </c>
      <c r="AS7" s="42">
        <f t="shared" ca="1" si="15"/>
        <v>3</v>
      </c>
      <c r="AT7" s="48">
        <f t="shared" ca="1" si="15"/>
        <v>0</v>
      </c>
      <c r="AU7" s="342">
        <f ca="1">INDEX($DJ$6:$DJ$53,MATCH(AI7,$DN$6:$DN$53,0))</f>
        <v>1</v>
      </c>
      <c r="AV7" s="191" t="str">
        <f ca="1">INDEX($BD$6:$BD$53,MATCH(AI7,$BM$6:$BM$53,0))</f>
        <v>Sudáfrica</v>
      </c>
      <c r="AW7" s="219"/>
      <c r="AX7" s="179"/>
      <c r="AY7" s="212" t="str">
        <f ca="1">+A6</f>
        <v>Sudáfrica</v>
      </c>
      <c r="AZ7" s="213"/>
      <c r="BA7" s="155"/>
      <c r="BC7" s="630" t="str">
        <f ca="1">+INDEX(T_Equipos[Grupo],MATCH(WORLDCUP!BD7,T_Equipos[NombreEquipo],0))</f>
        <v>A</v>
      </c>
      <c r="BD7" s="10" t="str">
        <f ca="1">+Equipos!B3</f>
        <v>Sudáfrica</v>
      </c>
      <c r="BE7" s="424">
        <f t="shared" ca="1" si="16"/>
        <v>4</v>
      </c>
      <c r="BF7" s="424">
        <f t="shared" ref="BF7:BF53" ca="1" si="25">+BG7+BH7+BI7</f>
        <v>3</v>
      </c>
      <c r="BG7" s="424">
        <f t="shared" ca="1" si="17"/>
        <v>1</v>
      </c>
      <c r="BH7" s="424">
        <f t="shared" ca="1" si="18"/>
        <v>1</v>
      </c>
      <c r="BI7" s="424">
        <f t="shared" ca="1" si="19"/>
        <v>1</v>
      </c>
      <c r="BJ7" s="424">
        <f t="shared" ca="1" si="20"/>
        <v>3</v>
      </c>
      <c r="BK7" s="424">
        <f t="shared" ca="1" si="21"/>
        <v>3</v>
      </c>
      <c r="BL7" s="424">
        <f t="shared" ref="BL7:BL53" ca="1" si="26">+BJ7-BK7</f>
        <v>0</v>
      </c>
      <c r="BM7" s="424" t="str">
        <f t="shared" ca="1" si="22"/>
        <v>2A</v>
      </c>
      <c r="BN7" s="424" t="str">
        <f t="shared" ca="1" si="23"/>
        <v>2A</v>
      </c>
      <c r="BO7" s="630"/>
      <c r="BP7" s="631">
        <f t="shared" ref="BP7:BP53" ca="1" si="27">+BE7</f>
        <v>4</v>
      </c>
      <c r="BQ7" s="631">
        <f ca="1">COUNTIFS($BE$6:$BE$53,"&gt;"&amp;BE7,$BC$6:$BC$53,INDEX(T_Equipos[Grupo],MATCH(BD7,T_Equipos[NombreEquipo],0)))+1</f>
        <v>2</v>
      </c>
      <c r="BR7" s="631" t="str">
        <f ca="1">IF(COUNTIFS($BQ$6:$BQ$53,BQ7,$BC$6:$BC$53,INDEX(T_Equipos[Grupo],MATCH(BD7,T_Equipos[NombreEquipo],0)))=1,"-","P."&amp;BQ7&amp;" ("&amp;COUNTIFS($BQ$6:$BQ$53,BQ7,$BC$6:$BC$53,INDEX(T_Equipos[Grupo],MATCH(BD7,T_Equipos[NombreEquipo],0)))&amp;")")</f>
        <v>-</v>
      </c>
      <c r="BS7" s="632" t="str">
        <f ca="1">IF($BR7="-","-",COUNTIFS(FGLocal,$BD7,Ganador,"Local",Part1Empate1V,$BR7)+COUNTIFS(FGVisitante,$BD7,Ganador,"Visitante",Part1Empate1L,$BR7))</f>
        <v>-</v>
      </c>
      <c r="BT7" s="632" t="str">
        <f ca="1">IF($BR7="-","-",COUNTIFS(FGLocal,$BD7,Ganador,"Empate",Part1Empate1V,$BR7)+COUNTIFS(FGVisitante,$BD7,Ganador,"Empate",Part1Empate1L,$BR7))</f>
        <v>-</v>
      </c>
      <c r="BU7" s="632" t="str">
        <f ca="1">IF($BR7="-","-",COUNTIFS(FGLocal,$BD7,Ganador,"Visitante",Part1Empate1V,$BR7)+COUNTIFS(FGVisitante,$BD7,Ganador,"Local",Part1Empate1L,$BR7))</f>
        <v>-</v>
      </c>
      <c r="BV7" s="632" t="str">
        <f ca="1">IF($BR7="-","-",BS7*3+BT7)</f>
        <v>-</v>
      </c>
      <c r="BW7" s="632">
        <f ca="1">BQ7+COUNTIFS($BR$6:$BR$53,BR7,$BV$6:BV$53,"&gt;"&amp;BV7,$BC$6:$BC$53,INDEX(T_Equipos[Grupo],MATCH(BD7,T_Equipos[NombreEquipo],0)))</f>
        <v>2</v>
      </c>
      <c r="BX7" s="631" t="str">
        <f ca="1">IF(COUNTIFS($BW$6:$BW$53,BW7,$BC$6:$BC$53,INDEX(T_Equipos[Grupo],MATCH(BD7,T_Equipos[NombreEquipo],0)))=1,"-","P."&amp;BW7&amp;" ("&amp;COUNTIFS($BW$6:$BW$53,BW7,$BC$6:$BC$53,INDEX(T_Equipos[Grupo],MATCH(BD7,T_Equipos[NombreEquipo],0)))&amp;")")</f>
        <v>-</v>
      </c>
      <c r="BY7" s="632" t="str">
        <f ca="1">IF($BX7="-","-",SUMIFS(FG_GolesLocal,FGLocal,$BD7,Part1Empate2V,$BX7)+SUMIFS(FG_GolesVisitante,FGVisitante,$BD7,Part1Empate2L,$BX7))</f>
        <v>-</v>
      </c>
      <c r="BZ7" s="632" t="str">
        <f ca="1">IF($BX7="-","-",SUMIFS(FG_GolesVisitante,FGLocal,$BD7,Part1Empate2V,$BX7)+SUMIFS(FG_GolesLocal,FGVisitante,$BD7,Part1Empate2L,$BX7))</f>
        <v>-</v>
      </c>
      <c r="CA7" s="632" t="str">
        <f ca="1">IF($BX7="-","-",BY7-BZ7)</f>
        <v>-</v>
      </c>
      <c r="CB7" s="632">
        <f ca="1">BW7+COUNTIFS($BX$6:$BX$53,BX7,$CA$6:CA$53,"&gt;"&amp;CA7,$BC$6:$BC$53,INDEX(T_Equipos[Grupo],MATCH(BD7,T_Equipos[NombreEquipo],0)))</f>
        <v>2</v>
      </c>
      <c r="CC7" s="631" t="str">
        <f ca="1">IF(COUNTIFS($CB$6:$CB$53,CB7,$BC$6:$BC$53,INDEX(T_Equipos[Grupo],MATCH(BD7,T_Equipos[NombreEquipo],0)))=1,"-","P."&amp;CB7&amp;" ("&amp;COUNTIFS($CB$6:$CB$53,CB7,$BC$6:$BC$53,INDEX(T_Equipos[Grupo],MATCH(BD7,T_Equipos[NombreEquipo],0)))&amp;")")</f>
        <v>-</v>
      </c>
      <c r="CD7" s="632" t="str">
        <f ca="1">IF($CC7="-","-",SUMIFS(FG_GolesLocal,FGLocal,$BD7,Part1Empate3V,$CC7)+SUMIFS(FG_GolesVisitante,FGVisitante,$BD7,Part1Empate3L,$CC7))</f>
        <v>-</v>
      </c>
      <c r="CE7" s="632">
        <f ca="1">CB7+COUNTIFS($CC$6:$CC$53,CC7,$CD$6:CD$53,"&gt;"&amp;CD7,$BC$6:$BC$53,INDEX(T_Equipos[Grupo],MATCH(BD7,T_Equipos[NombreEquipo],0)))</f>
        <v>2</v>
      </c>
      <c r="CF7" s="631" t="str">
        <f ca="1">IF(COUNTIFS($CE$6:$CE$53,CE7,$BC$6:$BC$53,INDEX(T_Equipos[Grupo],MATCH(BD7,T_Equipos[NombreEquipo],0)))=1,"-","P."&amp;CE7&amp;" ("&amp;COUNTIFS($CE$6:$CE$53,CE7,$BC$6:$BC$53,INDEX(T_Equipos[Grupo],MATCH(BD7,T_Equipos[NombreEquipo],0)))&amp;")")</f>
        <v>-</v>
      </c>
      <c r="CG7" s="632" t="str">
        <f ca="1">IF($CF7="-","-",COUNTIFS(FGLocal,$BD7,Ganador,"Local",Part2Empate4V,$CF7)+COUNTIFS(FGVisitante,$BD7,Ganador,"Visitante",Part2Empate4L,$CF7))</f>
        <v>-</v>
      </c>
      <c r="CH7" s="632" t="str">
        <f ca="1">IF($CF7="-","-",COUNTIFS(FGLocal,$BD7,Ganador,"Empate",Part2Empate4V,$CF7)+COUNTIFS(FGVisitante,$BD7,Ganador,"Empate",Part2Empate4L,$CF7))</f>
        <v>-</v>
      </c>
      <c r="CI7" s="632" t="str">
        <f ca="1">IF($CF7="-","-",COUNTIFS(FGLocal,$BD7,Ganador,"Visitante",Part2Empate4V,$CF7)+COUNTIFS(FGVisitante,$BD7,Ganador,"Local",Part2Empate4L,$CF7))</f>
        <v>-</v>
      </c>
      <c r="CJ7" s="632" t="str">
        <f ca="1">IF($CF7="-","-",CG7*3+CH7)</f>
        <v>-</v>
      </c>
      <c r="CK7" s="632">
        <f ca="1">CE7+COUNTIFS($CF$6:$CF$53,CF7,$CJ$6:CJ$53,"&gt;"&amp;CJ7,$BC$6:$BC$53,INDEX(T_Equipos[Grupo],MATCH(BD7,T_Equipos[NombreEquipo],0)))</f>
        <v>2</v>
      </c>
      <c r="CL7" s="631" t="str">
        <f ca="1">IF(COUNTIFS($CK$6:$CK$53,CK7,$BC$6:$BC$53,INDEX(T_Equipos[Grupo],MATCH(BD7,T_Equipos[NombreEquipo],0)))=1,"-","P."&amp;CK7&amp;" ("&amp;COUNTIFS($CK$6:$CK$53,CK7,$BC$6:$BC$53,INDEX(T_Equipos[Grupo],MATCH(BD7,T_Equipos[NombreEquipo],0)))&amp;")")</f>
        <v>-</v>
      </c>
      <c r="CM7" s="632" t="str">
        <f ca="1">IF($CL7="-","-",SUMIFS(FG_GolesLocal,FGLocal,$BD7,Part2Empate5V,$CL7)+SUMIFS(FG_GolesVisitante,FGVisitante,$BD7,Part2Empate5L,$CL7))</f>
        <v>-</v>
      </c>
      <c r="CN7" s="632" t="str">
        <f ca="1">IF($CL7="-","-",SUMIFS(FG_GolesVisitante,FGLocal,$BD7,Part2Empate5V,$CL7)+SUMIFS(FG_GolesLocal,FGVisitante,$BD7,Part2Empate5L,$CL7))</f>
        <v>-</v>
      </c>
      <c r="CO7" s="632" t="str">
        <f ca="1">IF($CL7="-","-",CM7-CN7)</f>
        <v>-</v>
      </c>
      <c r="CP7" s="632">
        <f ca="1">CK7+COUNTIFS($CL$6:$CL$53,CL7,$CO$6:CO$53,"&gt;"&amp;CO7,$BC$6:$BC$53,INDEX(T_Equipos[Grupo],MATCH(BD7,T_Equipos[NombreEquipo],0)))</f>
        <v>2</v>
      </c>
      <c r="CQ7" s="631" t="str">
        <f ca="1">IF(COUNTIFS($CP$6:$CP$53,CP7,$BC$6:$BC$53,INDEX(T_Equipos[Grupo],MATCH(BD7,T_Equipos[NombreEquipo],0)))=1,"-","P."&amp;CP7&amp;" ("&amp;COUNTIFS($CP$6:$CP$53,CP7,$BC$6:$BC$53,INDEX(T_Equipos[Grupo],MATCH(BD7,T_Equipos[NombreEquipo],0)))&amp;")")</f>
        <v>-</v>
      </c>
      <c r="CR7" s="632" t="str">
        <f ca="1">IF($CQ7="-","-",SUMIFS(FG_GolesLocal,FGLocal,$BD7,Part2Empate6V,$CQ7)+SUMIFS(FG_GolesVisitante,FGVisitante,$BD7,Part2Empate6L,$CQ7))</f>
        <v>-</v>
      </c>
      <c r="CS7" s="632">
        <f ca="1">CP7+COUNTIFS($CQ$6:$CQ$53,CQ7,$CR$6:CR$53,"&gt;"&amp;CR7,$BC$6:$BC$53,INDEX(T_Equipos[Grupo],MATCH(BD7,T_Equipos[NombreEquipo],0)))</f>
        <v>2</v>
      </c>
      <c r="CT7" s="631" t="str">
        <f ca="1">IF(COUNTIFS($CS$6:$CS$53,CS7,$BC$6:$BC$53,INDEX(T_Equipos[Grupo],MATCH(BD7,T_Equipos[NombreEquipo],0)))=1,"-","P."&amp;CS7&amp;" ("&amp;COUNTIFS($CS$6:$CS$53,CS7,$BC$6:$BC$53,INDEX(T_Equipos[Grupo],MATCH(BD7,T_Equipos[NombreEquipo],0)))&amp;")")</f>
        <v>-</v>
      </c>
      <c r="CU7" s="631" t="str">
        <f t="shared" ref="CU7:CU53" ca="1" si="28">IF(CT7="-","-",BL7)</f>
        <v>-</v>
      </c>
      <c r="CV7" s="631">
        <f ca="1">CS7+COUNTIFS($CT$6:$CT$53,CT7,$CU$6:CU$53,"&gt;"&amp;CU7,$BC$6:$BC$53,INDEX(T_Equipos[Grupo],MATCH(BD7,T_Equipos[NombreEquipo],0)))</f>
        <v>2</v>
      </c>
      <c r="CW7" s="631" t="str">
        <f ca="1">IF(COUNTIFS($CV$6:$CV$53,CV7,$BC$6:$BC$53,INDEX(T_Equipos[Grupo],MATCH(BD7,T_Equipos[NombreEquipo],0)))=1,"-","P."&amp;CV7&amp;" ("&amp;COUNTIFS($CV$6:$CV$53,CV7,$BC$6:$BC$53,INDEX(T_Equipos[Grupo],MATCH(BD7,T_Equipos[NombreEquipo],0)))&amp;")")</f>
        <v>-</v>
      </c>
      <c r="CX7" s="631" t="str">
        <f t="shared" ref="CX7:CX53" ca="1" si="29">IF(CW7="-","-",BJ7)</f>
        <v>-</v>
      </c>
      <c r="CY7" s="632">
        <f ca="1">CV7+COUNTIFS($CW$6:$CW$53,CW7,$CX$6:CX$53,"&gt;"&amp;CX7,$BC$6:$BC$53,INDEX(T_Equipos[Grupo],MATCH(BD7,T_Equipos[NombreEquipo],0)))</f>
        <v>2</v>
      </c>
      <c r="CZ7" s="631" t="str">
        <f ca="1">IF(COUNTIFS($CY$6:$CY$53,CY7,$BC$6:$BC$53,INDEX(T_Equipos[Grupo],MATCH(BD7,T_Equipos[NombreEquipo],0)))=1,"-","P."&amp;CY7&amp;" ("&amp;COUNTIFS($CY$6:$CY$53,CY7,$BC$6:$BC$53,INDEX(T_Equipos[Grupo],MATCH(BD7,T_Equipos[NombreEquipo],0)))&amp;")")</f>
        <v>-</v>
      </c>
      <c r="DA7" s="633" t="str">
        <f ca="1">IF(CZ7="-","-",COUNTIFS(T_Equipos[Rank],"&lt;"&amp;INDEX(T_Equipos[Rank],MATCH(BD7,T_Equipos[NombreEquipo],0)),$BC$6:$BC$53,INDEX(T_Equipos[Grupo],MATCH(BD7,T_Equipos[NombreEquipo],0)))+1)</f>
        <v>-</v>
      </c>
      <c r="DB7" s="630">
        <f ca="1">CY7+COUNTIFS($CZ$6:$CZ$53,CZ7,$DA$6:DA$53,"&lt;"&amp;DA7,$BC$6:$BC$53,INDEX(T_Equipos[Grupo],MATCH(BD7,T_Equipos[NombreEquipo],0)))</f>
        <v>2</v>
      </c>
      <c r="DC7" s="630"/>
      <c r="DD7" s="630">
        <f t="shared" ref="DD7:DD9" ca="1" si="30">IF(OR(INDEX($AW$6:$AW$97,MATCH($BD7,$AV$6:$AV$97,0))="",CZ7="-"),DB7,INDEX($AW$6:$AW$97,MATCH($BD7,$AV$6:$AV$97,0))+DB7/1000)</f>
        <v>2</v>
      </c>
      <c r="DE7" s="630" t="str">
        <f ca="1">IF(CZ7="-","-",COUNTIFS(DD$6:DD$53,"&lt;"&amp;DD7,$BC$6:$BC$53,INDEX(T_Equipos[Grupo],MATCH(BD7,T_Equipos[NombreEquipo],0))))</f>
        <v>-</v>
      </c>
      <c r="DF7" s="630">
        <f ca="1">CY7+COUNTIFS(CZ$6:CZ$53,CZ7,DE$6:DE$53,"&lt;"&amp;DE7,$BC$6:$BC$53,INDEX(T_Equipos[Grupo],MATCH(BD7,T_Equipos[NombreEquipo],0)))</f>
        <v>2</v>
      </c>
      <c r="DH7" s="10">
        <f ca="1">INDEX($CY$6:$CY$53,MATCH($DO7,$BD$6:$BD$53,0))</f>
        <v>2</v>
      </c>
      <c r="DI7" s="10">
        <f t="shared" ca="1" si="24"/>
        <v>12</v>
      </c>
      <c r="DJ7" s="10">
        <f t="shared" ref="DJ7:DJ53" ca="1" si="31">IF(OR(DI7=12,$AJ$99=144),COUNTIFS($DH$6:$DH$53,DH7,$BC$6:$BC$53,BC7),1)</f>
        <v>1</v>
      </c>
      <c r="DK7" s="19" t="str">
        <f t="shared" ref="DK7:DK53" ca="1" si="32">DH7&amp;"."&amp;DJ7</f>
        <v>2.1</v>
      </c>
      <c r="DL7" s="10" cm="1">
        <f t="array" aca="1" ref="DL7" ca="1">OFFSET(Horarios!$P$3,DH7-1,0,DJ7,1)</f>
        <v>2</v>
      </c>
      <c r="DN7" s="10" t="s">
        <v>665</v>
      </c>
      <c r="DO7" s="10" t="str">
        <f t="shared" ref="DO7:DO53" ca="1" si="33">INDEX($BD$6:$BD$53,MATCH(DN7,$BM$6:$BM$53,0))</f>
        <v>Sudáfrica</v>
      </c>
    </row>
    <row r="8" spans="1:119 5612:5612 8867:8867 13370:13370" ht="16.95" customHeight="1">
      <c r="A8" s="646" t="str">
        <f ca="1">+Equipos!B5</f>
        <v>PO D: DEN/MKD/CZE/IRL</v>
      </c>
      <c r="B8" s="11"/>
      <c r="C8" s="10"/>
      <c r="D8" s="10" t="str">
        <f t="shared" si="0"/>
        <v>Visitante</v>
      </c>
      <c r="E8" s="10" t="str">
        <f t="shared" ca="1" si="1"/>
        <v>P.3 (2)</v>
      </c>
      <c r="F8" s="10" t="str">
        <f t="shared" ca="1" si="2"/>
        <v>-</v>
      </c>
      <c r="G8" s="10"/>
      <c r="H8" s="10" t="str">
        <f t="shared" ca="1" si="3"/>
        <v>P.3 (2)</v>
      </c>
      <c r="I8" s="10" t="str">
        <f t="shared" ca="1" si="4"/>
        <v>-</v>
      </c>
      <c r="J8" s="10"/>
      <c r="K8" s="10" t="str">
        <f t="shared" ca="1" si="5"/>
        <v>P.3 (2)</v>
      </c>
      <c r="L8" s="10" t="str">
        <f t="shared" ca="1" si="6"/>
        <v>-</v>
      </c>
      <c r="M8" s="10"/>
      <c r="N8" s="10" t="str">
        <f t="shared" ca="1" si="7"/>
        <v>P.3 (2)</v>
      </c>
      <c r="O8" s="10" t="str">
        <f t="shared" ca="1" si="8"/>
        <v>-</v>
      </c>
      <c r="P8" s="10"/>
      <c r="Q8" s="10" t="str">
        <f t="shared" ca="1" si="9"/>
        <v>P.3 (2)</v>
      </c>
      <c r="R8" s="10" t="str">
        <f t="shared" ca="1" si="10"/>
        <v>-</v>
      </c>
      <c r="S8" s="10"/>
      <c r="T8" s="10" t="str">
        <f t="shared" ca="1" si="11"/>
        <v>P.3 (2)</v>
      </c>
      <c r="U8" s="10" t="str">
        <f t="shared" ca="1" si="12"/>
        <v>-</v>
      </c>
      <c r="V8" s="20"/>
      <c r="W8" s="681"/>
      <c r="X8" s="27">
        <f ca="1">Horarios!C8</f>
        <v>46198.125</v>
      </c>
      <c r="Y8" s="28">
        <f ca="1">Horarios!C8</f>
        <v>46198.125</v>
      </c>
      <c r="Z8" s="29" t="str">
        <f>Idiomas!D63</f>
        <v>J3</v>
      </c>
      <c r="AA8" s="30" t="str">
        <f ca="1">A8</f>
        <v>PO D: DEN/MKD/CZE/IRL</v>
      </c>
      <c r="AB8" s="55" t="str">
        <f ca="1">+INDEX(Equipos!$L$2:$L$49,MATCH(WORLDCUP!AA8,Equipos!$K$2:$K$49,0))</f>
        <v xml:space="preserve"> </v>
      </c>
      <c r="AC8" s="56">
        <v>0</v>
      </c>
      <c r="AD8" s="57">
        <v>1</v>
      </c>
      <c r="AE8" s="58" t="str">
        <f ca="1">+INDEX(Equipos!$L$2:$L$49,MATCH(WORLDCUP!AF8,Equipos!$K$2:$K$49,0))</f>
        <v>🇲🇽</v>
      </c>
      <c r="AF8" s="35" t="str">
        <f ca="1">A5</f>
        <v>México</v>
      </c>
      <c r="AG8" s="335">
        <f t="shared" si="13"/>
        <v>1</v>
      </c>
      <c r="AH8" s="204">
        <v>53</v>
      </c>
      <c r="AI8" s="190" t="str">
        <f>AJ8&amp;$B$4</f>
        <v>3A</v>
      </c>
      <c r="AJ8" s="46">
        <v>3</v>
      </c>
      <c r="AK8" s="47" t="str">
        <f ca="1">+INDEX(Equipos!$L$2:$L$49,MATCH(WORLDCUP!AL8,Equipos!$K$2:$K$49,0))</f>
        <v xml:space="preserve"> </v>
      </c>
      <c r="AL8" s="40" t="str">
        <f ca="1">IFERROR(INDEX($BD$6:$BD$53,MATCH(AI8,$BN$6:$BN$53,0)),"")</f>
        <v>PO D: DEN/MKD/CZE/IRL</v>
      </c>
      <c r="AM8" s="41">
        <f t="shared" ca="1" si="15"/>
        <v>2</v>
      </c>
      <c r="AN8" s="42">
        <f t="shared" ca="1" si="15"/>
        <v>3</v>
      </c>
      <c r="AO8" s="42">
        <f t="shared" ca="1" si="15"/>
        <v>0</v>
      </c>
      <c r="AP8" s="42">
        <f t="shared" ca="1" si="15"/>
        <v>2</v>
      </c>
      <c r="AQ8" s="42">
        <f t="shared" ca="1" si="15"/>
        <v>1</v>
      </c>
      <c r="AR8" s="42">
        <f t="shared" ca="1" si="15"/>
        <v>2</v>
      </c>
      <c r="AS8" s="42">
        <f t="shared" ca="1" si="15"/>
        <v>3</v>
      </c>
      <c r="AT8" s="48">
        <f t="shared" ca="1" si="15"/>
        <v>-1</v>
      </c>
      <c r="AU8" s="342">
        <f ca="1">INDEX($DJ$6:$DJ$53,MATCH(AI8,$DN$6:$DN$53,0))</f>
        <v>1</v>
      </c>
      <c r="AV8" s="191" t="str">
        <f ca="1">INDEX($BD$6:$BD$53,MATCH(AI8,$BM$6:$BM$53,0))</f>
        <v>PO D: DEN/MKD/CZE/IRL</v>
      </c>
      <c r="AW8" s="219"/>
      <c r="AX8" s="179"/>
      <c r="AY8" s="210" t="str">
        <f ca="1">+A7</f>
        <v>Corea del Sur</v>
      </c>
      <c r="AZ8" s="211"/>
      <c r="BA8" s="155"/>
      <c r="BC8" s="630" t="str">
        <f ca="1">+INDEX(T_Equipos[Grupo],MATCH(WORLDCUP!BD8,T_Equipos[NombreEquipo],0))</f>
        <v>A</v>
      </c>
      <c r="BD8" s="10" t="str">
        <f ca="1">+Equipos!B4</f>
        <v>Corea del Sur</v>
      </c>
      <c r="BE8" s="424">
        <f t="shared" ca="1" si="16"/>
        <v>2</v>
      </c>
      <c r="BF8" s="424">
        <f t="shared" ca="1" si="25"/>
        <v>3</v>
      </c>
      <c r="BG8" s="424">
        <f t="shared" ca="1" si="17"/>
        <v>0</v>
      </c>
      <c r="BH8" s="424">
        <f t="shared" ca="1" si="18"/>
        <v>2</v>
      </c>
      <c r="BI8" s="424">
        <f t="shared" ca="1" si="19"/>
        <v>1</v>
      </c>
      <c r="BJ8" s="424">
        <f t="shared" ca="1" si="20"/>
        <v>1</v>
      </c>
      <c r="BK8" s="424">
        <f t="shared" ca="1" si="21"/>
        <v>2</v>
      </c>
      <c r="BL8" s="424">
        <f t="shared" ca="1" si="26"/>
        <v>-1</v>
      </c>
      <c r="BM8" s="424" t="str">
        <f t="shared" ca="1" si="22"/>
        <v>4A</v>
      </c>
      <c r="BN8" s="424" t="str">
        <f t="shared" ca="1" si="23"/>
        <v>4A</v>
      </c>
      <c r="BO8" s="630"/>
      <c r="BP8" s="631">
        <f t="shared" ca="1" si="27"/>
        <v>2</v>
      </c>
      <c r="BQ8" s="631">
        <f ca="1">COUNTIFS($BE$6:$BE$53,"&gt;"&amp;BE8,$BC$6:$BC$53,INDEX(T_Equipos[Grupo],MATCH(BD8,T_Equipos[NombreEquipo],0)))+1</f>
        <v>3</v>
      </c>
      <c r="BR8" s="631" t="str">
        <f ca="1">IF(COUNTIFS($BQ$6:$BQ$53,BQ8,$BC$6:$BC$53,INDEX(T_Equipos[Grupo],MATCH(BD8,T_Equipos[NombreEquipo],0)))=1,"-","P."&amp;BQ8&amp;" ("&amp;COUNTIFS($BQ$6:$BQ$53,BQ8,$BC$6:$BC$53,INDEX(T_Equipos[Grupo],MATCH(BD8,T_Equipos[NombreEquipo],0)))&amp;")")</f>
        <v>P.3 (2)</v>
      </c>
      <c r="BS8" s="632">
        <f ca="1">IF($BR8="-","-",COUNTIFS(FGLocal,$BD8,Ganador,"Local",Part1Empate1V,$BR8)+COUNTIFS(FGVisitante,$BD8,Ganador,"Visitante",Part1Empate1L,$BR8))</f>
        <v>0</v>
      </c>
      <c r="BT8" s="632">
        <f ca="1">IF($BR8="-","-",COUNTIFS(FGLocal,$BD8,Ganador,"Empate",Part1Empate1V,$BR8)+COUNTIFS(FGVisitante,$BD8,Ganador,"Empate",Part1Empate1L,$BR8))</f>
        <v>1</v>
      </c>
      <c r="BU8" s="632">
        <f ca="1">IF($BR8="-","-",COUNTIFS(FGLocal,$BD8,Ganador,"Visitante",Part1Empate1V,$BR8)+COUNTIFS(FGVisitante,$BD8,Ganador,"Local",Part1Empate1L,$BR8))</f>
        <v>0</v>
      </c>
      <c r="BV8" s="632">
        <f ca="1">IF($BR8="-","-",BS8*3+BT8)</f>
        <v>1</v>
      </c>
      <c r="BW8" s="632">
        <f ca="1">BQ8+COUNTIFS($BR$6:$BR$53,BR8,$BV$6:BV$53,"&gt;"&amp;BV8,$BC$6:$BC$53,INDEX(T_Equipos[Grupo],MATCH(BD8,T_Equipos[NombreEquipo],0)))</f>
        <v>3</v>
      </c>
      <c r="BX8" s="631" t="str">
        <f ca="1">IF(COUNTIFS($BW$6:$BW$53,BW8,$BC$6:$BC$53,INDEX(T_Equipos[Grupo],MATCH(BD8,T_Equipos[NombreEquipo],0)))=1,"-","P."&amp;BW8&amp;" ("&amp;COUNTIFS($BW$6:$BW$53,BW8,$BC$6:$BC$53,INDEX(T_Equipos[Grupo],MATCH(BD8,T_Equipos[NombreEquipo],0)))&amp;")")</f>
        <v>P.3 (2)</v>
      </c>
      <c r="BY8" s="632">
        <f ca="1">IF($BX8="-","-",SUMIFS(FG_GolesLocal,FGLocal,$BD8,Part1Empate2V,$BX8)+SUMIFS(FG_GolesVisitante,FGVisitante,$BD8,Part1Empate2L,$BX8))</f>
        <v>1</v>
      </c>
      <c r="BZ8" s="632">
        <f ca="1">IF($BX8="-","-",SUMIFS(FG_GolesVisitante,FGLocal,$BD8,Part1Empate2V,$BX8)+SUMIFS(FG_GolesLocal,FGVisitante,$BD8,Part1Empate2L,$BX8))</f>
        <v>1</v>
      </c>
      <c r="CA8" s="632">
        <f ca="1">IF($BX8="-","-",BY8-BZ8)</f>
        <v>0</v>
      </c>
      <c r="CB8" s="632">
        <f ca="1">BW8+COUNTIFS($BX$6:$BX$53,BX8,$CA$6:CA$53,"&gt;"&amp;CA8,$BC$6:$BC$53,INDEX(T_Equipos[Grupo],MATCH(BD8,T_Equipos[NombreEquipo],0)))</f>
        <v>3</v>
      </c>
      <c r="CC8" s="631" t="str">
        <f ca="1">IF(COUNTIFS($CB$6:$CB$53,CB8,$BC$6:$BC$53,INDEX(T_Equipos[Grupo],MATCH(BD8,T_Equipos[NombreEquipo],0)))=1,"-","P."&amp;CB8&amp;" ("&amp;COUNTIFS($CB$6:$CB$53,CB8,$BC$6:$BC$53,INDEX(T_Equipos[Grupo],MATCH(BD8,T_Equipos[NombreEquipo],0)))&amp;")")</f>
        <v>P.3 (2)</v>
      </c>
      <c r="CD8" s="632">
        <f ca="1">IF($CC8="-","-",SUMIFS(FG_GolesLocal,FGLocal,$BD8,Part1Empate3V,$CC8)+SUMIFS(FG_GolesVisitante,FGVisitante,$BD8,Part1Empate3L,$CC8))</f>
        <v>1</v>
      </c>
      <c r="CE8" s="632">
        <f ca="1">CB8+COUNTIFS($CC$6:$CC$53,CC8,$CD$6:CD$53,"&gt;"&amp;CD8,$BC$6:$BC$53,INDEX(T_Equipos[Grupo],MATCH(BD8,T_Equipos[NombreEquipo],0)))</f>
        <v>3</v>
      </c>
      <c r="CF8" s="631" t="str">
        <f ca="1">IF(COUNTIFS($CE$6:$CE$53,CE8,$BC$6:$BC$53,INDEX(T_Equipos[Grupo],MATCH(BD8,T_Equipos[NombreEquipo],0)))=1,"-","P."&amp;CE8&amp;" ("&amp;COUNTIFS($CE$6:$CE$53,CE8,$BC$6:$BC$53,INDEX(T_Equipos[Grupo],MATCH(BD8,T_Equipos[NombreEquipo],0)))&amp;")")</f>
        <v>P.3 (2)</v>
      </c>
      <c r="CG8" s="632">
        <f ca="1">IF($CF8="-","-",COUNTIFS(FGLocal,$BD8,Ganador,"Local",Part2Empate4V,$CF8)+COUNTIFS(FGVisitante,$BD8,Ganador,"Visitante",Part2Empate4L,$CF8))</f>
        <v>0</v>
      </c>
      <c r="CH8" s="632">
        <f ca="1">IF($CF8="-","-",COUNTIFS(FGLocal,$BD8,Ganador,"Empate",Part2Empate4V,$CF8)+COUNTIFS(FGVisitante,$BD8,Ganador,"Empate",Part2Empate4L,$CF8))</f>
        <v>1</v>
      </c>
      <c r="CI8" s="632">
        <f ca="1">IF($CF8="-","-",COUNTIFS(FGLocal,$BD8,Ganador,"Visitante",Part2Empate4V,$CF8)+COUNTIFS(FGVisitante,$BD8,Ganador,"Local",Part2Empate4L,$CF8))</f>
        <v>0</v>
      </c>
      <c r="CJ8" s="632">
        <f ca="1">IF($CF8="-","-",CG8*3+CH8)</f>
        <v>1</v>
      </c>
      <c r="CK8" s="632">
        <f ca="1">CE8+COUNTIFS($CF$6:$CF$53,CF8,$CJ$6:CJ$53,"&gt;"&amp;CJ8,$BC$6:$BC$53,INDEX(T_Equipos[Grupo],MATCH(BD8,T_Equipos[NombreEquipo],0)))</f>
        <v>3</v>
      </c>
      <c r="CL8" s="631" t="str">
        <f ca="1">IF(COUNTIFS($CK$6:$CK$53,CK8,$BC$6:$BC$53,INDEX(T_Equipos[Grupo],MATCH(BD8,T_Equipos[NombreEquipo],0)))=1,"-","P."&amp;CK8&amp;" ("&amp;COUNTIFS($CK$6:$CK$53,CK8,$BC$6:$BC$53,INDEX(T_Equipos[Grupo],MATCH(BD8,T_Equipos[NombreEquipo],0)))&amp;")")</f>
        <v>P.3 (2)</v>
      </c>
      <c r="CM8" s="632">
        <f ca="1">IF($CL8="-","-",SUMIFS(FG_GolesLocal,FGLocal,$BD8,Part2Empate5V,$CL8)+SUMIFS(FG_GolesVisitante,FGVisitante,$BD8,Part2Empate5L,$CL8))</f>
        <v>1</v>
      </c>
      <c r="CN8" s="632">
        <f ca="1">IF($CL8="-","-",SUMIFS(FG_GolesVisitante,FGLocal,$BD8,Part2Empate5V,$CL8)+SUMIFS(FG_GolesLocal,FGVisitante,$BD8,Part2Empate5L,$CL8))</f>
        <v>1</v>
      </c>
      <c r="CO8" s="632">
        <f ca="1">IF($CL8="-","-",CM8-CN8)</f>
        <v>0</v>
      </c>
      <c r="CP8" s="632">
        <f ca="1">CK8+COUNTIFS($CL$6:$CL$53,CL8,$CO$6:CO$53,"&gt;"&amp;CO8,$BC$6:$BC$53,INDEX(T_Equipos[Grupo],MATCH(BD8,T_Equipos[NombreEquipo],0)))</f>
        <v>3</v>
      </c>
      <c r="CQ8" s="631" t="str">
        <f ca="1">IF(COUNTIFS($CP$6:$CP$53,CP8,$BC$6:$BC$53,INDEX(T_Equipos[Grupo],MATCH(BD8,T_Equipos[NombreEquipo],0)))=1,"-","P."&amp;CP8&amp;" ("&amp;COUNTIFS($CP$6:$CP$53,CP8,$BC$6:$BC$53,INDEX(T_Equipos[Grupo],MATCH(BD8,T_Equipos[NombreEquipo],0)))&amp;")")</f>
        <v>P.3 (2)</v>
      </c>
      <c r="CR8" s="632">
        <f ca="1">IF($CQ8="-","-",SUMIFS(FG_GolesLocal,FGLocal,$BD8,Part2Empate6V,$CQ8)+SUMIFS(FG_GolesVisitante,FGVisitante,$BD8,Part2Empate6L,$CQ8))</f>
        <v>1</v>
      </c>
      <c r="CS8" s="632">
        <f ca="1">CP8+COUNTIFS($CQ$6:$CQ$53,CQ8,$CR$6:CR$53,"&gt;"&amp;CR8,$BC$6:$BC$53,INDEX(T_Equipos[Grupo],MATCH(BD8,T_Equipos[NombreEquipo],0)))</f>
        <v>3</v>
      </c>
      <c r="CT8" s="631" t="str">
        <f ca="1">IF(COUNTIFS($CS$6:$CS$53,CS8,$BC$6:$BC$53,INDEX(T_Equipos[Grupo],MATCH(BD8,T_Equipos[NombreEquipo],0)))=1,"-","P."&amp;CS8&amp;" ("&amp;COUNTIFS($CS$6:$CS$53,CS8,$BC$6:$BC$53,INDEX(T_Equipos[Grupo],MATCH(BD8,T_Equipos[NombreEquipo],0)))&amp;")")</f>
        <v>P.3 (2)</v>
      </c>
      <c r="CU8" s="631">
        <f t="shared" ca="1" si="28"/>
        <v>-1</v>
      </c>
      <c r="CV8" s="631">
        <f ca="1">CS8+COUNTIFS($CT$6:$CT$53,CT8,$CU$6:CU$53,"&gt;"&amp;CU8,$BC$6:$BC$53,INDEX(T_Equipos[Grupo],MATCH(BD8,T_Equipos[NombreEquipo],0)))</f>
        <v>3</v>
      </c>
      <c r="CW8" s="631" t="str">
        <f ca="1">IF(COUNTIFS($CV$6:$CV$53,CV8,$BC$6:$BC$53,INDEX(T_Equipos[Grupo],MATCH(BD8,T_Equipos[NombreEquipo],0)))=1,"-","P."&amp;CV8&amp;" ("&amp;COUNTIFS($CV$6:$CV$53,CV8,$BC$6:$BC$53,INDEX(T_Equipos[Grupo],MATCH(BD8,T_Equipos[NombreEquipo],0)))&amp;")")</f>
        <v>P.3 (2)</v>
      </c>
      <c r="CX8" s="631">
        <f t="shared" ca="1" si="29"/>
        <v>1</v>
      </c>
      <c r="CY8" s="632">
        <f ca="1">CV8+COUNTIFS($CW$6:$CW$53,CW8,$CX$6:CX$53,"&gt;"&amp;CX8,$BC$6:$BC$53,INDEX(T_Equipos[Grupo],MATCH(BD8,T_Equipos[NombreEquipo],0)))</f>
        <v>4</v>
      </c>
      <c r="CZ8" s="631" t="str">
        <f ca="1">IF(COUNTIFS($CY$6:$CY$53,CY8,$BC$6:$BC$53,INDEX(T_Equipos[Grupo],MATCH(BD8,T_Equipos[NombreEquipo],0)))=1,"-","P."&amp;CY8&amp;" ("&amp;COUNTIFS($CY$6:$CY$53,CY8,$BC$6:$BC$53,INDEX(T_Equipos[Grupo],MATCH(BD8,T_Equipos[NombreEquipo],0)))&amp;")")</f>
        <v>-</v>
      </c>
      <c r="DA8" s="633" t="str">
        <f ca="1">IF(CZ8="-","-",COUNTIFS(T_Equipos[Rank],"&lt;"&amp;INDEX(T_Equipos[Rank],MATCH(BD8,T_Equipos[NombreEquipo],0)),$BC$6:$BC$53,INDEX(T_Equipos[Grupo],MATCH(BD8,T_Equipos[NombreEquipo],0)))+1)</f>
        <v>-</v>
      </c>
      <c r="DB8" s="630">
        <f ca="1">CY8+COUNTIFS($CZ$6:$CZ$53,CZ8,$DA$6:DA$53,"&lt;"&amp;DA8,$BC$6:$BC$53,INDEX(T_Equipos[Grupo],MATCH(BD8,T_Equipos[NombreEquipo],0)))</f>
        <v>4</v>
      </c>
      <c r="DC8" s="630"/>
      <c r="DD8" s="630">
        <f t="shared" ca="1" si="30"/>
        <v>4</v>
      </c>
      <c r="DE8" s="630" t="str">
        <f ca="1">IF(CZ8="-","-",COUNTIFS(DD$6:DD$53,"&lt;"&amp;DD8,$BC$6:$BC$53,INDEX(T_Equipos[Grupo],MATCH(BD8,T_Equipos[NombreEquipo],0))))</f>
        <v>-</v>
      </c>
      <c r="DF8" s="630">
        <f ca="1">CY8+COUNTIFS(CZ$6:CZ$53,CZ8,DE$6:DE$53,"&lt;"&amp;DE8,$BC$6:$BC$53,INDEX(T_Equipos[Grupo],MATCH(BD8,T_Equipos[NombreEquipo],0)))</f>
        <v>4</v>
      </c>
      <c r="DH8" s="10">
        <f ca="1">INDEX($CY$6:$CY$53,MATCH($DO8,$BD$6:$BD$53,0))</f>
        <v>3</v>
      </c>
      <c r="DI8" s="10">
        <f t="shared" ca="1" si="24"/>
        <v>12</v>
      </c>
      <c r="DJ8" s="10">
        <f t="shared" ca="1" si="31"/>
        <v>1</v>
      </c>
      <c r="DK8" s="19" t="str">
        <f t="shared" ca="1" si="32"/>
        <v>3.1</v>
      </c>
      <c r="DL8" s="10" cm="1">
        <f t="array" aca="1" ref="DL8" ca="1">OFFSET(Horarios!$P$3,DH8-1,0,DJ8,1)</f>
        <v>3</v>
      </c>
      <c r="DN8" s="10" t="s">
        <v>91</v>
      </c>
      <c r="DO8" s="10" t="str">
        <f t="shared" ca="1" si="33"/>
        <v>PO D: DEN/MKD/CZE/IRL</v>
      </c>
    </row>
    <row r="9" spans="1:119 5612:5612 8867:8867 13370:13370" ht="18" customHeight="1" thickBot="1">
      <c r="A9" s="643"/>
      <c r="B9" s="11"/>
      <c r="C9" s="643"/>
      <c r="D9" s="10" t="str">
        <f t="shared" si="0"/>
        <v>Local</v>
      </c>
      <c r="E9" s="10" t="str">
        <f t="shared" ca="1" si="1"/>
        <v>-</v>
      </c>
      <c r="F9" s="10" t="str">
        <f t="shared" ca="1" si="2"/>
        <v>P.3 (2)</v>
      </c>
      <c r="G9" s="10"/>
      <c r="H9" s="10" t="str">
        <f t="shared" ca="1" si="3"/>
        <v>-</v>
      </c>
      <c r="I9" s="10" t="str">
        <f t="shared" ca="1" si="4"/>
        <v>P.3 (2)</v>
      </c>
      <c r="J9" s="10"/>
      <c r="K9" s="10" t="str">
        <f t="shared" ca="1" si="5"/>
        <v>-</v>
      </c>
      <c r="L9" s="10" t="str">
        <f t="shared" ca="1" si="6"/>
        <v>P.3 (2)</v>
      </c>
      <c r="M9" s="10"/>
      <c r="N9" s="10" t="str">
        <f t="shared" ca="1" si="7"/>
        <v>-</v>
      </c>
      <c r="O9" s="10" t="str">
        <f t="shared" ca="1" si="8"/>
        <v>P.3 (2)</v>
      </c>
      <c r="P9" s="10"/>
      <c r="Q9" s="10" t="str">
        <f t="shared" ca="1" si="9"/>
        <v>-</v>
      </c>
      <c r="R9" s="10" t="str">
        <f t="shared" ca="1" si="10"/>
        <v>P.3 (2)</v>
      </c>
      <c r="S9" s="10"/>
      <c r="T9" s="10" t="str">
        <f t="shared" ca="1" si="11"/>
        <v>-</v>
      </c>
      <c r="U9" s="10" t="str">
        <f t="shared" ca="1" si="12"/>
        <v>P.3 (2)</v>
      </c>
      <c r="V9" s="20"/>
      <c r="W9" s="682"/>
      <c r="X9" s="31">
        <f ca="1">Horarios!C9</f>
        <v>46198.125</v>
      </c>
      <c r="Y9" s="32">
        <f ca="1">Horarios!C9</f>
        <v>46198.125</v>
      </c>
      <c r="Z9" s="33" t="str">
        <f>$Z$8</f>
        <v>J3</v>
      </c>
      <c r="AA9" s="34" t="str">
        <f ca="1">A6</f>
        <v>Sudáfrica</v>
      </c>
      <c r="AB9" s="59" t="str">
        <f ca="1">+INDEX(Equipos!$L$2:$L$49,MATCH(WORLDCUP!AA9,Equipos!$K$2:$K$49,0))</f>
        <v>🇿🇦</v>
      </c>
      <c r="AC9" s="60">
        <v>1</v>
      </c>
      <c r="AD9" s="61">
        <v>0</v>
      </c>
      <c r="AE9" s="62" t="str">
        <f ca="1">+INDEX(Equipos!$L$2:$L$49,MATCH(WORLDCUP!AF9,Equipos!$K$2:$K$49,0))</f>
        <v>🇰🇷</v>
      </c>
      <c r="AF9" s="36" t="str">
        <f ca="1">A7</f>
        <v>Corea del Sur</v>
      </c>
      <c r="AG9" s="335">
        <f t="shared" si="13"/>
        <v>1</v>
      </c>
      <c r="AH9" s="204">
        <v>54</v>
      </c>
      <c r="AI9" s="190" t="str">
        <f>AJ9&amp;$B$4</f>
        <v>4A</v>
      </c>
      <c r="AJ9" s="49">
        <v>4</v>
      </c>
      <c r="AK9" s="50" t="str">
        <f ca="1">+INDEX(Equipos!$L$2:$L$49,MATCH(WORLDCUP!AL9,Equipos!$K$2:$K$49,0))</f>
        <v>🇰🇷</v>
      </c>
      <c r="AL9" s="51" t="str">
        <f ca="1">IFERROR(INDEX($BD$6:$BD$53,MATCH(AI9,$BN$6:$BN$53,0)),"")</f>
        <v>Corea del Sur</v>
      </c>
      <c r="AM9" s="52">
        <f t="shared" ca="1" si="15"/>
        <v>2</v>
      </c>
      <c r="AN9" s="53">
        <f t="shared" ca="1" si="15"/>
        <v>3</v>
      </c>
      <c r="AO9" s="53">
        <f t="shared" ca="1" si="15"/>
        <v>0</v>
      </c>
      <c r="AP9" s="53">
        <f t="shared" ca="1" si="15"/>
        <v>2</v>
      </c>
      <c r="AQ9" s="53">
        <f t="shared" ca="1" si="15"/>
        <v>1</v>
      </c>
      <c r="AR9" s="53">
        <f t="shared" ca="1" si="15"/>
        <v>1</v>
      </c>
      <c r="AS9" s="53">
        <f t="shared" ca="1" si="15"/>
        <v>2</v>
      </c>
      <c r="AT9" s="54">
        <f t="shared" ca="1" si="15"/>
        <v>-1</v>
      </c>
      <c r="AU9" s="342">
        <f ca="1">INDEX($DJ$6:$DJ$53,MATCH(AI9,$DN$6:$DN$53,0))</f>
        <v>1</v>
      </c>
      <c r="AV9" s="191" t="str">
        <f ca="1">INDEX($BD$6:$BD$53,MATCH(AI9,$BM$6:$BM$53,0))</f>
        <v>Corea del Sur</v>
      </c>
      <c r="AW9" s="219"/>
      <c r="AX9" s="179"/>
      <c r="AY9" s="214" t="str">
        <f ca="1">+A8</f>
        <v>PO D: DEN/MKD/CZE/IRL</v>
      </c>
      <c r="AZ9" s="215"/>
      <c r="BA9" s="155"/>
      <c r="BC9" s="630" t="str">
        <f ca="1">+INDEX(T_Equipos[Grupo],MATCH(WORLDCUP!BD9,T_Equipos[NombreEquipo],0))</f>
        <v>A</v>
      </c>
      <c r="BD9" s="10" t="str">
        <f ca="1">+Equipos!B5</f>
        <v>PO D: DEN/MKD/CZE/IRL</v>
      </c>
      <c r="BE9" s="424">
        <f t="shared" ca="1" si="16"/>
        <v>2</v>
      </c>
      <c r="BF9" s="424">
        <f t="shared" ca="1" si="25"/>
        <v>3</v>
      </c>
      <c r="BG9" s="424">
        <f t="shared" ca="1" si="17"/>
        <v>0</v>
      </c>
      <c r="BH9" s="424">
        <f t="shared" ca="1" si="18"/>
        <v>2</v>
      </c>
      <c r="BI9" s="424">
        <f t="shared" ca="1" si="19"/>
        <v>1</v>
      </c>
      <c r="BJ9" s="424">
        <f t="shared" ca="1" si="20"/>
        <v>2</v>
      </c>
      <c r="BK9" s="424">
        <f t="shared" ca="1" si="21"/>
        <v>3</v>
      </c>
      <c r="BL9" s="424">
        <f t="shared" ca="1" si="26"/>
        <v>-1</v>
      </c>
      <c r="BM9" s="424" t="str">
        <f t="shared" ca="1" si="22"/>
        <v>3A</v>
      </c>
      <c r="BN9" s="424" t="str">
        <f t="shared" ca="1" si="23"/>
        <v>3A</v>
      </c>
      <c r="BO9" s="630"/>
      <c r="BP9" s="631">
        <f t="shared" ca="1" si="27"/>
        <v>2</v>
      </c>
      <c r="BQ9" s="631">
        <f ca="1">COUNTIFS($BE$6:$BE$53,"&gt;"&amp;BE9,$BC$6:$BC$53,INDEX(T_Equipos[Grupo],MATCH(BD9,T_Equipos[NombreEquipo],0)))+1</f>
        <v>3</v>
      </c>
      <c r="BR9" s="631" t="str">
        <f ca="1">IF(COUNTIFS($BQ$6:$BQ$53,BQ9,$BC$6:$BC$53,INDEX(T_Equipos[Grupo],MATCH(BD9,T_Equipos[NombreEquipo],0)))=1,"-","P."&amp;BQ9&amp;" ("&amp;COUNTIFS($BQ$6:$BQ$53,BQ9,$BC$6:$BC$53,INDEX(T_Equipos[Grupo],MATCH(BD9,T_Equipos[NombreEquipo],0)))&amp;")")</f>
        <v>P.3 (2)</v>
      </c>
      <c r="BS9" s="632">
        <f ca="1">IF($BR9="-","-",COUNTIFS(FGLocal,$BD9,Ganador,"Local",Part1Empate1V,$BR9)+COUNTIFS(FGVisitante,$BD9,Ganador,"Visitante",Part1Empate1L,$BR9))</f>
        <v>0</v>
      </c>
      <c r="BT9" s="632">
        <f ca="1">IF($BR9="-","-",COUNTIFS(FGLocal,$BD9,Ganador,"Empate",Part1Empate1V,$BR9)+COUNTIFS(FGVisitante,$BD9,Ganador,"Empate",Part1Empate1L,$BR9))</f>
        <v>1</v>
      </c>
      <c r="BU9" s="632">
        <f ca="1">IF($BR9="-","-",COUNTIFS(FGLocal,$BD9,Ganador,"Visitante",Part1Empate1V,$BR9)+COUNTIFS(FGVisitante,$BD9,Ganador,"Local",Part1Empate1L,$BR9))</f>
        <v>0</v>
      </c>
      <c r="BV9" s="632">
        <f ca="1">IF($BR9="-","-",BS9*3+BT9)</f>
        <v>1</v>
      </c>
      <c r="BW9" s="632">
        <f ca="1">BQ9+COUNTIFS($BR$6:$BR$53,BR9,$BV$6:BV$53,"&gt;"&amp;BV9,$BC$6:$BC$53,INDEX(T_Equipos[Grupo],MATCH(BD9,T_Equipos[NombreEquipo],0)))</f>
        <v>3</v>
      </c>
      <c r="BX9" s="631" t="str">
        <f ca="1">IF(COUNTIFS($BW$6:$BW$53,BW9,$BC$6:$BC$53,INDEX(T_Equipos[Grupo],MATCH(BD9,T_Equipos[NombreEquipo],0)))=1,"-","P."&amp;BW9&amp;" ("&amp;COUNTIFS($BW$6:$BW$53,BW9,$BC$6:$BC$53,INDEX(T_Equipos[Grupo],MATCH(BD9,T_Equipos[NombreEquipo],0)))&amp;")")</f>
        <v>P.3 (2)</v>
      </c>
      <c r="BY9" s="632">
        <f ca="1">IF($BX9="-","-",SUMIFS(FG_GolesLocal,FGLocal,$BD9,Part1Empate2V,$BX9)+SUMIFS(FG_GolesVisitante,FGVisitante,$BD9,Part1Empate2L,$BX9))</f>
        <v>1</v>
      </c>
      <c r="BZ9" s="632">
        <f ca="1">IF($BX9="-","-",SUMIFS(FG_GolesVisitante,FGLocal,$BD9,Part1Empate2V,$BX9)+SUMIFS(FG_GolesLocal,FGVisitante,$BD9,Part1Empate2L,$BX9))</f>
        <v>1</v>
      </c>
      <c r="CA9" s="632">
        <f ca="1">IF($BX9="-","-",BY9-BZ9)</f>
        <v>0</v>
      </c>
      <c r="CB9" s="632">
        <f ca="1">BW9+COUNTIFS($BX$6:$BX$53,BX9,$CA$6:CA$53,"&gt;"&amp;CA9,$BC$6:$BC$53,INDEX(T_Equipos[Grupo],MATCH(BD9,T_Equipos[NombreEquipo],0)))</f>
        <v>3</v>
      </c>
      <c r="CC9" s="631" t="str">
        <f ca="1">IF(COUNTIFS($CB$6:$CB$53,CB9,$BC$6:$BC$53,INDEX(T_Equipos[Grupo],MATCH(BD9,T_Equipos[NombreEquipo],0)))=1,"-","P."&amp;CB9&amp;" ("&amp;COUNTIFS($CB$6:$CB$53,CB9,$BC$6:$BC$53,INDEX(T_Equipos[Grupo],MATCH(BD9,T_Equipos[NombreEquipo],0)))&amp;")")</f>
        <v>P.3 (2)</v>
      </c>
      <c r="CD9" s="632">
        <f ca="1">IF($CC9="-","-",SUMIFS(FG_GolesLocal,FGLocal,$BD9,Part1Empate3V,$CC9)+SUMIFS(FG_GolesVisitante,FGVisitante,$BD9,Part1Empate3L,$CC9))</f>
        <v>1</v>
      </c>
      <c r="CE9" s="632">
        <f ca="1">CB9+COUNTIFS($CC$6:$CC$53,CC9,$CD$6:CD$53,"&gt;"&amp;CD9,$BC$6:$BC$53,INDEX(T_Equipos[Grupo],MATCH(BD9,T_Equipos[NombreEquipo],0)))</f>
        <v>3</v>
      </c>
      <c r="CF9" s="631" t="str">
        <f ca="1">IF(COUNTIFS($CE$6:$CE$53,CE9,$BC$6:$BC$53,INDEX(T_Equipos[Grupo],MATCH(BD9,T_Equipos[NombreEquipo],0)))=1,"-","P."&amp;CE9&amp;" ("&amp;COUNTIFS($CE$6:$CE$53,CE9,$BC$6:$BC$53,INDEX(T_Equipos[Grupo],MATCH(BD9,T_Equipos[NombreEquipo],0)))&amp;")")</f>
        <v>P.3 (2)</v>
      </c>
      <c r="CG9" s="632">
        <f ca="1">IF($CF9="-","-",COUNTIFS(FGLocal,$BD9,Ganador,"Local",Part2Empate4V,$CF9)+COUNTIFS(FGVisitante,$BD9,Ganador,"Visitante",Part2Empate4L,$CF9))</f>
        <v>0</v>
      </c>
      <c r="CH9" s="632">
        <f ca="1">IF($CF9="-","-",COUNTIFS(FGLocal,$BD9,Ganador,"Empate",Part2Empate4V,$CF9)+COUNTIFS(FGVisitante,$BD9,Ganador,"Empate",Part2Empate4L,$CF9))</f>
        <v>1</v>
      </c>
      <c r="CI9" s="632">
        <f ca="1">IF($CF9="-","-",COUNTIFS(FGLocal,$BD9,Ganador,"Visitante",Part2Empate4V,$CF9)+COUNTIFS(FGVisitante,$BD9,Ganador,"Local",Part2Empate4L,$CF9))</f>
        <v>0</v>
      </c>
      <c r="CJ9" s="632">
        <f ca="1">IF($CF9="-","-",CG9*3+CH9)</f>
        <v>1</v>
      </c>
      <c r="CK9" s="632">
        <f ca="1">CE9+COUNTIFS($CF$6:$CF$53,CF9,$CJ$6:CJ$53,"&gt;"&amp;CJ9,$BC$6:$BC$53,INDEX(T_Equipos[Grupo],MATCH(BD9,T_Equipos[NombreEquipo],0)))</f>
        <v>3</v>
      </c>
      <c r="CL9" s="631" t="str">
        <f ca="1">IF(COUNTIFS($CK$6:$CK$53,CK9,$BC$6:$BC$53,INDEX(T_Equipos[Grupo],MATCH(BD9,T_Equipos[NombreEquipo],0)))=1,"-","P."&amp;CK9&amp;" ("&amp;COUNTIFS($CK$6:$CK$53,CK9,$BC$6:$BC$53,INDEX(T_Equipos[Grupo],MATCH(BD9,T_Equipos[NombreEquipo],0)))&amp;")")</f>
        <v>P.3 (2)</v>
      </c>
      <c r="CM9" s="632">
        <f ca="1">IF($CL9="-","-",SUMIFS(FG_GolesLocal,FGLocal,$BD9,Part2Empate5V,$CL9)+SUMIFS(FG_GolesVisitante,FGVisitante,$BD9,Part2Empate5L,$CL9))</f>
        <v>1</v>
      </c>
      <c r="CN9" s="632">
        <f ca="1">IF($CL9="-","-",SUMIFS(FG_GolesVisitante,FGLocal,$BD9,Part2Empate5V,$CL9)+SUMIFS(FG_GolesLocal,FGVisitante,$BD9,Part2Empate5L,$CL9))</f>
        <v>1</v>
      </c>
      <c r="CO9" s="632">
        <f ca="1">IF($CL9="-","-",CM9-CN9)</f>
        <v>0</v>
      </c>
      <c r="CP9" s="632">
        <f ca="1">CK9+COUNTIFS($CL$6:$CL$53,CL9,$CO$6:CO$53,"&gt;"&amp;CO9,$BC$6:$BC$53,INDEX(T_Equipos[Grupo],MATCH(BD9,T_Equipos[NombreEquipo],0)))</f>
        <v>3</v>
      </c>
      <c r="CQ9" s="631" t="str">
        <f ca="1">IF(COUNTIFS($CP$6:$CP$53,CP9,$BC$6:$BC$53,INDEX(T_Equipos[Grupo],MATCH(BD9,T_Equipos[NombreEquipo],0)))=1,"-","P."&amp;CP9&amp;" ("&amp;COUNTIFS($CP$6:$CP$53,CP9,$BC$6:$BC$53,INDEX(T_Equipos[Grupo],MATCH(BD9,T_Equipos[NombreEquipo],0)))&amp;")")</f>
        <v>P.3 (2)</v>
      </c>
      <c r="CR9" s="632">
        <f ca="1">IF($CQ9="-","-",SUMIFS(FG_GolesLocal,FGLocal,$BD9,Part2Empate6V,$CQ9)+SUMIFS(FG_GolesVisitante,FGVisitante,$BD9,Part2Empate6L,$CQ9))</f>
        <v>1</v>
      </c>
      <c r="CS9" s="632">
        <f ca="1">CP9+COUNTIFS($CQ$6:$CQ$53,CQ9,$CR$6:CR$53,"&gt;"&amp;CR9,$BC$6:$BC$53,INDEX(T_Equipos[Grupo],MATCH(BD9,T_Equipos[NombreEquipo],0)))</f>
        <v>3</v>
      </c>
      <c r="CT9" s="631" t="str">
        <f ca="1">IF(COUNTIFS($CS$6:$CS$53,CS9,$BC$6:$BC$53,INDEX(T_Equipos[Grupo],MATCH(BD9,T_Equipos[NombreEquipo],0)))=1,"-","P."&amp;CS9&amp;" ("&amp;COUNTIFS($CS$6:$CS$53,CS9,$BC$6:$BC$53,INDEX(T_Equipos[Grupo],MATCH(BD9,T_Equipos[NombreEquipo],0)))&amp;")")</f>
        <v>P.3 (2)</v>
      </c>
      <c r="CU9" s="631">
        <f t="shared" ca="1" si="28"/>
        <v>-1</v>
      </c>
      <c r="CV9" s="631">
        <f ca="1">CS9+COUNTIFS($CT$6:$CT$53,CT9,$CU$6:CU$53,"&gt;"&amp;CU9,$BC$6:$BC$53,INDEX(T_Equipos[Grupo],MATCH(BD9,T_Equipos[NombreEquipo],0)))</f>
        <v>3</v>
      </c>
      <c r="CW9" s="631" t="str">
        <f ca="1">IF(COUNTIFS($CV$6:$CV$53,CV9,$BC$6:$BC$53,INDEX(T_Equipos[Grupo],MATCH(BD9,T_Equipos[NombreEquipo],0)))=1,"-","P."&amp;CV9&amp;" ("&amp;COUNTIFS($CV$6:$CV$53,CV9,$BC$6:$BC$53,INDEX(T_Equipos[Grupo],MATCH(BD9,T_Equipos[NombreEquipo],0)))&amp;")")</f>
        <v>P.3 (2)</v>
      </c>
      <c r="CX9" s="631">
        <f t="shared" ca="1" si="29"/>
        <v>2</v>
      </c>
      <c r="CY9" s="632">
        <f ca="1">CV9+COUNTIFS($CW$6:$CW$53,CW9,$CX$6:CX$53,"&gt;"&amp;CX9,$BC$6:$BC$53,INDEX(T_Equipos[Grupo],MATCH(BD9,T_Equipos[NombreEquipo],0)))</f>
        <v>3</v>
      </c>
      <c r="CZ9" s="631" t="str">
        <f ca="1">IF(COUNTIFS($CY$6:$CY$53,CY9,$BC$6:$BC$53,INDEX(T_Equipos[Grupo],MATCH(BD9,T_Equipos[NombreEquipo],0)))=1,"-","P."&amp;CY9&amp;" ("&amp;COUNTIFS($CY$6:$CY$53,CY9,$BC$6:$BC$53,INDEX(T_Equipos[Grupo],MATCH(BD9,T_Equipos[NombreEquipo],0)))&amp;")")</f>
        <v>-</v>
      </c>
      <c r="DA9" s="633" t="str">
        <f ca="1">IF(CZ9="-","-",COUNTIFS(T_Equipos[Rank],"&lt;"&amp;INDEX(T_Equipos[Rank],MATCH(BD9,T_Equipos[NombreEquipo],0)),$BC$6:$BC$53,INDEX(T_Equipos[Grupo],MATCH(BD9,T_Equipos[NombreEquipo],0)))+1)</f>
        <v>-</v>
      </c>
      <c r="DB9" s="630">
        <f ca="1">CY9+COUNTIFS($CZ$6:$CZ$53,CZ9,$DA$6:DA$53,"&lt;"&amp;DA9,$BC$6:$BC$53,INDEX(T_Equipos[Grupo],MATCH(BD9,T_Equipos[NombreEquipo],0)))</f>
        <v>3</v>
      </c>
      <c r="DC9" s="630"/>
      <c r="DD9" s="630">
        <f t="shared" ca="1" si="30"/>
        <v>3</v>
      </c>
      <c r="DE9" s="630" t="str">
        <f ca="1">IF(CZ9="-","-",COUNTIFS(DD$6:DD$53,"&lt;"&amp;DD9,$BC$6:$BC$53,INDEX(T_Equipos[Grupo],MATCH(BD9,T_Equipos[NombreEquipo],0))))</f>
        <v>-</v>
      </c>
      <c r="DF9" s="630">
        <f ca="1">CY9+COUNTIFS(CZ$6:CZ$53,CZ9,DE$6:DE$53,"&lt;"&amp;DE9,$BC$6:$BC$53,INDEX(T_Equipos[Grupo],MATCH(BD9,T_Equipos[NombreEquipo],0)))</f>
        <v>3</v>
      </c>
      <c r="DH9" s="10">
        <f ca="1">INDEX($CY$6:$CY$53,MATCH($DO9,$BD$6:$BD$53,0))</f>
        <v>4</v>
      </c>
      <c r="DI9" s="10">
        <f t="shared" ca="1" si="24"/>
        <v>12</v>
      </c>
      <c r="DJ9" s="10">
        <f t="shared" ca="1" si="31"/>
        <v>1</v>
      </c>
      <c r="DK9" s="19" t="str">
        <f t="shared" ca="1" si="32"/>
        <v>4.1</v>
      </c>
      <c r="DL9" s="10" cm="1">
        <f t="array" aca="1" ref="DL9" ca="1">OFFSET(Horarios!$P$3,DH9-1,0,DJ9,1)</f>
        <v>4</v>
      </c>
      <c r="DN9" s="10" t="s">
        <v>666</v>
      </c>
      <c r="DO9" s="10" t="str">
        <f t="shared" ca="1" si="33"/>
        <v>Corea del Sur</v>
      </c>
    </row>
    <row r="10" spans="1:119 5612:5612 8867:8867 13370:13370" ht="15" customHeight="1" thickBot="1">
      <c r="A10" s="643"/>
      <c r="B10" s="11"/>
      <c r="C10" s="643"/>
      <c r="D10" s="10"/>
      <c r="E10" s="10"/>
      <c r="F10" s="10"/>
      <c r="G10" s="10"/>
      <c r="H10" s="10"/>
      <c r="I10" s="10"/>
      <c r="J10" s="10"/>
      <c r="K10" s="10"/>
      <c r="L10" s="10"/>
      <c r="M10" s="10"/>
      <c r="N10" s="10"/>
      <c r="O10" s="10"/>
      <c r="P10" s="10"/>
      <c r="Q10" s="10"/>
      <c r="R10" s="10"/>
      <c r="S10" s="10"/>
      <c r="T10" s="10"/>
      <c r="U10" s="10"/>
      <c r="V10" s="20"/>
      <c r="W10" s="162"/>
      <c r="X10" s="163"/>
      <c r="Y10" s="162"/>
      <c r="Z10" s="164"/>
      <c r="AA10" s="165"/>
      <c r="AB10" s="166"/>
      <c r="AC10" s="159"/>
      <c r="AD10" s="159"/>
      <c r="AE10" s="166"/>
      <c r="AF10" s="167"/>
      <c r="AG10" s="335"/>
      <c r="AH10" s="204"/>
      <c r="AI10" s="190"/>
      <c r="AJ10" s="168"/>
      <c r="AK10" s="169"/>
      <c r="AL10" s="170"/>
      <c r="AM10" s="171"/>
      <c r="AN10" s="168"/>
      <c r="AO10" s="168"/>
      <c r="AP10" s="168"/>
      <c r="AQ10" s="168"/>
      <c r="AR10" s="168"/>
      <c r="AS10" s="168"/>
      <c r="AT10" s="168"/>
      <c r="AU10" s="342"/>
      <c r="AV10" s="198"/>
      <c r="AW10" s="220"/>
      <c r="AX10" s="179"/>
      <c r="AY10" s="162"/>
      <c r="AZ10" s="163"/>
      <c r="BA10" s="155"/>
      <c r="BC10" s="630" t="str">
        <f ca="1">+INDEX(T_Equipos[Grupo],MATCH(WORLDCUP!BD10,T_Equipos[NombreEquipo],0))</f>
        <v>B</v>
      </c>
      <c r="BD10" s="10" t="str">
        <f ca="1">+Equipos!B6</f>
        <v>Canadá</v>
      </c>
      <c r="BE10" s="424">
        <f t="shared" ca="1" si="16"/>
        <v>4</v>
      </c>
      <c r="BF10" s="424">
        <f t="shared" ca="1" si="25"/>
        <v>3</v>
      </c>
      <c r="BG10" s="424">
        <f t="shared" ca="1" si="17"/>
        <v>1</v>
      </c>
      <c r="BH10" s="424">
        <f t="shared" ca="1" si="18"/>
        <v>1</v>
      </c>
      <c r="BI10" s="424">
        <f t="shared" ca="1" si="19"/>
        <v>1</v>
      </c>
      <c r="BJ10" s="424">
        <f t="shared" ca="1" si="20"/>
        <v>2</v>
      </c>
      <c r="BK10" s="424">
        <f t="shared" ca="1" si="21"/>
        <v>2</v>
      </c>
      <c r="BL10" s="424">
        <f t="shared" ca="1" si="26"/>
        <v>0</v>
      </c>
      <c r="BM10" s="424" t="str">
        <f t="shared" ca="1" si="22"/>
        <v>2B</v>
      </c>
      <c r="BN10" s="424" t="str">
        <f t="shared" ca="1" si="23"/>
        <v>2B</v>
      </c>
      <c r="BO10" s="630"/>
      <c r="BP10" s="632">
        <f t="shared" ca="1" si="27"/>
        <v>4</v>
      </c>
      <c r="BQ10" s="631">
        <f ca="1">COUNTIFS($BE$6:$BE$53,"&gt;"&amp;BE10,$BC$6:$BC$53,INDEX(T_Equipos[Grupo],MATCH(BD10,T_Equipos[NombreEquipo],0)))+1</f>
        <v>2</v>
      </c>
      <c r="BR10" s="631" t="str">
        <f ca="1">IF(COUNTIFS($BQ$6:$BQ$53,BQ10,$BC$6:$BC$53,INDEX(T_Equipos[Grupo],MATCH(BD10,T_Equipos[NombreEquipo],0)))=1,"-","P."&amp;BQ10&amp;" ("&amp;COUNTIFS($BQ$6:$BQ$53,BQ10,$BC$6:$BC$53,INDEX(T_Equipos[Grupo],MATCH(BD10,T_Equipos[NombreEquipo],0)))&amp;")")</f>
        <v>-</v>
      </c>
      <c r="BS10" s="632" t="str">
        <f t="shared" ref="BS10:BS53" ca="1" si="34">IF($BR10="-","-",COUNTIFS(FGLocal,$BD10,Ganador,"Local",Part1Empate1V,$BR10)+COUNTIFS(FGVisitante,$BD10,Ganador,"Visitante",Part1Empate1L,$BR10))</f>
        <v>-</v>
      </c>
      <c r="BT10" s="632" t="str">
        <f t="shared" ref="BT10:BT53" ca="1" si="35">IF($BR10="-","-",COUNTIFS(FGLocal,$BD10,Ganador,"Empate",Part1Empate1V,$BR10)+COUNTIFS(FGVisitante,$BD10,Ganador,"Empate",Part1Empate1L,$BR10))</f>
        <v>-</v>
      </c>
      <c r="BU10" s="632" t="str">
        <f t="shared" ref="BU10:BU53" ca="1" si="36">IF($BR10="-","-",COUNTIFS(FGLocal,$BD10,Ganador,"Visitante",Part1Empate1V,$BR10)+COUNTIFS(FGVisitante,$BD10,Ganador,"Local",Part1Empate1L,$BR10))</f>
        <v>-</v>
      </c>
      <c r="BV10" s="632" t="str">
        <f t="shared" ref="BV10:BV53" ca="1" si="37">IF($BR10="-","-",BS10*3+BT10)</f>
        <v>-</v>
      </c>
      <c r="BW10" s="632">
        <f ca="1">BQ10+COUNTIFS($BR$6:$BR$53,BR10,$BV$6:BV$53,"&gt;"&amp;BV10,$BC$6:$BC$53,INDEX(T_Equipos[Grupo],MATCH(BD10,T_Equipos[NombreEquipo],0)))</f>
        <v>2</v>
      </c>
      <c r="BX10" s="631" t="str">
        <f ca="1">IF(COUNTIFS($BW$6:$BW$53,BW10,$BC$6:$BC$53,INDEX(T_Equipos[Grupo],MATCH(BD10,T_Equipos[NombreEquipo],0)))=1,"-","P."&amp;BW10&amp;" ("&amp;COUNTIFS($BW$6:$BW$53,BW10,$BC$6:$BC$53,INDEX(T_Equipos[Grupo],MATCH(BD10,T_Equipos[NombreEquipo],0)))&amp;")")</f>
        <v>-</v>
      </c>
      <c r="BY10" s="632" t="str">
        <f t="shared" ref="BY10:BY53" ca="1" si="38">IF($BX10="-","-",SUMIFS(FG_GolesLocal,FGLocal,$BD10,Part1Empate2V,$BX10)+SUMIFS(FG_GolesVisitante,FGVisitante,$BD10,Part1Empate2L,$BX10))</f>
        <v>-</v>
      </c>
      <c r="BZ10" s="632" t="str">
        <f t="shared" ref="BZ10:BZ53" ca="1" si="39">IF($BX10="-","-",SUMIFS(FG_GolesVisitante,FGLocal,$BD10,Part1Empate2V,$BX10)+SUMIFS(FG_GolesLocal,FGVisitante,$BD10,Part1Empate2L,$BX10))</f>
        <v>-</v>
      </c>
      <c r="CA10" s="632" t="str">
        <f t="shared" ref="CA10:CA53" ca="1" si="40">IF($BX10="-","-",BY10-BZ10)</f>
        <v>-</v>
      </c>
      <c r="CB10" s="632">
        <f ca="1">BW10+COUNTIFS($BX$6:$BX$53,BX10,$CA$6:CA$53,"&gt;"&amp;CA10,$BC$6:$BC$53,INDEX(T_Equipos[Grupo],MATCH(BD10,T_Equipos[NombreEquipo],0)))</f>
        <v>2</v>
      </c>
      <c r="CC10" s="631" t="str">
        <f ca="1">IF(COUNTIFS($CB$6:$CB$53,CB10,$BC$6:$BC$53,INDEX(T_Equipos[Grupo],MATCH(BD10,T_Equipos[NombreEquipo],0)))=1,"-","P."&amp;CB10&amp;" ("&amp;COUNTIFS($CB$6:$CB$53,CB10,$BC$6:$BC$53,INDEX(T_Equipos[Grupo],MATCH(BD10,T_Equipos[NombreEquipo],0)))&amp;")")</f>
        <v>-</v>
      </c>
      <c r="CD10" s="632" t="str">
        <f t="shared" ref="CD10:CD53" ca="1" si="41">IF($CC10="-","-",SUMIFS(FG_GolesLocal,FGLocal,$BD10,Part1Empate3V,$CC10)+SUMIFS(FG_GolesVisitante,FGVisitante,$BD10,Part1Empate3L,$CC10))</f>
        <v>-</v>
      </c>
      <c r="CE10" s="632">
        <f ca="1">CB10+COUNTIFS($CC$6:$CC$53,CC10,$CD$6:CD$53,"&gt;"&amp;CD10,$BC$6:$BC$53,INDEX(T_Equipos[Grupo],MATCH(BD10,T_Equipos[NombreEquipo],0)))</f>
        <v>2</v>
      </c>
      <c r="CF10" s="631" t="str">
        <f ca="1">IF(COUNTIFS($CE$6:$CE$53,CE10,$BC$6:$BC$53,INDEX(T_Equipos[Grupo],MATCH(BD10,T_Equipos[NombreEquipo],0)))=1,"-","P."&amp;CE10&amp;" ("&amp;COUNTIFS($CE$6:$CE$53,CE10,$BC$6:$BC$53,INDEX(T_Equipos[Grupo],MATCH(BD10,T_Equipos[NombreEquipo],0)))&amp;")")</f>
        <v>-</v>
      </c>
      <c r="CG10" s="632" t="str">
        <f t="shared" ref="CG10:CG53" ca="1" si="42">IF($CF10="-","-",COUNTIFS(FGLocal,$BD10,Ganador,"Local",Part2Empate4V,$CF10)+COUNTIFS(FGVisitante,$BD10,Ganador,"Visitante",Part2Empate4L,$CF10))</f>
        <v>-</v>
      </c>
      <c r="CH10" s="632" t="str">
        <f t="shared" ref="CH10:CH53" ca="1" si="43">IF($CF10="-","-",COUNTIFS(FGLocal,$BD10,Ganador,"Empate",Part2Empate4V,$CF10)+COUNTIFS(FGVisitante,$BD10,Ganador,"Empate",Part2Empate4L,$CF10))</f>
        <v>-</v>
      </c>
      <c r="CI10" s="632" t="str">
        <f t="shared" ref="CI10:CI53" ca="1" si="44">IF($CF10="-","-",COUNTIFS(FGLocal,$BD10,Ganador,"Visitante",Part2Empate4V,$CF10)+COUNTIFS(FGVisitante,$BD10,Ganador,"Local",Part2Empate4L,$CF10))</f>
        <v>-</v>
      </c>
      <c r="CJ10" s="632" t="str">
        <f t="shared" ref="CJ10:CJ53" ca="1" si="45">IF($CF10="-","-",CG10*3+CH10)</f>
        <v>-</v>
      </c>
      <c r="CK10" s="632">
        <f ca="1">CE10+COUNTIFS($CF$6:$CF$53,CF10,$CJ$6:CJ$53,"&gt;"&amp;CJ10,$BC$6:$BC$53,INDEX(T_Equipos[Grupo],MATCH(BD10,T_Equipos[NombreEquipo],0)))</f>
        <v>2</v>
      </c>
      <c r="CL10" s="631" t="str">
        <f ca="1">IF(COUNTIFS($CK$6:$CK$53,CK10,$BC$6:$BC$53,INDEX(T_Equipos[Grupo],MATCH(BD10,T_Equipos[NombreEquipo],0)))=1,"-","P."&amp;CK10&amp;" ("&amp;COUNTIFS($CK$6:$CK$53,CK10,$BC$6:$BC$53,INDEX(T_Equipos[Grupo],MATCH(BD10,T_Equipos[NombreEquipo],0)))&amp;")")</f>
        <v>-</v>
      </c>
      <c r="CM10" s="632" t="str">
        <f t="shared" ref="CM10:CM53" ca="1" si="46">IF($CL10="-","-",SUMIFS(FG_GolesLocal,FGLocal,$BD10,Part2Empate5V,$CL10)+SUMIFS(FG_GolesVisitante,FGVisitante,$BD10,Part2Empate5L,$CL10))</f>
        <v>-</v>
      </c>
      <c r="CN10" s="632" t="str">
        <f t="shared" ref="CN10:CN53" ca="1" si="47">IF($CL10="-","-",SUMIFS(FG_GolesVisitante,FGLocal,$BD10,Part2Empate5V,$CL10)+SUMIFS(FG_GolesLocal,FGVisitante,$BD10,Part2Empate5L,$CL10))</f>
        <v>-</v>
      </c>
      <c r="CO10" s="632" t="str">
        <f t="shared" ref="CO10:CO53" ca="1" si="48">IF($CL10="-","-",CM10-CN10)</f>
        <v>-</v>
      </c>
      <c r="CP10" s="632">
        <f ca="1">CK10+COUNTIFS($CL$6:$CL$53,CL10,$CO$6:CO$53,"&gt;"&amp;CO10,$BC$6:$BC$53,INDEX(T_Equipos[Grupo],MATCH(BD10,T_Equipos[NombreEquipo],0)))</f>
        <v>2</v>
      </c>
      <c r="CQ10" s="631" t="str">
        <f ca="1">IF(COUNTIFS($CP$6:$CP$53,CP10,$BC$6:$BC$53,INDEX(T_Equipos[Grupo],MATCH(BD10,T_Equipos[NombreEquipo],0)))=1,"-","P."&amp;CP10&amp;" ("&amp;COUNTIFS($CP$6:$CP$53,CP10,$BC$6:$BC$53,INDEX(T_Equipos[Grupo],MATCH(BD10,T_Equipos[NombreEquipo],0)))&amp;")")</f>
        <v>-</v>
      </c>
      <c r="CR10" s="632" t="str">
        <f t="shared" ref="CR10:CR53" ca="1" si="49">IF($CQ10="-","-",SUMIFS(FG_GolesLocal,FGLocal,$BD10,Part2Empate6V,$CQ10)+SUMIFS(FG_GolesVisitante,FGVisitante,$BD10,Part2Empate6L,$CQ10))</f>
        <v>-</v>
      </c>
      <c r="CS10" s="632">
        <f ca="1">CP10+COUNTIFS($CQ$6:$CQ$53,CQ10,$CR$6:CR$53,"&gt;"&amp;CR10,$BC$6:$BC$53,INDEX(T_Equipos[Grupo],MATCH(BD10,T_Equipos[NombreEquipo],0)))</f>
        <v>2</v>
      </c>
      <c r="CT10" s="631" t="str">
        <f ca="1">IF(COUNTIFS($CS$6:$CS$53,CS10,$BC$6:$BC$53,INDEX(T_Equipos[Grupo],MATCH(BD10,T_Equipos[NombreEquipo],0)))=1,"-","P."&amp;CS10&amp;" ("&amp;COUNTIFS($CS$6:$CS$53,CS10,$BC$6:$BC$53,INDEX(T_Equipos[Grupo],MATCH(BD10,T_Equipos[NombreEquipo],0)))&amp;")")</f>
        <v>-</v>
      </c>
      <c r="CU10" s="631" t="str">
        <f t="shared" ca="1" si="28"/>
        <v>-</v>
      </c>
      <c r="CV10" s="631">
        <f ca="1">CS10+COUNTIFS($CT$6:$CT$53,CT10,$CU$6:CU$53,"&gt;"&amp;CU10,$BC$6:$BC$53,INDEX(T_Equipos[Grupo],MATCH(BD10,T_Equipos[NombreEquipo],0)))</f>
        <v>2</v>
      </c>
      <c r="CW10" s="631" t="str">
        <f ca="1">IF(COUNTIFS($CV$6:$CV$53,CV10,$BC$6:$BC$53,INDEX(T_Equipos[Grupo],MATCH(BD10,T_Equipos[NombreEquipo],0)))=1,"-","P."&amp;CV10&amp;" ("&amp;COUNTIFS($CV$6:$CV$53,CV10,$BC$6:$BC$53,INDEX(T_Equipos[Grupo],MATCH(BD10,T_Equipos[NombreEquipo],0)))&amp;")")</f>
        <v>-</v>
      </c>
      <c r="CX10" s="631" t="str">
        <f t="shared" ca="1" si="29"/>
        <v>-</v>
      </c>
      <c r="CY10" s="632">
        <f ca="1">CV10+COUNTIFS($CW$6:$CW$53,CW10,$CX$6:CX$53,"&gt;"&amp;CX10,$BC$6:$BC$53,INDEX(T_Equipos[Grupo],MATCH(BD10,T_Equipos[NombreEquipo],0)))</f>
        <v>2</v>
      </c>
      <c r="CZ10" s="631" t="str">
        <f ca="1">IF(COUNTIFS($CY$6:$CY$53,CY10,$BC$6:$BC$53,INDEX(T_Equipos[Grupo],MATCH(BD10,T_Equipos[NombreEquipo],0)))=1,"-","P."&amp;CY10&amp;" ("&amp;COUNTIFS($CY$6:$CY$53,CY10,$BC$6:$BC$53,INDEX(T_Equipos[Grupo],MATCH(BD10,T_Equipos[NombreEquipo],0)))&amp;")")</f>
        <v>-</v>
      </c>
      <c r="DA10" s="633" t="str">
        <f ca="1">IF(CZ10="-","-",COUNTIFS(T_Equipos[Rank],"&lt;"&amp;INDEX(T_Equipos[Rank],MATCH(BD10,T_Equipos[NombreEquipo],0)),$BC$6:$BC$53,INDEX(T_Equipos[Grupo],MATCH(BD10,T_Equipos[NombreEquipo],0)))+1)</f>
        <v>-</v>
      </c>
      <c r="DB10" s="630">
        <f ca="1">CY10+COUNTIFS($CZ$6:$CZ$53,CZ10,$DA$6:DA$53,"&lt;"&amp;DA10,$BC$6:$BC$53,INDEX(T_Equipos[Grupo],MATCH(BD10,T_Equipos[NombreEquipo],0)))</f>
        <v>2</v>
      </c>
      <c r="DC10" s="630"/>
      <c r="DD10" s="630">
        <f t="shared" ref="DD10:DD53" ca="1" si="50">IF(OR(INDEX($AW$6:$AW$97,MATCH($BD10,$AV$6:$AV$97,0))="",CZ10="-"),DB10,INDEX($AW$6:$AW$97,MATCH($BD10,$AV$6:$AV$97,0))+DB10/1000)</f>
        <v>2</v>
      </c>
      <c r="DE10" s="630" t="str">
        <f ca="1">IF(CZ10="-","-",COUNTIFS(DD$6:DD$53,"&lt;"&amp;DD10,$BC$6:$BC$53,INDEX(T_Equipos[Grupo],MATCH(BD10,T_Equipos[NombreEquipo],0))))</f>
        <v>-</v>
      </c>
      <c r="DF10" s="630">
        <f ca="1">CY10+COUNTIFS(CZ$6:CZ$53,CZ10,DE$6:DE$53,"&lt;"&amp;DE10,$BC$6:$BC$53,INDEX(T_Equipos[Grupo],MATCH(BD10,T_Equipos[NombreEquipo],0)))</f>
        <v>2</v>
      </c>
      <c r="DH10" s="10">
        <f t="shared" ref="DH10:DH53" ca="1" si="51">INDEX($CY$6:$CY$53,MATCH($DO10,$BD$6:$BD$53,0))</f>
        <v>1</v>
      </c>
      <c r="DI10" s="10">
        <f t="shared" ca="1" si="24"/>
        <v>12</v>
      </c>
      <c r="DJ10" s="10">
        <f t="shared" ca="1" si="31"/>
        <v>1</v>
      </c>
      <c r="DK10" s="19" t="str">
        <f t="shared" ca="1" si="32"/>
        <v>1.1</v>
      </c>
      <c r="DL10" s="10" cm="1">
        <f t="array" aca="1" ref="DL10" ca="1">OFFSET(Horarios!$P$3,DH10-1,0,DJ10,1)</f>
        <v>1</v>
      </c>
      <c r="DN10" s="10" t="s">
        <v>667</v>
      </c>
      <c r="DO10" s="10" t="str">
        <f t="shared" ca="1" si="33"/>
        <v>Suiza</v>
      </c>
      <c r="STF10" s="10" t="s">
        <v>15</v>
      </c>
    </row>
    <row r="11" spans="1:119 5612:5612 8867:8867 13370:13370" ht="16.05" customHeight="1" thickBot="1">
      <c r="A11" s="643"/>
      <c r="B11" s="11"/>
      <c r="C11" s="643"/>
      <c r="D11" s="643"/>
      <c r="E11" s="643"/>
      <c r="F11" s="643"/>
      <c r="G11" s="643"/>
      <c r="H11" s="643"/>
      <c r="I11" s="643"/>
      <c r="J11" s="643"/>
      <c r="K11" s="643"/>
      <c r="L11" s="643"/>
      <c r="M11" s="643"/>
      <c r="N11" s="10"/>
      <c r="O11" s="10"/>
      <c r="P11" s="10"/>
      <c r="Q11" s="10"/>
      <c r="R11" s="10"/>
      <c r="S11" s="10"/>
      <c r="T11" s="10"/>
      <c r="U11" s="10"/>
      <c r="V11" s="20"/>
      <c r="W11" s="9"/>
      <c r="X11" s="77" t="str">
        <f>X3</f>
        <v>Fecha</v>
      </c>
      <c r="Y11" s="77" t="str">
        <f>Y3</f>
        <v>Hora</v>
      </c>
      <c r="Z11" s="63" t="str">
        <f>Z3</f>
        <v>Jor.</v>
      </c>
      <c r="AA11" s="65" t="str">
        <f>AA3</f>
        <v>Casa</v>
      </c>
      <c r="AB11" s="64"/>
      <c r="AC11" s="63" t="str">
        <f>AC3</f>
        <v>Gol</v>
      </c>
      <c r="AD11" s="63" t="str">
        <f>AD3</f>
        <v>Gol</v>
      </c>
      <c r="AE11" s="64"/>
      <c r="AF11" s="66" t="str">
        <f>AF3</f>
        <v>Fuera</v>
      </c>
      <c r="AG11" s="336"/>
      <c r="AH11" s="204"/>
      <c r="AI11" s="188"/>
      <c r="AJ11" s="170"/>
      <c r="AK11" s="172"/>
      <c r="AL11" s="170"/>
      <c r="AM11" s="170"/>
      <c r="AN11" s="170"/>
      <c r="AO11" s="170"/>
      <c r="AP11" s="170"/>
      <c r="AQ11" s="170"/>
      <c r="AR11" s="170"/>
      <c r="AS11" s="170"/>
      <c r="AT11" s="170"/>
      <c r="AU11" s="343"/>
      <c r="AV11" s="197"/>
      <c r="AW11" s="221"/>
      <c r="AX11" s="180"/>
      <c r="AY11" s="162"/>
      <c r="AZ11" s="163"/>
      <c r="BA11" s="155"/>
      <c r="BC11" s="630" t="str">
        <f ca="1">+INDEX(T_Equipos[Grupo],MATCH(WORLDCUP!BD11,T_Equipos[NombreEquipo],0))</f>
        <v>B</v>
      </c>
      <c r="BD11" s="10" t="str">
        <f ca="1">+Equipos!B7</f>
        <v>PO A: ITA/NIR/WAL/BIH</v>
      </c>
      <c r="BE11" s="424">
        <f t="shared" ca="1" si="16"/>
        <v>1</v>
      </c>
      <c r="BF11" s="424">
        <f t="shared" ca="1" si="25"/>
        <v>3</v>
      </c>
      <c r="BG11" s="424">
        <f t="shared" ca="1" si="17"/>
        <v>0</v>
      </c>
      <c r="BH11" s="424">
        <f t="shared" ca="1" si="18"/>
        <v>1</v>
      </c>
      <c r="BI11" s="424">
        <f t="shared" ca="1" si="19"/>
        <v>2</v>
      </c>
      <c r="BJ11" s="424">
        <f t="shared" ca="1" si="20"/>
        <v>1</v>
      </c>
      <c r="BK11" s="424">
        <f t="shared" ca="1" si="21"/>
        <v>3</v>
      </c>
      <c r="BL11" s="424">
        <f t="shared" ca="1" si="26"/>
        <v>-2</v>
      </c>
      <c r="BM11" s="424" t="str">
        <f t="shared" ca="1" si="22"/>
        <v>4B</v>
      </c>
      <c r="BN11" s="424" t="str">
        <f t="shared" ca="1" si="23"/>
        <v>4B</v>
      </c>
      <c r="BO11" s="630"/>
      <c r="BP11" s="632">
        <f t="shared" ca="1" si="27"/>
        <v>1</v>
      </c>
      <c r="BQ11" s="631">
        <f ca="1">COUNTIFS($BE$6:$BE$53,"&gt;"&amp;BE11,$BC$6:$BC$53,INDEX(T_Equipos[Grupo],MATCH(BD11,T_Equipos[NombreEquipo],0)))+1</f>
        <v>4</v>
      </c>
      <c r="BR11" s="631" t="str">
        <f ca="1">IF(COUNTIFS($BQ$6:$BQ$53,BQ11,$BC$6:$BC$53,INDEX(T_Equipos[Grupo],MATCH(BD11,T_Equipos[NombreEquipo],0)))=1,"-","P."&amp;BQ11&amp;" ("&amp;COUNTIFS($BQ$6:$BQ$53,BQ11,$BC$6:$BC$53,INDEX(T_Equipos[Grupo],MATCH(BD11,T_Equipos[NombreEquipo],0)))&amp;")")</f>
        <v>-</v>
      </c>
      <c r="BS11" s="632" t="str">
        <f t="shared" ca="1" si="34"/>
        <v>-</v>
      </c>
      <c r="BT11" s="632" t="str">
        <f t="shared" ca="1" si="35"/>
        <v>-</v>
      </c>
      <c r="BU11" s="632" t="str">
        <f t="shared" ca="1" si="36"/>
        <v>-</v>
      </c>
      <c r="BV11" s="632" t="str">
        <f t="shared" ca="1" si="37"/>
        <v>-</v>
      </c>
      <c r="BW11" s="632">
        <f ca="1">BQ11+COUNTIFS($BR$6:$BR$53,BR11,$BV$6:BV$53,"&gt;"&amp;BV11,$BC$6:$BC$53,INDEX(T_Equipos[Grupo],MATCH(BD11,T_Equipos[NombreEquipo],0)))</f>
        <v>4</v>
      </c>
      <c r="BX11" s="631" t="str">
        <f ca="1">IF(COUNTIFS($BW$6:$BW$53,BW11,$BC$6:$BC$53,INDEX(T_Equipos[Grupo],MATCH(BD11,T_Equipos[NombreEquipo],0)))=1,"-","P."&amp;BW11&amp;" ("&amp;COUNTIFS($BW$6:$BW$53,BW11,$BC$6:$BC$53,INDEX(T_Equipos[Grupo],MATCH(BD11,T_Equipos[NombreEquipo],0)))&amp;")")</f>
        <v>-</v>
      </c>
      <c r="BY11" s="632" t="str">
        <f t="shared" ca="1" si="38"/>
        <v>-</v>
      </c>
      <c r="BZ11" s="632" t="str">
        <f t="shared" ca="1" si="39"/>
        <v>-</v>
      </c>
      <c r="CA11" s="632" t="str">
        <f t="shared" ca="1" si="40"/>
        <v>-</v>
      </c>
      <c r="CB11" s="632">
        <f ca="1">BW11+COUNTIFS($BX$6:$BX$53,BX11,$CA$6:CA$53,"&gt;"&amp;CA11,$BC$6:$BC$53,INDEX(T_Equipos[Grupo],MATCH(BD11,T_Equipos[NombreEquipo],0)))</f>
        <v>4</v>
      </c>
      <c r="CC11" s="631" t="str">
        <f ca="1">IF(COUNTIFS($CB$6:$CB$53,CB11,$BC$6:$BC$53,INDEX(T_Equipos[Grupo],MATCH(BD11,T_Equipos[NombreEquipo],0)))=1,"-","P."&amp;CB11&amp;" ("&amp;COUNTIFS($CB$6:$CB$53,CB11,$BC$6:$BC$53,INDEX(T_Equipos[Grupo],MATCH(BD11,T_Equipos[NombreEquipo],0)))&amp;")")</f>
        <v>-</v>
      </c>
      <c r="CD11" s="632" t="str">
        <f t="shared" ca="1" si="41"/>
        <v>-</v>
      </c>
      <c r="CE11" s="632">
        <f ca="1">CB11+COUNTIFS($CC$6:$CC$53,CC11,$CD$6:CD$53,"&gt;"&amp;CD11,$BC$6:$BC$53,INDEX(T_Equipos[Grupo],MATCH(BD11,T_Equipos[NombreEquipo],0)))</f>
        <v>4</v>
      </c>
      <c r="CF11" s="631" t="str">
        <f ca="1">IF(COUNTIFS($CE$6:$CE$53,CE11,$BC$6:$BC$53,INDEX(T_Equipos[Grupo],MATCH(BD11,T_Equipos[NombreEquipo],0)))=1,"-","P."&amp;CE11&amp;" ("&amp;COUNTIFS($CE$6:$CE$53,CE11,$BC$6:$BC$53,INDEX(T_Equipos[Grupo],MATCH(BD11,T_Equipos[NombreEquipo],0)))&amp;")")</f>
        <v>-</v>
      </c>
      <c r="CG11" s="632" t="str">
        <f t="shared" ca="1" si="42"/>
        <v>-</v>
      </c>
      <c r="CH11" s="632" t="str">
        <f t="shared" ca="1" si="43"/>
        <v>-</v>
      </c>
      <c r="CI11" s="632" t="str">
        <f t="shared" ca="1" si="44"/>
        <v>-</v>
      </c>
      <c r="CJ11" s="632" t="str">
        <f t="shared" ca="1" si="45"/>
        <v>-</v>
      </c>
      <c r="CK11" s="632">
        <f ca="1">CE11+COUNTIFS($CF$6:$CF$53,CF11,$CJ$6:CJ$53,"&gt;"&amp;CJ11,$BC$6:$BC$53,INDEX(T_Equipos[Grupo],MATCH(BD11,T_Equipos[NombreEquipo],0)))</f>
        <v>4</v>
      </c>
      <c r="CL11" s="631" t="str">
        <f ca="1">IF(COUNTIFS($CK$6:$CK$53,CK11,$BC$6:$BC$53,INDEX(T_Equipos[Grupo],MATCH(BD11,T_Equipos[NombreEquipo],0)))=1,"-","P."&amp;CK11&amp;" ("&amp;COUNTIFS($CK$6:$CK$53,CK11,$BC$6:$BC$53,INDEX(T_Equipos[Grupo],MATCH(BD11,T_Equipos[NombreEquipo],0)))&amp;")")</f>
        <v>-</v>
      </c>
      <c r="CM11" s="632" t="str">
        <f t="shared" ca="1" si="46"/>
        <v>-</v>
      </c>
      <c r="CN11" s="632" t="str">
        <f t="shared" ca="1" si="47"/>
        <v>-</v>
      </c>
      <c r="CO11" s="632" t="str">
        <f t="shared" ca="1" si="48"/>
        <v>-</v>
      </c>
      <c r="CP11" s="632">
        <f ca="1">CK11+COUNTIFS($CL$6:$CL$53,CL11,$CO$6:CO$53,"&gt;"&amp;CO11,$BC$6:$BC$53,INDEX(T_Equipos[Grupo],MATCH(BD11,T_Equipos[NombreEquipo],0)))</f>
        <v>4</v>
      </c>
      <c r="CQ11" s="631" t="str">
        <f ca="1">IF(COUNTIFS($CP$6:$CP$53,CP11,$BC$6:$BC$53,INDEX(T_Equipos[Grupo],MATCH(BD11,T_Equipos[NombreEquipo],0)))=1,"-","P."&amp;CP11&amp;" ("&amp;COUNTIFS($CP$6:$CP$53,CP11,$BC$6:$BC$53,INDEX(T_Equipos[Grupo],MATCH(BD11,T_Equipos[NombreEquipo],0)))&amp;")")</f>
        <v>-</v>
      </c>
      <c r="CR11" s="632" t="str">
        <f t="shared" ca="1" si="49"/>
        <v>-</v>
      </c>
      <c r="CS11" s="632">
        <f ca="1">CP11+COUNTIFS($CQ$6:$CQ$53,CQ11,$CR$6:CR$53,"&gt;"&amp;CR11,$BC$6:$BC$53,INDEX(T_Equipos[Grupo],MATCH(BD11,T_Equipos[NombreEquipo],0)))</f>
        <v>4</v>
      </c>
      <c r="CT11" s="631" t="str">
        <f ca="1">IF(COUNTIFS($CS$6:$CS$53,CS11,$BC$6:$BC$53,INDEX(T_Equipos[Grupo],MATCH(BD11,T_Equipos[NombreEquipo],0)))=1,"-","P."&amp;CS11&amp;" ("&amp;COUNTIFS($CS$6:$CS$53,CS11,$BC$6:$BC$53,INDEX(T_Equipos[Grupo],MATCH(BD11,T_Equipos[NombreEquipo],0)))&amp;")")</f>
        <v>-</v>
      </c>
      <c r="CU11" s="631" t="str">
        <f t="shared" ca="1" si="28"/>
        <v>-</v>
      </c>
      <c r="CV11" s="631">
        <f ca="1">CS11+COUNTIFS($CT$6:$CT$53,CT11,$CU$6:CU$53,"&gt;"&amp;CU11,$BC$6:$BC$53,INDEX(T_Equipos[Grupo],MATCH(BD11,T_Equipos[NombreEquipo],0)))</f>
        <v>4</v>
      </c>
      <c r="CW11" s="631" t="str">
        <f ca="1">IF(COUNTIFS($CV$6:$CV$53,CV11,$BC$6:$BC$53,INDEX(T_Equipos[Grupo],MATCH(BD11,T_Equipos[NombreEquipo],0)))=1,"-","P."&amp;CV11&amp;" ("&amp;COUNTIFS($CV$6:$CV$53,CV11,$BC$6:$BC$53,INDEX(T_Equipos[Grupo],MATCH(BD11,T_Equipos[NombreEquipo],0)))&amp;")")</f>
        <v>-</v>
      </c>
      <c r="CX11" s="631" t="str">
        <f t="shared" ca="1" si="29"/>
        <v>-</v>
      </c>
      <c r="CY11" s="632">
        <f ca="1">CV11+COUNTIFS($CW$6:$CW$53,CW11,$CX$6:CX$53,"&gt;"&amp;CX11,$BC$6:$BC$53,INDEX(T_Equipos[Grupo],MATCH(BD11,T_Equipos[NombreEquipo],0)))</f>
        <v>4</v>
      </c>
      <c r="CZ11" s="631" t="str">
        <f ca="1">IF(COUNTIFS($CY$6:$CY$53,CY11,$BC$6:$BC$53,INDEX(T_Equipos[Grupo],MATCH(BD11,T_Equipos[NombreEquipo],0)))=1,"-","P."&amp;CY11&amp;" ("&amp;COUNTIFS($CY$6:$CY$53,CY11,$BC$6:$BC$53,INDEX(T_Equipos[Grupo],MATCH(BD11,T_Equipos[NombreEquipo],0)))&amp;")")</f>
        <v>-</v>
      </c>
      <c r="DA11" s="633" t="str">
        <f ca="1">IF(CZ11="-","-",COUNTIFS(T_Equipos[Rank],"&lt;"&amp;INDEX(T_Equipos[Rank],MATCH(BD11,T_Equipos[NombreEquipo],0)),$BC$6:$BC$53,INDEX(T_Equipos[Grupo],MATCH(BD11,T_Equipos[NombreEquipo],0)))+1)</f>
        <v>-</v>
      </c>
      <c r="DB11" s="630">
        <f ca="1">CY11+COUNTIFS($CZ$6:$CZ$53,CZ11,$DA$6:DA$53,"&lt;"&amp;DA11,$BC$6:$BC$53,INDEX(T_Equipos[Grupo],MATCH(BD11,T_Equipos[NombreEquipo],0)))</f>
        <v>4</v>
      </c>
      <c r="DC11" s="630"/>
      <c r="DD11" s="630">
        <f t="shared" ca="1" si="50"/>
        <v>4</v>
      </c>
      <c r="DE11" s="630" t="str">
        <f ca="1">IF(CZ11="-","-",COUNTIFS(DD$6:DD$53,"&lt;"&amp;DD11,$BC$6:$BC$53,INDEX(T_Equipos[Grupo],MATCH(BD11,T_Equipos[NombreEquipo],0))))</f>
        <v>-</v>
      </c>
      <c r="DF11" s="630">
        <f ca="1">CY11+COUNTIFS(CZ$6:CZ$53,CZ11,DE$6:DE$53,"&lt;"&amp;DE11,$BC$6:$BC$53,INDEX(T_Equipos[Grupo],MATCH(BD11,T_Equipos[NombreEquipo],0)))</f>
        <v>4</v>
      </c>
      <c r="DH11" s="10">
        <f t="shared" ca="1" si="51"/>
        <v>2</v>
      </c>
      <c r="DI11" s="10">
        <f t="shared" ca="1" si="24"/>
        <v>12</v>
      </c>
      <c r="DJ11" s="10">
        <f t="shared" ca="1" si="31"/>
        <v>1</v>
      </c>
      <c r="DK11" s="19" t="str">
        <f t="shared" ca="1" si="32"/>
        <v>2.1</v>
      </c>
      <c r="DL11" s="10" cm="1">
        <f t="array" aca="1" ref="DL11" ca="1">OFFSET(Horarios!$P$3,DH11-1,0,DJ11,1)</f>
        <v>2</v>
      </c>
      <c r="DN11" s="10" t="s">
        <v>668</v>
      </c>
      <c r="DO11" s="10" t="str">
        <f t="shared" ca="1" si="33"/>
        <v>Canadá</v>
      </c>
    </row>
    <row r="12" spans="1:119 5612:5612 8867:8867 13370:13370" ht="15" customHeight="1" thickBot="1">
      <c r="A12" s="645" t="s">
        <v>32</v>
      </c>
      <c r="B12" s="11" t="s">
        <v>1</v>
      </c>
      <c r="C12" s="441">
        <f>COUNTIF(Equipos!$C$2:$C$49,WORLDCUP!B12)</f>
        <v>4</v>
      </c>
      <c r="D12" s="10" t="str">
        <f t="shared" ref="D12:D17" si="52">IF(OR(AC12="",AD12=""),"Pendiente",IF(AC12&gt;AD12,"Local",IF(AC12&lt;AD12,"Visitante","Empate")))</f>
        <v>Empate</v>
      </c>
      <c r="E12" s="10" t="str">
        <f t="shared" ref="E12:E17" ca="1" si="53">IF(D12="Pendiente","-",INDEX($BR$6:$BR$53,MATCH($AA12,$BD$6:$BD$53,0)))</f>
        <v>-</v>
      </c>
      <c r="F12" s="10" t="str">
        <f t="shared" ref="F12:F17" ca="1" si="54">IF(D12="Pendiente","-",INDEX($BR$6:$BR$53,MATCH($AF12,$BD$6:$BD$53,0)))</f>
        <v>-</v>
      </c>
      <c r="G12" s="10"/>
      <c r="H12" s="10" t="str">
        <f t="shared" ref="H12:H17" ca="1" si="55">IF(D12="Pendiente","-",INDEX($BX$6:$BX$53,MATCH($AA12,$BD$6:$BD$53,0)))</f>
        <v>-</v>
      </c>
      <c r="I12" s="10" t="str">
        <f t="shared" ref="I12:I17" ca="1" si="56">IF(D12="Pendiente","-",INDEX($BX$6:$BX$53,MATCH($AF12,$BD$6:$BD$53,0)))</f>
        <v>-</v>
      </c>
      <c r="J12" s="10"/>
      <c r="K12" s="10" t="str">
        <f t="shared" ref="K12:K17" ca="1" si="57">IF(D12="Pendiente","-",INDEX($CC$6:$CC$53,MATCH($AA12,$BD$6:$BD$53,0)))</f>
        <v>-</v>
      </c>
      <c r="L12" s="10" t="str">
        <f t="shared" ref="L12:L17" ca="1" si="58">IF(D12="Pendiente","-",INDEX($CC$6:$CC$53,MATCH($AF12,$BD$6:$BD$53,0)))</f>
        <v>-</v>
      </c>
      <c r="M12" s="10"/>
      <c r="N12" s="10" t="str">
        <f t="shared" ref="N12:N17" ca="1" si="59">IF(D12="Pendiente","-",INDEX($CF$6:$CF$53,MATCH($AA12,$BD$6:$BD$53,0)))</f>
        <v>-</v>
      </c>
      <c r="O12" s="10" t="str">
        <f t="shared" ref="O12:O17" ca="1" si="60">IF(D12="Pendiente","-",INDEX($CF$6:$CF$53,MATCH($AF12,$BD$6:$BD$53,0)))</f>
        <v>-</v>
      </c>
      <c r="P12" s="10"/>
      <c r="Q12" s="10" t="str">
        <f t="shared" ref="Q12:Q17" ca="1" si="61">IF(D12="Pendiente","-",INDEX($CL$6:$CL$53,MATCH($AA12,$BD$6:$BD$53,0)))</f>
        <v>-</v>
      </c>
      <c r="R12" s="10" t="str">
        <f t="shared" ref="R12:R17" ca="1" si="62">IF(D12="Pendiente","-",INDEX($CL$6:$CL$53,MATCH($AF12,$BD$6:$BD$53,0)))</f>
        <v>-</v>
      </c>
      <c r="S12" s="10"/>
      <c r="T12" s="10" t="str">
        <f t="shared" ref="T12:T17" ca="1" si="63">IF(D12="Pendiente","-",INDEX($CQ$6:$CQ$53,MATCH($AA12,$BD$6:$BD$53,0)))</f>
        <v>-</v>
      </c>
      <c r="U12" s="10" t="str">
        <f t="shared" ref="U12:U17" ca="1" si="64">IF(D12="Pendiente","-",INDEX($CQ$6:$CQ$53,MATCH($AF12,$BD$6:$BD$53,0)))</f>
        <v>-</v>
      </c>
      <c r="V12" s="20"/>
      <c r="W12" s="683" t="s">
        <v>1</v>
      </c>
      <c r="X12" s="27">
        <f ca="1">Horarios!C12</f>
        <v>46185.875</v>
      </c>
      <c r="Y12" s="28">
        <f ca="1">Horarios!C12</f>
        <v>46185.875</v>
      </c>
      <c r="Z12" s="29" t="str">
        <f>$Z$4</f>
        <v>J1</v>
      </c>
      <c r="AA12" s="30" t="str">
        <f ca="1">A13</f>
        <v>Canadá</v>
      </c>
      <c r="AB12" s="55" t="str">
        <f ca="1">+INDEX(Equipos!$L$2:$L$49,MATCH(WORLDCUP!AA12,Equipos!$K$2:$K$49,0))</f>
        <v>🇨🇦</v>
      </c>
      <c r="AC12" s="56">
        <v>1</v>
      </c>
      <c r="AD12" s="57">
        <v>1</v>
      </c>
      <c r="AE12" s="58" t="str">
        <f ca="1">+INDEX(Equipos!$L$2:$L$49,MATCH(WORLDCUP!AF12,Equipos!$K$2:$K$49,0))</f>
        <v xml:space="preserve"> </v>
      </c>
      <c r="AF12" s="35" t="str">
        <f ca="1">A14</f>
        <v>PO A: ITA/NIR/WAL/BIH</v>
      </c>
      <c r="AG12" s="335">
        <f t="shared" ref="AG12:AG17" si="65">IF(NOT(OR(ISBLANK(AC12),ISBLANK(AD12))),1,0)</f>
        <v>1</v>
      </c>
      <c r="AH12" s="204">
        <v>3</v>
      </c>
      <c r="AI12" s="190"/>
      <c r="AJ12" s="67" t="str">
        <f>CONCATENATE(AJ3," ",B12)</f>
        <v>Grupo B</v>
      </c>
      <c r="AK12" s="68"/>
      <c r="AL12" s="68"/>
      <c r="AM12" s="68"/>
      <c r="AN12" s="68"/>
      <c r="AO12" s="68"/>
      <c r="AP12" s="68"/>
      <c r="AQ12" s="68"/>
      <c r="AR12" s="68"/>
      <c r="AS12" s="68"/>
      <c r="AT12" s="69"/>
      <c r="AU12" s="343"/>
      <c r="AV12" s="295" t="str">
        <f ca="1">IF(AU13&gt;0,$AV$3,"")</f>
        <v/>
      </c>
      <c r="AW12" s="181"/>
      <c r="AX12" s="181"/>
      <c r="AY12" s="162"/>
      <c r="AZ12" s="163"/>
      <c r="BA12" s="155"/>
      <c r="BC12" s="630" t="str">
        <f ca="1">+INDEX(T_Equipos[Grupo],MATCH(WORLDCUP!BD12,T_Equipos[NombreEquipo],0))</f>
        <v>B</v>
      </c>
      <c r="BD12" s="10" t="str">
        <f ca="1">+Equipos!B8</f>
        <v>Catar</v>
      </c>
      <c r="BE12" s="424">
        <f t="shared" ca="1" si="16"/>
        <v>3</v>
      </c>
      <c r="BF12" s="424">
        <f t="shared" ca="1" si="25"/>
        <v>3</v>
      </c>
      <c r="BG12" s="424">
        <f t="shared" ca="1" si="17"/>
        <v>1</v>
      </c>
      <c r="BH12" s="424">
        <f t="shared" ca="1" si="18"/>
        <v>0</v>
      </c>
      <c r="BI12" s="424">
        <f t="shared" ca="1" si="19"/>
        <v>2</v>
      </c>
      <c r="BJ12" s="424">
        <f t="shared" ca="1" si="20"/>
        <v>1</v>
      </c>
      <c r="BK12" s="424">
        <f t="shared" ca="1" si="21"/>
        <v>3</v>
      </c>
      <c r="BL12" s="424">
        <f t="shared" ca="1" si="26"/>
        <v>-2</v>
      </c>
      <c r="BM12" s="424" t="str">
        <f t="shared" ca="1" si="22"/>
        <v>3B</v>
      </c>
      <c r="BN12" s="424" t="str">
        <f t="shared" ca="1" si="23"/>
        <v>3B</v>
      </c>
      <c r="BO12" s="630"/>
      <c r="BP12" s="632">
        <f t="shared" ca="1" si="27"/>
        <v>3</v>
      </c>
      <c r="BQ12" s="631">
        <f ca="1">COUNTIFS($BE$6:$BE$53,"&gt;"&amp;BE12,$BC$6:$BC$53,INDEX(T_Equipos[Grupo],MATCH(BD12,T_Equipos[NombreEquipo],0)))+1</f>
        <v>3</v>
      </c>
      <c r="BR12" s="631" t="str">
        <f ca="1">IF(COUNTIFS($BQ$6:$BQ$53,BQ12,$BC$6:$BC$53,INDEX(T_Equipos[Grupo],MATCH(BD12,T_Equipos[NombreEquipo],0)))=1,"-","P."&amp;BQ12&amp;" ("&amp;COUNTIFS($BQ$6:$BQ$53,BQ12,$BC$6:$BC$53,INDEX(T_Equipos[Grupo],MATCH(BD12,T_Equipos[NombreEquipo],0)))&amp;")")</f>
        <v>-</v>
      </c>
      <c r="BS12" s="632" t="str">
        <f t="shared" ca="1" si="34"/>
        <v>-</v>
      </c>
      <c r="BT12" s="632" t="str">
        <f t="shared" ca="1" si="35"/>
        <v>-</v>
      </c>
      <c r="BU12" s="632" t="str">
        <f t="shared" ca="1" si="36"/>
        <v>-</v>
      </c>
      <c r="BV12" s="632" t="str">
        <f t="shared" ca="1" si="37"/>
        <v>-</v>
      </c>
      <c r="BW12" s="632">
        <f ca="1">BQ12+COUNTIFS($BR$6:$BR$53,BR12,$BV$6:BV$53,"&gt;"&amp;BV12,$BC$6:$BC$53,INDEX(T_Equipos[Grupo],MATCH(BD12,T_Equipos[NombreEquipo],0)))</f>
        <v>3</v>
      </c>
      <c r="BX12" s="631" t="str">
        <f ca="1">IF(COUNTIFS($BW$6:$BW$53,BW12,$BC$6:$BC$53,INDEX(T_Equipos[Grupo],MATCH(BD12,T_Equipos[NombreEquipo],0)))=1,"-","P."&amp;BW12&amp;" ("&amp;COUNTIFS($BW$6:$BW$53,BW12,$BC$6:$BC$53,INDEX(T_Equipos[Grupo],MATCH(BD12,T_Equipos[NombreEquipo],0)))&amp;")")</f>
        <v>-</v>
      </c>
      <c r="BY12" s="632" t="str">
        <f t="shared" ca="1" si="38"/>
        <v>-</v>
      </c>
      <c r="BZ12" s="632" t="str">
        <f t="shared" ca="1" si="39"/>
        <v>-</v>
      </c>
      <c r="CA12" s="632" t="str">
        <f t="shared" ca="1" si="40"/>
        <v>-</v>
      </c>
      <c r="CB12" s="632">
        <f ca="1">BW12+COUNTIFS($BX$6:$BX$53,BX12,$CA$6:CA$53,"&gt;"&amp;CA12,$BC$6:$BC$53,INDEX(T_Equipos[Grupo],MATCH(BD12,T_Equipos[NombreEquipo],0)))</f>
        <v>3</v>
      </c>
      <c r="CC12" s="631" t="str">
        <f ca="1">IF(COUNTIFS($CB$6:$CB$53,CB12,$BC$6:$BC$53,INDEX(T_Equipos[Grupo],MATCH(BD12,T_Equipos[NombreEquipo],0)))=1,"-","P."&amp;CB12&amp;" ("&amp;COUNTIFS($CB$6:$CB$53,CB12,$BC$6:$BC$53,INDEX(T_Equipos[Grupo],MATCH(BD12,T_Equipos[NombreEquipo],0)))&amp;")")</f>
        <v>-</v>
      </c>
      <c r="CD12" s="632" t="str">
        <f t="shared" ca="1" si="41"/>
        <v>-</v>
      </c>
      <c r="CE12" s="632">
        <f ca="1">CB12+COUNTIFS($CC$6:$CC$53,CC12,$CD$6:CD$53,"&gt;"&amp;CD12,$BC$6:$BC$53,INDEX(T_Equipos[Grupo],MATCH(BD12,T_Equipos[NombreEquipo],0)))</f>
        <v>3</v>
      </c>
      <c r="CF12" s="631" t="str">
        <f ca="1">IF(COUNTIFS($CE$6:$CE$53,CE12,$BC$6:$BC$53,INDEX(T_Equipos[Grupo],MATCH(BD12,T_Equipos[NombreEquipo],0)))=1,"-","P."&amp;CE12&amp;" ("&amp;COUNTIFS($CE$6:$CE$53,CE12,$BC$6:$BC$53,INDEX(T_Equipos[Grupo],MATCH(BD12,T_Equipos[NombreEquipo],0)))&amp;")")</f>
        <v>-</v>
      </c>
      <c r="CG12" s="632" t="str">
        <f t="shared" ca="1" si="42"/>
        <v>-</v>
      </c>
      <c r="CH12" s="632" t="str">
        <f t="shared" ca="1" si="43"/>
        <v>-</v>
      </c>
      <c r="CI12" s="632" t="str">
        <f t="shared" ca="1" si="44"/>
        <v>-</v>
      </c>
      <c r="CJ12" s="632" t="str">
        <f t="shared" ca="1" si="45"/>
        <v>-</v>
      </c>
      <c r="CK12" s="632">
        <f ca="1">CE12+COUNTIFS($CF$6:$CF$53,CF12,$CJ$6:CJ$53,"&gt;"&amp;CJ12,$BC$6:$BC$53,INDEX(T_Equipos[Grupo],MATCH(BD12,T_Equipos[NombreEquipo],0)))</f>
        <v>3</v>
      </c>
      <c r="CL12" s="631" t="str">
        <f ca="1">IF(COUNTIFS($CK$6:$CK$53,CK12,$BC$6:$BC$53,INDEX(T_Equipos[Grupo],MATCH(BD12,T_Equipos[NombreEquipo],0)))=1,"-","P."&amp;CK12&amp;" ("&amp;COUNTIFS($CK$6:$CK$53,CK12,$BC$6:$BC$53,INDEX(T_Equipos[Grupo],MATCH(BD12,T_Equipos[NombreEquipo],0)))&amp;")")</f>
        <v>-</v>
      </c>
      <c r="CM12" s="632" t="str">
        <f t="shared" ca="1" si="46"/>
        <v>-</v>
      </c>
      <c r="CN12" s="632" t="str">
        <f t="shared" ca="1" si="47"/>
        <v>-</v>
      </c>
      <c r="CO12" s="632" t="str">
        <f t="shared" ca="1" si="48"/>
        <v>-</v>
      </c>
      <c r="CP12" s="632">
        <f ca="1">CK12+COUNTIFS($CL$6:$CL$53,CL12,$CO$6:CO$53,"&gt;"&amp;CO12,$BC$6:$BC$53,INDEX(T_Equipos[Grupo],MATCH(BD12,T_Equipos[NombreEquipo],0)))</f>
        <v>3</v>
      </c>
      <c r="CQ12" s="631" t="str">
        <f ca="1">IF(COUNTIFS($CP$6:$CP$53,CP12,$BC$6:$BC$53,INDEX(T_Equipos[Grupo],MATCH(BD12,T_Equipos[NombreEquipo],0)))=1,"-","P."&amp;CP12&amp;" ("&amp;COUNTIFS($CP$6:$CP$53,CP12,$BC$6:$BC$53,INDEX(T_Equipos[Grupo],MATCH(BD12,T_Equipos[NombreEquipo],0)))&amp;")")</f>
        <v>-</v>
      </c>
      <c r="CR12" s="632" t="str">
        <f t="shared" ca="1" si="49"/>
        <v>-</v>
      </c>
      <c r="CS12" s="632">
        <f ca="1">CP12+COUNTIFS($CQ$6:$CQ$53,CQ12,$CR$6:CR$53,"&gt;"&amp;CR12,$BC$6:$BC$53,INDEX(T_Equipos[Grupo],MATCH(BD12,T_Equipos[NombreEquipo],0)))</f>
        <v>3</v>
      </c>
      <c r="CT12" s="631" t="str">
        <f ca="1">IF(COUNTIFS($CS$6:$CS$53,CS12,$BC$6:$BC$53,INDEX(T_Equipos[Grupo],MATCH(BD12,T_Equipos[NombreEquipo],0)))=1,"-","P."&amp;CS12&amp;" ("&amp;COUNTIFS($CS$6:$CS$53,CS12,$BC$6:$BC$53,INDEX(T_Equipos[Grupo],MATCH(BD12,T_Equipos[NombreEquipo],0)))&amp;")")</f>
        <v>-</v>
      </c>
      <c r="CU12" s="631" t="str">
        <f t="shared" ca="1" si="28"/>
        <v>-</v>
      </c>
      <c r="CV12" s="631">
        <f ca="1">CS12+COUNTIFS($CT$6:$CT$53,CT12,$CU$6:CU$53,"&gt;"&amp;CU12,$BC$6:$BC$53,INDEX(T_Equipos[Grupo],MATCH(BD12,T_Equipos[NombreEquipo],0)))</f>
        <v>3</v>
      </c>
      <c r="CW12" s="631" t="str">
        <f ca="1">IF(COUNTIFS($CV$6:$CV$53,CV12,$BC$6:$BC$53,INDEX(T_Equipos[Grupo],MATCH(BD12,T_Equipos[NombreEquipo],0)))=1,"-","P."&amp;CV12&amp;" ("&amp;COUNTIFS($CV$6:$CV$53,CV12,$BC$6:$BC$53,INDEX(T_Equipos[Grupo],MATCH(BD12,T_Equipos[NombreEquipo],0)))&amp;")")</f>
        <v>-</v>
      </c>
      <c r="CX12" s="631" t="str">
        <f t="shared" ca="1" si="29"/>
        <v>-</v>
      </c>
      <c r="CY12" s="632">
        <f ca="1">CV12+COUNTIFS($CW$6:$CW$53,CW12,$CX$6:CX$53,"&gt;"&amp;CX12,$BC$6:$BC$53,INDEX(T_Equipos[Grupo],MATCH(BD12,T_Equipos[NombreEquipo],0)))</f>
        <v>3</v>
      </c>
      <c r="CZ12" s="631" t="str">
        <f ca="1">IF(COUNTIFS($CY$6:$CY$53,CY12,$BC$6:$BC$53,INDEX(T_Equipos[Grupo],MATCH(BD12,T_Equipos[NombreEquipo],0)))=1,"-","P."&amp;CY12&amp;" ("&amp;COUNTIFS($CY$6:$CY$53,CY12,$BC$6:$BC$53,INDEX(T_Equipos[Grupo],MATCH(BD12,T_Equipos[NombreEquipo],0)))&amp;")")</f>
        <v>-</v>
      </c>
      <c r="DA12" s="633" t="str">
        <f ca="1">IF(CZ12="-","-",COUNTIFS(T_Equipos[Rank],"&lt;"&amp;INDEX(T_Equipos[Rank],MATCH(BD12,T_Equipos[NombreEquipo],0)),$BC$6:$BC$53,INDEX(T_Equipos[Grupo],MATCH(BD12,T_Equipos[NombreEquipo],0)))+1)</f>
        <v>-</v>
      </c>
      <c r="DB12" s="630">
        <f ca="1">CY12+COUNTIFS($CZ$6:$CZ$53,CZ12,$DA$6:DA$53,"&lt;"&amp;DA12,$BC$6:$BC$53,INDEX(T_Equipos[Grupo],MATCH(BD12,T_Equipos[NombreEquipo],0)))</f>
        <v>3</v>
      </c>
      <c r="DC12" s="630"/>
      <c r="DD12" s="630">
        <f t="shared" ca="1" si="50"/>
        <v>3</v>
      </c>
      <c r="DE12" s="630" t="str">
        <f ca="1">IF(CZ12="-","-",COUNTIFS(DD$6:DD$53,"&lt;"&amp;DD12,$BC$6:$BC$53,INDEX(T_Equipos[Grupo],MATCH(BD12,T_Equipos[NombreEquipo],0))))</f>
        <v>-</v>
      </c>
      <c r="DF12" s="630">
        <f ca="1">CY12+COUNTIFS(CZ$6:CZ$53,CZ12,DE$6:DE$53,"&lt;"&amp;DE12,$BC$6:$BC$53,INDEX(T_Equipos[Grupo],MATCH(BD12,T_Equipos[NombreEquipo],0)))</f>
        <v>3</v>
      </c>
      <c r="DH12" s="10">
        <f t="shared" ca="1" si="51"/>
        <v>3</v>
      </c>
      <c r="DI12" s="10">
        <f t="shared" ca="1" si="24"/>
        <v>12</v>
      </c>
      <c r="DJ12" s="10">
        <f t="shared" ca="1" si="31"/>
        <v>1</v>
      </c>
      <c r="DK12" s="19" t="str">
        <f t="shared" ca="1" si="32"/>
        <v>3.1</v>
      </c>
      <c r="DL12" s="10" cm="1">
        <f t="array" aca="1" ref="DL12" ca="1">OFFSET(Horarios!$P$3,DH12-1,0,DJ12,1)</f>
        <v>3</v>
      </c>
      <c r="DN12" s="10" t="s">
        <v>92</v>
      </c>
      <c r="DO12" s="10" t="str">
        <f t="shared" ca="1" si="33"/>
        <v>Catar</v>
      </c>
    </row>
    <row r="13" spans="1:119 5612:5612 8867:8867 13370:13370" ht="16.05" customHeight="1">
      <c r="A13" s="646" t="str">
        <f ca="1">+Equipos!B6</f>
        <v>Canadá</v>
      </c>
      <c r="B13" s="11"/>
      <c r="C13" s="11"/>
      <c r="D13" s="10" t="str">
        <f t="shared" si="52"/>
        <v>Visitante</v>
      </c>
      <c r="E13" s="10" t="str">
        <f t="shared" ca="1" si="53"/>
        <v>-</v>
      </c>
      <c r="F13" s="10" t="str">
        <f t="shared" ca="1" si="54"/>
        <v>-</v>
      </c>
      <c r="G13" s="10"/>
      <c r="H13" s="10" t="str">
        <f t="shared" ca="1" si="55"/>
        <v>-</v>
      </c>
      <c r="I13" s="10" t="str">
        <f t="shared" ca="1" si="56"/>
        <v>-</v>
      </c>
      <c r="J13" s="10"/>
      <c r="K13" s="10" t="str">
        <f t="shared" ca="1" si="57"/>
        <v>-</v>
      </c>
      <c r="L13" s="10" t="str">
        <f t="shared" ca="1" si="58"/>
        <v>-</v>
      </c>
      <c r="M13" s="10"/>
      <c r="N13" s="10" t="str">
        <f t="shared" ca="1" si="59"/>
        <v>-</v>
      </c>
      <c r="O13" s="10" t="str">
        <f t="shared" ca="1" si="60"/>
        <v>-</v>
      </c>
      <c r="P13" s="10"/>
      <c r="Q13" s="10" t="str">
        <f t="shared" ca="1" si="61"/>
        <v>-</v>
      </c>
      <c r="R13" s="10" t="str">
        <f t="shared" ca="1" si="62"/>
        <v>-</v>
      </c>
      <c r="S13" s="10"/>
      <c r="T13" s="10" t="str">
        <f t="shared" ca="1" si="63"/>
        <v>-</v>
      </c>
      <c r="U13" s="10" t="str">
        <f t="shared" ca="1" si="64"/>
        <v>-</v>
      </c>
      <c r="V13" s="20"/>
      <c r="W13" s="683"/>
      <c r="X13" s="27">
        <f ca="1">Horarios!C13</f>
        <v>46186.875</v>
      </c>
      <c r="Y13" s="28">
        <f ca="1">Horarios!C13</f>
        <v>46186.875</v>
      </c>
      <c r="Z13" s="29" t="str">
        <f>$Z$4</f>
        <v>J1</v>
      </c>
      <c r="AA13" s="30" t="str">
        <f ca="1">A15</f>
        <v>Catar</v>
      </c>
      <c r="AB13" s="55" t="str">
        <f ca="1">+INDEX(Equipos!$L$2:$L$49,MATCH(WORLDCUP!AA13,Equipos!$K$2:$K$49,0))</f>
        <v>🇶🇦</v>
      </c>
      <c r="AC13" s="56">
        <v>0</v>
      </c>
      <c r="AD13" s="57">
        <v>2</v>
      </c>
      <c r="AE13" s="58" t="str">
        <f ca="1">+INDEX(Equipos!$L$2:$L$49,MATCH(WORLDCUP!AF13,Equipos!$K$2:$K$49,0))</f>
        <v>🇨🇭</v>
      </c>
      <c r="AF13" s="35" t="str">
        <f ca="1">A16</f>
        <v>Suiza</v>
      </c>
      <c r="AG13" s="335">
        <f t="shared" si="65"/>
        <v>1</v>
      </c>
      <c r="AH13" s="204">
        <v>8</v>
      </c>
      <c r="AI13" s="190"/>
      <c r="AJ13" s="70" t="str">
        <f>AJ5</f>
        <v>Pos</v>
      </c>
      <c r="AK13" s="71"/>
      <c r="AL13" s="72" t="str">
        <f t="shared" ref="AL13:AT13" si="66">AL5</f>
        <v>Selección</v>
      </c>
      <c r="AM13" s="71" t="str">
        <f t="shared" si="66"/>
        <v>Pts</v>
      </c>
      <c r="AN13" s="71" t="str">
        <f t="shared" si="66"/>
        <v>J</v>
      </c>
      <c r="AO13" s="71" t="str">
        <f t="shared" si="66"/>
        <v>G</v>
      </c>
      <c r="AP13" s="71" t="str">
        <f t="shared" si="66"/>
        <v>E</v>
      </c>
      <c r="AQ13" s="71" t="str">
        <f t="shared" si="66"/>
        <v>P</v>
      </c>
      <c r="AR13" s="71" t="str">
        <f t="shared" si="66"/>
        <v>GF</v>
      </c>
      <c r="AS13" s="71" t="str">
        <f t="shared" si="66"/>
        <v>GC</v>
      </c>
      <c r="AT13" s="73" t="str">
        <f t="shared" si="66"/>
        <v>DG</v>
      </c>
      <c r="AU13" s="343">
        <f t="shared" ref="AU13" ca="1" si="67">COUNTIF(AU14:AU17,"&gt;1")</f>
        <v>0</v>
      </c>
      <c r="AV13" s="201"/>
      <c r="AW13" s="175"/>
      <c r="AX13" s="175"/>
      <c r="AY13" s="216" t="str">
        <f>AL13</f>
        <v>Selección</v>
      </c>
      <c r="AZ13" s="217" t="str">
        <f>+Idiomas!$D$67</f>
        <v>Puntos penalizados</v>
      </c>
      <c r="BA13" s="155"/>
      <c r="BC13" s="630" t="str">
        <f ca="1">+INDEX(T_Equipos[Grupo],MATCH(WORLDCUP!BD13,T_Equipos[NombreEquipo],0))</f>
        <v>B</v>
      </c>
      <c r="BD13" s="10" t="str">
        <f ca="1">+Equipos!B9</f>
        <v>Suiza</v>
      </c>
      <c r="BE13" s="424">
        <f t="shared" ca="1" si="16"/>
        <v>9</v>
      </c>
      <c r="BF13" s="424">
        <f t="shared" ca="1" si="25"/>
        <v>3</v>
      </c>
      <c r="BG13" s="424">
        <f t="shared" ca="1" si="17"/>
        <v>3</v>
      </c>
      <c r="BH13" s="424">
        <f t="shared" ca="1" si="18"/>
        <v>0</v>
      </c>
      <c r="BI13" s="424">
        <f t="shared" ca="1" si="19"/>
        <v>0</v>
      </c>
      <c r="BJ13" s="424">
        <f t="shared" ca="1" si="20"/>
        <v>4</v>
      </c>
      <c r="BK13" s="424">
        <f t="shared" ca="1" si="21"/>
        <v>0</v>
      </c>
      <c r="BL13" s="424">
        <f t="shared" ca="1" si="26"/>
        <v>4</v>
      </c>
      <c r="BM13" s="424" t="str">
        <f t="shared" ca="1" si="22"/>
        <v>1B</v>
      </c>
      <c r="BN13" s="424" t="str">
        <f t="shared" ca="1" si="23"/>
        <v>1B</v>
      </c>
      <c r="BO13" s="630"/>
      <c r="BP13" s="632">
        <f t="shared" ca="1" si="27"/>
        <v>9</v>
      </c>
      <c r="BQ13" s="631">
        <f ca="1">COUNTIFS($BE$6:$BE$53,"&gt;"&amp;BE13,$BC$6:$BC$53,INDEX(T_Equipos[Grupo],MATCH(BD13,T_Equipos[NombreEquipo],0)))+1</f>
        <v>1</v>
      </c>
      <c r="BR13" s="631" t="str">
        <f ca="1">IF(COUNTIFS($BQ$6:$BQ$53,BQ13,$BC$6:$BC$53,INDEX(T_Equipos[Grupo],MATCH(BD13,T_Equipos[NombreEquipo],0)))=1,"-","P."&amp;BQ13&amp;" ("&amp;COUNTIFS($BQ$6:$BQ$53,BQ13,$BC$6:$BC$53,INDEX(T_Equipos[Grupo],MATCH(BD13,T_Equipos[NombreEquipo],0)))&amp;")")</f>
        <v>-</v>
      </c>
      <c r="BS13" s="632" t="str">
        <f t="shared" ca="1" si="34"/>
        <v>-</v>
      </c>
      <c r="BT13" s="632" t="str">
        <f t="shared" ca="1" si="35"/>
        <v>-</v>
      </c>
      <c r="BU13" s="632" t="str">
        <f t="shared" ca="1" si="36"/>
        <v>-</v>
      </c>
      <c r="BV13" s="632" t="str">
        <f t="shared" ca="1" si="37"/>
        <v>-</v>
      </c>
      <c r="BW13" s="632">
        <f ca="1">BQ13+COUNTIFS($BR$6:$BR$53,BR13,$BV$6:BV$53,"&gt;"&amp;BV13,$BC$6:$BC$53,INDEX(T_Equipos[Grupo],MATCH(BD13,T_Equipos[NombreEquipo],0)))</f>
        <v>1</v>
      </c>
      <c r="BX13" s="631" t="str">
        <f ca="1">IF(COUNTIFS($BW$6:$BW$53,BW13,$BC$6:$BC$53,INDEX(T_Equipos[Grupo],MATCH(BD13,T_Equipos[NombreEquipo],0)))=1,"-","P."&amp;BW13&amp;" ("&amp;COUNTIFS($BW$6:$BW$53,BW13,$BC$6:$BC$53,INDEX(T_Equipos[Grupo],MATCH(BD13,T_Equipos[NombreEquipo],0)))&amp;")")</f>
        <v>-</v>
      </c>
      <c r="BY13" s="632" t="str">
        <f t="shared" ca="1" si="38"/>
        <v>-</v>
      </c>
      <c r="BZ13" s="632" t="str">
        <f t="shared" ca="1" si="39"/>
        <v>-</v>
      </c>
      <c r="CA13" s="632" t="str">
        <f t="shared" ca="1" si="40"/>
        <v>-</v>
      </c>
      <c r="CB13" s="632">
        <f ca="1">BW13+COUNTIFS($BX$6:$BX$53,BX13,$CA$6:CA$53,"&gt;"&amp;CA13,$BC$6:$BC$53,INDEX(T_Equipos[Grupo],MATCH(BD13,T_Equipos[NombreEquipo],0)))</f>
        <v>1</v>
      </c>
      <c r="CC13" s="631" t="str">
        <f ca="1">IF(COUNTIFS($CB$6:$CB$53,CB13,$BC$6:$BC$53,INDEX(T_Equipos[Grupo],MATCH(BD13,T_Equipos[NombreEquipo],0)))=1,"-","P."&amp;CB13&amp;" ("&amp;COUNTIFS($CB$6:$CB$53,CB13,$BC$6:$BC$53,INDEX(T_Equipos[Grupo],MATCH(BD13,T_Equipos[NombreEquipo],0)))&amp;")")</f>
        <v>-</v>
      </c>
      <c r="CD13" s="632" t="str">
        <f t="shared" ca="1" si="41"/>
        <v>-</v>
      </c>
      <c r="CE13" s="632">
        <f ca="1">CB13+COUNTIFS($CC$6:$CC$53,CC13,$CD$6:CD$53,"&gt;"&amp;CD13,$BC$6:$BC$53,INDEX(T_Equipos[Grupo],MATCH(BD13,T_Equipos[NombreEquipo],0)))</f>
        <v>1</v>
      </c>
      <c r="CF13" s="631" t="str">
        <f ca="1">IF(COUNTIFS($CE$6:$CE$53,CE13,$BC$6:$BC$53,INDEX(T_Equipos[Grupo],MATCH(BD13,T_Equipos[NombreEquipo],0)))=1,"-","P."&amp;CE13&amp;" ("&amp;COUNTIFS($CE$6:$CE$53,CE13,$BC$6:$BC$53,INDEX(T_Equipos[Grupo],MATCH(BD13,T_Equipos[NombreEquipo],0)))&amp;")")</f>
        <v>-</v>
      </c>
      <c r="CG13" s="632" t="str">
        <f t="shared" ca="1" si="42"/>
        <v>-</v>
      </c>
      <c r="CH13" s="632" t="str">
        <f t="shared" ca="1" si="43"/>
        <v>-</v>
      </c>
      <c r="CI13" s="632" t="str">
        <f t="shared" ca="1" si="44"/>
        <v>-</v>
      </c>
      <c r="CJ13" s="632" t="str">
        <f t="shared" ca="1" si="45"/>
        <v>-</v>
      </c>
      <c r="CK13" s="632">
        <f ca="1">CE13+COUNTIFS($CF$6:$CF$53,CF13,$CJ$6:CJ$53,"&gt;"&amp;CJ13,$BC$6:$BC$53,INDEX(T_Equipos[Grupo],MATCH(BD13,T_Equipos[NombreEquipo],0)))</f>
        <v>1</v>
      </c>
      <c r="CL13" s="631" t="str">
        <f ca="1">IF(COUNTIFS($CK$6:$CK$53,CK13,$BC$6:$BC$53,INDEX(T_Equipos[Grupo],MATCH(BD13,T_Equipos[NombreEquipo],0)))=1,"-","P."&amp;CK13&amp;" ("&amp;COUNTIFS($CK$6:$CK$53,CK13,$BC$6:$BC$53,INDEX(T_Equipos[Grupo],MATCH(BD13,T_Equipos[NombreEquipo],0)))&amp;")")</f>
        <v>-</v>
      </c>
      <c r="CM13" s="632" t="str">
        <f t="shared" ca="1" si="46"/>
        <v>-</v>
      </c>
      <c r="CN13" s="632" t="str">
        <f t="shared" ca="1" si="47"/>
        <v>-</v>
      </c>
      <c r="CO13" s="632" t="str">
        <f t="shared" ca="1" si="48"/>
        <v>-</v>
      </c>
      <c r="CP13" s="632">
        <f ca="1">CK13+COUNTIFS($CL$6:$CL$53,CL13,$CO$6:CO$53,"&gt;"&amp;CO13,$BC$6:$BC$53,INDEX(T_Equipos[Grupo],MATCH(BD13,T_Equipos[NombreEquipo],0)))</f>
        <v>1</v>
      </c>
      <c r="CQ13" s="631" t="str">
        <f ca="1">IF(COUNTIFS($CP$6:$CP$53,CP13,$BC$6:$BC$53,INDEX(T_Equipos[Grupo],MATCH(BD13,T_Equipos[NombreEquipo],0)))=1,"-","P."&amp;CP13&amp;" ("&amp;COUNTIFS($CP$6:$CP$53,CP13,$BC$6:$BC$53,INDEX(T_Equipos[Grupo],MATCH(BD13,T_Equipos[NombreEquipo],0)))&amp;")")</f>
        <v>-</v>
      </c>
      <c r="CR13" s="632" t="str">
        <f t="shared" ca="1" si="49"/>
        <v>-</v>
      </c>
      <c r="CS13" s="632">
        <f ca="1">CP13+COUNTIFS($CQ$6:$CQ$53,CQ13,$CR$6:CR$53,"&gt;"&amp;CR13,$BC$6:$BC$53,INDEX(T_Equipos[Grupo],MATCH(BD13,T_Equipos[NombreEquipo],0)))</f>
        <v>1</v>
      </c>
      <c r="CT13" s="631" t="str">
        <f ca="1">IF(COUNTIFS($CS$6:$CS$53,CS13,$BC$6:$BC$53,INDEX(T_Equipos[Grupo],MATCH(BD13,T_Equipos[NombreEquipo],0)))=1,"-","P."&amp;CS13&amp;" ("&amp;COUNTIFS($CS$6:$CS$53,CS13,$BC$6:$BC$53,INDEX(T_Equipos[Grupo],MATCH(BD13,T_Equipos[NombreEquipo],0)))&amp;")")</f>
        <v>-</v>
      </c>
      <c r="CU13" s="631" t="str">
        <f t="shared" ca="1" si="28"/>
        <v>-</v>
      </c>
      <c r="CV13" s="631">
        <f ca="1">CS13+COUNTIFS($CT$6:$CT$53,CT13,$CU$6:CU$53,"&gt;"&amp;CU13,$BC$6:$BC$53,INDEX(T_Equipos[Grupo],MATCH(BD13,T_Equipos[NombreEquipo],0)))</f>
        <v>1</v>
      </c>
      <c r="CW13" s="631" t="str">
        <f ca="1">IF(COUNTIFS($CV$6:$CV$53,CV13,$BC$6:$BC$53,INDEX(T_Equipos[Grupo],MATCH(BD13,T_Equipos[NombreEquipo],0)))=1,"-","P."&amp;CV13&amp;" ("&amp;COUNTIFS($CV$6:$CV$53,CV13,$BC$6:$BC$53,INDEX(T_Equipos[Grupo],MATCH(BD13,T_Equipos[NombreEquipo],0)))&amp;")")</f>
        <v>-</v>
      </c>
      <c r="CX13" s="631" t="str">
        <f t="shared" ca="1" si="29"/>
        <v>-</v>
      </c>
      <c r="CY13" s="632">
        <f ca="1">CV13+COUNTIFS($CW$6:$CW$53,CW13,$CX$6:CX$53,"&gt;"&amp;CX13,$BC$6:$BC$53,INDEX(T_Equipos[Grupo],MATCH(BD13,T_Equipos[NombreEquipo],0)))</f>
        <v>1</v>
      </c>
      <c r="CZ13" s="631" t="str">
        <f ca="1">IF(COUNTIFS($CY$6:$CY$53,CY13,$BC$6:$BC$53,INDEX(T_Equipos[Grupo],MATCH(BD13,T_Equipos[NombreEquipo],0)))=1,"-","P."&amp;CY13&amp;" ("&amp;COUNTIFS($CY$6:$CY$53,CY13,$BC$6:$BC$53,INDEX(T_Equipos[Grupo],MATCH(BD13,T_Equipos[NombreEquipo],0)))&amp;")")</f>
        <v>-</v>
      </c>
      <c r="DA13" s="633" t="str">
        <f ca="1">IF(CZ13="-","-",COUNTIFS(T_Equipos[Rank],"&lt;"&amp;INDEX(T_Equipos[Rank],MATCH(BD13,T_Equipos[NombreEquipo],0)),$BC$6:$BC$53,INDEX(T_Equipos[Grupo],MATCH(BD13,T_Equipos[NombreEquipo],0)))+1)</f>
        <v>-</v>
      </c>
      <c r="DB13" s="630">
        <f ca="1">CY13+COUNTIFS($CZ$6:$CZ$53,CZ13,$DA$6:DA$53,"&lt;"&amp;DA13,$BC$6:$BC$53,INDEX(T_Equipos[Grupo],MATCH(BD13,T_Equipos[NombreEquipo],0)))</f>
        <v>1</v>
      </c>
      <c r="DC13" s="630"/>
      <c r="DD13" s="630">
        <f t="shared" ca="1" si="50"/>
        <v>1</v>
      </c>
      <c r="DE13" s="630" t="str">
        <f ca="1">IF(CZ13="-","-",COUNTIFS(DD$6:DD$53,"&lt;"&amp;DD13,$BC$6:$BC$53,INDEX(T_Equipos[Grupo],MATCH(BD13,T_Equipos[NombreEquipo],0))))</f>
        <v>-</v>
      </c>
      <c r="DF13" s="630">
        <f ca="1">CY13+COUNTIFS(CZ$6:CZ$53,CZ13,DE$6:DE$53,"&lt;"&amp;DE13,$BC$6:$BC$53,INDEX(T_Equipos[Grupo],MATCH(BD13,T_Equipos[NombreEquipo],0)))</f>
        <v>1</v>
      </c>
      <c r="DH13" s="10">
        <f t="shared" ca="1" si="51"/>
        <v>4</v>
      </c>
      <c r="DI13" s="10">
        <f t="shared" ca="1" si="24"/>
        <v>12</v>
      </c>
      <c r="DJ13" s="10">
        <f t="shared" ca="1" si="31"/>
        <v>1</v>
      </c>
      <c r="DK13" s="19" t="str">
        <f t="shared" ca="1" si="32"/>
        <v>4.1</v>
      </c>
      <c r="DL13" s="10" cm="1">
        <f t="array" aca="1" ref="DL13" ca="1">OFFSET(Horarios!$P$3,DH13-1,0,DJ13,1)</f>
        <v>4</v>
      </c>
      <c r="DN13" s="10" t="s">
        <v>669</v>
      </c>
      <c r="DO13" s="10" t="str">
        <f t="shared" ca="1" si="33"/>
        <v>PO A: ITA/NIR/WAL/BIH</v>
      </c>
    </row>
    <row r="14" spans="1:119 5612:5612 8867:8867 13370:13370" ht="16.95" customHeight="1">
      <c r="A14" s="646" t="str">
        <f ca="1">+Equipos!B7</f>
        <v>PO A: ITA/NIR/WAL/BIH</v>
      </c>
      <c r="B14" s="11"/>
      <c r="C14" s="429"/>
      <c r="D14" s="10" t="str">
        <f t="shared" si="52"/>
        <v>Local</v>
      </c>
      <c r="E14" s="10" t="str">
        <f t="shared" ca="1" si="53"/>
        <v>-</v>
      </c>
      <c r="F14" s="10" t="str">
        <f t="shared" ca="1" si="54"/>
        <v>-</v>
      </c>
      <c r="G14" s="10"/>
      <c r="H14" s="10" t="str">
        <f t="shared" ca="1" si="55"/>
        <v>-</v>
      </c>
      <c r="I14" s="10" t="str">
        <f t="shared" ca="1" si="56"/>
        <v>-</v>
      </c>
      <c r="J14" s="10"/>
      <c r="K14" s="10" t="str">
        <f t="shared" ca="1" si="57"/>
        <v>-</v>
      </c>
      <c r="L14" s="10" t="str">
        <f t="shared" ca="1" si="58"/>
        <v>-</v>
      </c>
      <c r="M14" s="10"/>
      <c r="N14" s="10" t="str">
        <f t="shared" ca="1" si="59"/>
        <v>-</v>
      </c>
      <c r="O14" s="10" t="str">
        <f t="shared" ca="1" si="60"/>
        <v>-</v>
      </c>
      <c r="P14" s="10"/>
      <c r="Q14" s="10" t="str">
        <f t="shared" ca="1" si="61"/>
        <v>-</v>
      </c>
      <c r="R14" s="10" t="str">
        <f t="shared" ca="1" si="62"/>
        <v>-</v>
      </c>
      <c r="S14" s="10"/>
      <c r="T14" s="10" t="str">
        <f t="shared" ca="1" si="63"/>
        <v>-</v>
      </c>
      <c r="U14" s="10" t="str">
        <f t="shared" ca="1" si="64"/>
        <v>-</v>
      </c>
      <c r="V14" s="20"/>
      <c r="W14" s="683"/>
      <c r="X14" s="27">
        <f ca="1">Horarios!C14</f>
        <v>46191.875</v>
      </c>
      <c r="Y14" s="28">
        <f ca="1">Horarios!C14</f>
        <v>46191.875</v>
      </c>
      <c r="Z14" s="29" t="str">
        <f>$Z$6</f>
        <v>J2</v>
      </c>
      <c r="AA14" s="30" t="str">
        <f ca="1">A16</f>
        <v>Suiza</v>
      </c>
      <c r="AB14" s="55" t="str">
        <f ca="1">+INDEX(Equipos!$L$2:$L$49,MATCH(WORLDCUP!AA14,Equipos!$K$2:$K$49,0))</f>
        <v>🇨🇭</v>
      </c>
      <c r="AC14" s="56">
        <v>1</v>
      </c>
      <c r="AD14" s="57">
        <v>0</v>
      </c>
      <c r="AE14" s="58" t="str">
        <f ca="1">+INDEX(Equipos!$L$2:$L$49,MATCH(WORLDCUP!AF14,Equipos!$K$2:$K$49,0))</f>
        <v xml:space="preserve"> </v>
      </c>
      <c r="AF14" s="35" t="str">
        <f ca="1">A14</f>
        <v>PO A: ITA/NIR/WAL/BIH</v>
      </c>
      <c r="AG14" s="335">
        <f t="shared" si="65"/>
        <v>1</v>
      </c>
      <c r="AH14" s="204">
        <v>26</v>
      </c>
      <c r="AI14" s="190" t="str">
        <f>AJ14&amp;$B$12</f>
        <v>1B</v>
      </c>
      <c r="AJ14" s="79">
        <v>1</v>
      </c>
      <c r="AK14" s="37" t="str">
        <f ca="1">+INDEX(Equipos!$L$2:$L$49,MATCH(WORLDCUP!AL14,Equipos!$K$2:$K$49,0))</f>
        <v>🇨🇭</v>
      </c>
      <c r="AL14" s="37" t="str">
        <f ca="1">IFERROR(INDEX($BD$6:$BD$53,MATCH(AI14,$BN$6:$BN$53,0)),"")</f>
        <v>Suiza</v>
      </c>
      <c r="AM14" s="38">
        <f t="shared" ref="AM14:AT17" ca="1" si="68">INDEX($BE$6:$BN$53,MATCH($AL14,$BD$6:$BD$53,0),MATCH(AM$5,$BE$5:$BN$5,0))</f>
        <v>9</v>
      </c>
      <c r="AN14" s="39">
        <f t="shared" ca="1" si="68"/>
        <v>3</v>
      </c>
      <c r="AO14" s="39">
        <f t="shared" ca="1" si="68"/>
        <v>3</v>
      </c>
      <c r="AP14" s="39">
        <f t="shared" ca="1" si="68"/>
        <v>0</v>
      </c>
      <c r="AQ14" s="39">
        <f t="shared" ca="1" si="68"/>
        <v>0</v>
      </c>
      <c r="AR14" s="39">
        <f t="shared" ca="1" si="68"/>
        <v>4</v>
      </c>
      <c r="AS14" s="39">
        <f t="shared" ca="1" si="68"/>
        <v>0</v>
      </c>
      <c r="AT14" s="80">
        <f t="shared" ca="1" si="68"/>
        <v>4</v>
      </c>
      <c r="AU14" s="342">
        <f ca="1">INDEX($DJ$6:$DJ$53,MATCH(AI14,$DN$6:$DN$53,0))</f>
        <v>1</v>
      </c>
      <c r="AV14" s="191" t="str">
        <f ca="1">INDEX($BD$6:$BD$53,MATCH(AI14,$BM$6:$BM$53,0))</f>
        <v>Suiza</v>
      </c>
      <c r="AW14" s="219"/>
      <c r="AX14" s="179"/>
      <c r="AY14" s="210" t="str">
        <f ca="1">+A13</f>
        <v>Canadá</v>
      </c>
      <c r="AZ14" s="211"/>
      <c r="BA14" s="155"/>
      <c r="BC14" s="630" t="str">
        <f ca="1">+INDEX(T_Equipos[Grupo],MATCH(WORLDCUP!BD14,T_Equipos[NombreEquipo],0))</f>
        <v>C</v>
      </c>
      <c r="BD14" s="10" t="str">
        <f ca="1">+Equipos!B10</f>
        <v>Brasil</v>
      </c>
      <c r="BE14" s="424">
        <f t="shared" ca="1" si="16"/>
        <v>9</v>
      </c>
      <c r="BF14" s="424">
        <f t="shared" ca="1" si="25"/>
        <v>3</v>
      </c>
      <c r="BG14" s="424">
        <f t="shared" ca="1" si="17"/>
        <v>3</v>
      </c>
      <c r="BH14" s="424">
        <f t="shared" ca="1" si="18"/>
        <v>0</v>
      </c>
      <c r="BI14" s="424">
        <f t="shared" ca="1" si="19"/>
        <v>0</v>
      </c>
      <c r="BJ14" s="424">
        <f t="shared" ca="1" si="20"/>
        <v>6</v>
      </c>
      <c r="BK14" s="424">
        <f t="shared" ca="1" si="21"/>
        <v>2</v>
      </c>
      <c r="BL14" s="424">
        <f t="shared" ca="1" si="26"/>
        <v>4</v>
      </c>
      <c r="BM14" s="424" t="str">
        <f t="shared" ca="1" si="22"/>
        <v>1C</v>
      </c>
      <c r="BN14" s="424" t="str">
        <f t="shared" ca="1" si="23"/>
        <v>1C</v>
      </c>
      <c r="BO14" s="630"/>
      <c r="BP14" s="631">
        <f t="shared" ca="1" si="27"/>
        <v>9</v>
      </c>
      <c r="BQ14" s="631">
        <f ca="1">COUNTIFS($BE$6:$BE$53,"&gt;"&amp;BE14,$BC$6:$BC$53,INDEX(T_Equipos[Grupo],MATCH(BD14,T_Equipos[NombreEquipo],0)))+1</f>
        <v>1</v>
      </c>
      <c r="BR14" s="631" t="str">
        <f ca="1">IF(COUNTIFS($BQ$6:$BQ$53,BQ14,$BC$6:$BC$53,INDEX(T_Equipos[Grupo],MATCH(BD14,T_Equipos[NombreEquipo],0)))=1,"-","P."&amp;BQ14&amp;" ("&amp;COUNTIFS($BQ$6:$BQ$53,BQ14,$BC$6:$BC$53,INDEX(T_Equipos[Grupo],MATCH(BD14,T_Equipos[NombreEquipo],0)))&amp;")")</f>
        <v>-</v>
      </c>
      <c r="BS14" s="632" t="str">
        <f t="shared" ca="1" si="34"/>
        <v>-</v>
      </c>
      <c r="BT14" s="632" t="str">
        <f t="shared" ca="1" si="35"/>
        <v>-</v>
      </c>
      <c r="BU14" s="632" t="str">
        <f t="shared" ca="1" si="36"/>
        <v>-</v>
      </c>
      <c r="BV14" s="632" t="str">
        <f t="shared" ca="1" si="37"/>
        <v>-</v>
      </c>
      <c r="BW14" s="632">
        <f ca="1">BQ14+COUNTIFS($BR$6:$BR$53,BR14,$BV$6:BV$53,"&gt;"&amp;BV14,$BC$6:$BC$53,INDEX(T_Equipos[Grupo],MATCH(BD14,T_Equipos[NombreEquipo],0)))</f>
        <v>1</v>
      </c>
      <c r="BX14" s="631" t="str">
        <f ca="1">IF(COUNTIFS($BW$6:$BW$53,BW14,$BC$6:$BC$53,INDEX(T_Equipos[Grupo],MATCH(BD14,T_Equipos[NombreEquipo],0)))=1,"-","P."&amp;BW14&amp;" ("&amp;COUNTIFS($BW$6:$BW$53,BW14,$BC$6:$BC$53,INDEX(T_Equipos[Grupo],MATCH(BD14,T_Equipos[NombreEquipo],0)))&amp;")")</f>
        <v>-</v>
      </c>
      <c r="BY14" s="632" t="str">
        <f t="shared" ca="1" si="38"/>
        <v>-</v>
      </c>
      <c r="BZ14" s="632" t="str">
        <f t="shared" ca="1" si="39"/>
        <v>-</v>
      </c>
      <c r="CA14" s="632" t="str">
        <f t="shared" ca="1" si="40"/>
        <v>-</v>
      </c>
      <c r="CB14" s="632">
        <f ca="1">BW14+COUNTIFS($BX$6:$BX$53,BX14,$CA$6:CA$53,"&gt;"&amp;CA14,$BC$6:$BC$53,INDEX(T_Equipos[Grupo],MATCH(BD14,T_Equipos[NombreEquipo],0)))</f>
        <v>1</v>
      </c>
      <c r="CC14" s="631" t="str">
        <f ca="1">IF(COUNTIFS($CB$6:$CB$53,CB14,$BC$6:$BC$53,INDEX(T_Equipos[Grupo],MATCH(BD14,T_Equipos[NombreEquipo],0)))=1,"-","P."&amp;CB14&amp;" ("&amp;COUNTIFS($CB$6:$CB$53,CB14,$BC$6:$BC$53,INDEX(T_Equipos[Grupo],MATCH(BD14,T_Equipos[NombreEquipo],0)))&amp;")")</f>
        <v>-</v>
      </c>
      <c r="CD14" s="632" t="str">
        <f t="shared" ca="1" si="41"/>
        <v>-</v>
      </c>
      <c r="CE14" s="632">
        <f ca="1">CB14+COUNTIFS($CC$6:$CC$53,CC14,$CD$6:CD$53,"&gt;"&amp;CD14,$BC$6:$BC$53,INDEX(T_Equipos[Grupo],MATCH(BD14,T_Equipos[NombreEquipo],0)))</f>
        <v>1</v>
      </c>
      <c r="CF14" s="631" t="str">
        <f ca="1">IF(COUNTIFS($CE$6:$CE$53,CE14,$BC$6:$BC$53,INDEX(T_Equipos[Grupo],MATCH(BD14,T_Equipos[NombreEquipo],0)))=1,"-","P."&amp;CE14&amp;" ("&amp;COUNTIFS($CE$6:$CE$53,CE14,$BC$6:$BC$53,INDEX(T_Equipos[Grupo],MATCH(BD14,T_Equipos[NombreEquipo],0)))&amp;")")</f>
        <v>-</v>
      </c>
      <c r="CG14" s="632" t="str">
        <f t="shared" ca="1" si="42"/>
        <v>-</v>
      </c>
      <c r="CH14" s="632" t="str">
        <f t="shared" ca="1" si="43"/>
        <v>-</v>
      </c>
      <c r="CI14" s="632" t="str">
        <f t="shared" ca="1" si="44"/>
        <v>-</v>
      </c>
      <c r="CJ14" s="632" t="str">
        <f t="shared" ca="1" si="45"/>
        <v>-</v>
      </c>
      <c r="CK14" s="632">
        <f ca="1">CE14+COUNTIFS($CF$6:$CF$53,CF14,$CJ$6:CJ$53,"&gt;"&amp;CJ14,$BC$6:$BC$53,INDEX(T_Equipos[Grupo],MATCH(BD14,T_Equipos[NombreEquipo],0)))</f>
        <v>1</v>
      </c>
      <c r="CL14" s="631" t="str">
        <f ca="1">IF(COUNTIFS($CK$6:$CK$53,CK14,$BC$6:$BC$53,INDEX(T_Equipos[Grupo],MATCH(BD14,T_Equipos[NombreEquipo],0)))=1,"-","P."&amp;CK14&amp;" ("&amp;COUNTIFS($CK$6:$CK$53,CK14,$BC$6:$BC$53,INDEX(T_Equipos[Grupo],MATCH(BD14,T_Equipos[NombreEquipo],0)))&amp;")")</f>
        <v>-</v>
      </c>
      <c r="CM14" s="632" t="str">
        <f t="shared" ca="1" si="46"/>
        <v>-</v>
      </c>
      <c r="CN14" s="632" t="str">
        <f t="shared" ca="1" si="47"/>
        <v>-</v>
      </c>
      <c r="CO14" s="632" t="str">
        <f t="shared" ca="1" si="48"/>
        <v>-</v>
      </c>
      <c r="CP14" s="632">
        <f ca="1">CK14+COUNTIFS($CL$6:$CL$53,CL14,$CO$6:CO$53,"&gt;"&amp;CO14,$BC$6:$BC$53,INDEX(T_Equipos[Grupo],MATCH(BD14,T_Equipos[NombreEquipo],0)))</f>
        <v>1</v>
      </c>
      <c r="CQ14" s="631" t="str">
        <f ca="1">IF(COUNTIFS($CP$6:$CP$53,CP14,$BC$6:$BC$53,INDEX(T_Equipos[Grupo],MATCH(BD14,T_Equipos[NombreEquipo],0)))=1,"-","P."&amp;CP14&amp;" ("&amp;COUNTIFS($CP$6:$CP$53,CP14,$BC$6:$BC$53,INDEX(T_Equipos[Grupo],MATCH(BD14,T_Equipos[NombreEquipo],0)))&amp;")")</f>
        <v>-</v>
      </c>
      <c r="CR14" s="632" t="str">
        <f t="shared" ca="1" si="49"/>
        <v>-</v>
      </c>
      <c r="CS14" s="632">
        <f ca="1">CP14+COUNTIFS($CQ$6:$CQ$53,CQ14,$CR$6:CR$53,"&gt;"&amp;CR14,$BC$6:$BC$53,INDEX(T_Equipos[Grupo],MATCH(BD14,T_Equipos[NombreEquipo],0)))</f>
        <v>1</v>
      </c>
      <c r="CT14" s="631" t="str">
        <f ca="1">IF(COUNTIFS($CS$6:$CS$53,CS14,$BC$6:$BC$53,INDEX(T_Equipos[Grupo],MATCH(BD14,T_Equipos[NombreEquipo],0)))=1,"-","P."&amp;CS14&amp;" ("&amp;COUNTIFS($CS$6:$CS$53,CS14,$BC$6:$BC$53,INDEX(T_Equipos[Grupo],MATCH(BD14,T_Equipos[NombreEquipo],0)))&amp;")")</f>
        <v>-</v>
      </c>
      <c r="CU14" s="631" t="str">
        <f t="shared" ca="1" si="28"/>
        <v>-</v>
      </c>
      <c r="CV14" s="631">
        <f ca="1">CS14+COUNTIFS($CT$6:$CT$53,CT14,$CU$6:CU$53,"&gt;"&amp;CU14,$BC$6:$BC$53,INDEX(T_Equipos[Grupo],MATCH(BD14,T_Equipos[NombreEquipo],0)))</f>
        <v>1</v>
      </c>
      <c r="CW14" s="631" t="str">
        <f ca="1">IF(COUNTIFS($CV$6:$CV$53,CV14,$BC$6:$BC$53,INDEX(T_Equipos[Grupo],MATCH(BD14,T_Equipos[NombreEquipo],0)))=1,"-","P."&amp;CV14&amp;" ("&amp;COUNTIFS($CV$6:$CV$53,CV14,$BC$6:$BC$53,INDEX(T_Equipos[Grupo],MATCH(BD14,T_Equipos[NombreEquipo],0)))&amp;")")</f>
        <v>-</v>
      </c>
      <c r="CX14" s="631" t="str">
        <f t="shared" ca="1" si="29"/>
        <v>-</v>
      </c>
      <c r="CY14" s="632">
        <f ca="1">CV14+COUNTIFS($CW$6:$CW$53,CW14,$CX$6:CX$53,"&gt;"&amp;CX14,$BC$6:$BC$53,INDEX(T_Equipos[Grupo],MATCH(BD14,T_Equipos[NombreEquipo],0)))</f>
        <v>1</v>
      </c>
      <c r="CZ14" s="631" t="str">
        <f ca="1">IF(COUNTIFS($CY$6:$CY$53,CY14,$BC$6:$BC$53,INDEX(T_Equipos[Grupo],MATCH(BD14,T_Equipos[NombreEquipo],0)))=1,"-","P."&amp;CY14&amp;" ("&amp;COUNTIFS($CY$6:$CY$53,CY14,$BC$6:$BC$53,INDEX(T_Equipos[Grupo],MATCH(BD14,T_Equipos[NombreEquipo],0)))&amp;")")</f>
        <v>-</v>
      </c>
      <c r="DA14" s="633" t="str">
        <f ca="1">IF(CZ14="-","-",COUNTIFS(T_Equipos[Rank],"&lt;"&amp;INDEX(T_Equipos[Rank],MATCH(BD14,T_Equipos[NombreEquipo],0)),$BC$6:$BC$53,INDEX(T_Equipos[Grupo],MATCH(BD14,T_Equipos[NombreEquipo],0)))+1)</f>
        <v>-</v>
      </c>
      <c r="DB14" s="630">
        <f ca="1">CY14+COUNTIFS($CZ$6:$CZ$53,CZ14,$DA$6:DA$53,"&lt;"&amp;DA14,$BC$6:$BC$53,INDEX(T_Equipos[Grupo],MATCH(BD14,T_Equipos[NombreEquipo],0)))</f>
        <v>1</v>
      </c>
      <c r="DC14" s="630"/>
      <c r="DD14" s="630">
        <f t="shared" ca="1" si="50"/>
        <v>1</v>
      </c>
      <c r="DE14" s="630" t="str">
        <f ca="1">IF(CZ14="-","-",COUNTIFS(DD$6:DD$53,"&lt;"&amp;DD14,$BC$6:$BC$53,INDEX(T_Equipos[Grupo],MATCH(BD14,T_Equipos[NombreEquipo],0))))</f>
        <v>-</v>
      </c>
      <c r="DF14" s="630">
        <f ca="1">CY14+COUNTIFS(CZ$6:CZ$53,CZ14,DE$6:DE$53,"&lt;"&amp;DE14,$BC$6:$BC$53,INDEX(T_Equipos[Grupo],MATCH(BD14,T_Equipos[NombreEquipo],0)))</f>
        <v>1</v>
      </c>
      <c r="DH14" s="10">
        <f t="shared" ca="1" si="51"/>
        <v>1</v>
      </c>
      <c r="DI14" s="10">
        <f t="shared" ca="1" si="24"/>
        <v>12</v>
      </c>
      <c r="DJ14" s="10">
        <f t="shared" ca="1" si="31"/>
        <v>1</v>
      </c>
      <c r="DK14" s="19" t="str">
        <f t="shared" ca="1" si="32"/>
        <v>1.1</v>
      </c>
      <c r="DL14" s="10" cm="1">
        <f t="array" aca="1" ref="DL14" ca="1">OFFSET(Horarios!$P$3,DH14-1,0,DJ14,1)</f>
        <v>1</v>
      </c>
      <c r="DN14" s="10" t="s">
        <v>670</v>
      </c>
      <c r="DO14" s="10" t="str">
        <f t="shared" ca="1" si="33"/>
        <v>Brasil</v>
      </c>
      <c r="HGV14" s="10" t="s">
        <v>15</v>
      </c>
    </row>
    <row r="15" spans="1:119 5612:5612 8867:8867 13370:13370">
      <c r="A15" s="646" t="str">
        <f ca="1">+Equipos!B8</f>
        <v>Catar</v>
      </c>
      <c r="B15" s="11"/>
      <c r="C15" s="10"/>
      <c r="D15" s="10" t="str">
        <f t="shared" si="52"/>
        <v>Local</v>
      </c>
      <c r="E15" s="10" t="str">
        <f t="shared" ca="1" si="53"/>
        <v>-</v>
      </c>
      <c r="F15" s="10" t="str">
        <f t="shared" ca="1" si="54"/>
        <v>-</v>
      </c>
      <c r="G15" s="10"/>
      <c r="H15" s="10" t="str">
        <f t="shared" ca="1" si="55"/>
        <v>-</v>
      </c>
      <c r="I15" s="10" t="str">
        <f t="shared" ca="1" si="56"/>
        <v>-</v>
      </c>
      <c r="J15" s="10"/>
      <c r="K15" s="10" t="str">
        <f t="shared" ca="1" si="57"/>
        <v>-</v>
      </c>
      <c r="L15" s="10" t="str">
        <f t="shared" ca="1" si="58"/>
        <v>-</v>
      </c>
      <c r="M15" s="10"/>
      <c r="N15" s="10" t="str">
        <f t="shared" ca="1" si="59"/>
        <v>-</v>
      </c>
      <c r="O15" s="10" t="str">
        <f t="shared" ca="1" si="60"/>
        <v>-</v>
      </c>
      <c r="P15" s="10"/>
      <c r="Q15" s="10" t="str">
        <f t="shared" ca="1" si="61"/>
        <v>-</v>
      </c>
      <c r="R15" s="10" t="str">
        <f t="shared" ca="1" si="62"/>
        <v>-</v>
      </c>
      <c r="S15" s="10"/>
      <c r="T15" s="10" t="str">
        <f t="shared" ca="1" si="63"/>
        <v>-</v>
      </c>
      <c r="U15" s="10" t="str">
        <f t="shared" ca="1" si="64"/>
        <v>-</v>
      </c>
      <c r="V15" s="20"/>
      <c r="W15" s="683"/>
      <c r="X15" s="27">
        <f ca="1">Horarios!C15</f>
        <v>46192</v>
      </c>
      <c r="Y15" s="28">
        <f ca="1">Horarios!C15</f>
        <v>46192</v>
      </c>
      <c r="Z15" s="29" t="str">
        <f>$Z$6</f>
        <v>J2</v>
      </c>
      <c r="AA15" s="30" t="str">
        <f ca="1">A13</f>
        <v>Canadá</v>
      </c>
      <c r="AB15" s="55" t="str">
        <f ca="1">+INDEX(Equipos!$L$2:$L$49,MATCH(WORLDCUP!AA15,Equipos!$K$2:$K$49,0))</f>
        <v>🇨🇦</v>
      </c>
      <c r="AC15" s="56">
        <v>1</v>
      </c>
      <c r="AD15" s="57">
        <v>0</v>
      </c>
      <c r="AE15" s="58" t="str">
        <f ca="1">+INDEX(Equipos!$L$2:$L$49,MATCH(WORLDCUP!AF15,Equipos!$K$2:$K$49,0))</f>
        <v>🇶🇦</v>
      </c>
      <c r="AF15" s="35" t="str">
        <f ca="1">A15</f>
        <v>Catar</v>
      </c>
      <c r="AG15" s="335">
        <f t="shared" si="65"/>
        <v>1</v>
      </c>
      <c r="AH15" s="204">
        <v>27</v>
      </c>
      <c r="AI15" s="190" t="str">
        <f t="shared" ref="AI15:AI17" si="69">AJ15&amp;$B$12</f>
        <v>2B</v>
      </c>
      <c r="AJ15" s="81">
        <v>2</v>
      </c>
      <c r="AK15" s="40" t="str">
        <f ca="1">+INDEX(Equipos!$L$2:$L$49,MATCH(WORLDCUP!AL15,Equipos!$K$2:$K$49,0))</f>
        <v>🇨🇦</v>
      </c>
      <c r="AL15" s="40" t="str">
        <f ca="1">IFERROR(INDEX($BD$6:$BD$53,MATCH(AI15,$BN$6:$BN$53,0)),"")</f>
        <v>Canadá</v>
      </c>
      <c r="AM15" s="41">
        <f t="shared" ca="1" si="68"/>
        <v>4</v>
      </c>
      <c r="AN15" s="42">
        <f t="shared" ca="1" si="68"/>
        <v>3</v>
      </c>
      <c r="AO15" s="42">
        <f t="shared" ca="1" si="68"/>
        <v>1</v>
      </c>
      <c r="AP15" s="42">
        <f t="shared" ca="1" si="68"/>
        <v>1</v>
      </c>
      <c r="AQ15" s="42">
        <f t="shared" ca="1" si="68"/>
        <v>1</v>
      </c>
      <c r="AR15" s="42">
        <f t="shared" ca="1" si="68"/>
        <v>2</v>
      </c>
      <c r="AS15" s="42">
        <f t="shared" ca="1" si="68"/>
        <v>2</v>
      </c>
      <c r="AT15" s="82">
        <f t="shared" ca="1" si="68"/>
        <v>0</v>
      </c>
      <c r="AU15" s="342">
        <f ca="1">INDEX($DJ$6:$DJ$53,MATCH(AI15,$DN$6:$DN$53,0))</f>
        <v>1</v>
      </c>
      <c r="AV15" s="191" t="str">
        <f ca="1">INDEX($BD$6:$BD$53,MATCH(AI15,$BM$6:$BM$53,0))</f>
        <v>Canadá</v>
      </c>
      <c r="AW15" s="219"/>
      <c r="AX15" s="179"/>
      <c r="AY15" s="212" t="str">
        <f ca="1">+A14</f>
        <v>PO A: ITA/NIR/WAL/BIH</v>
      </c>
      <c r="AZ15" s="213"/>
      <c r="BA15" s="155"/>
      <c r="BC15" s="630" t="str">
        <f ca="1">+INDEX(T_Equipos[Grupo],MATCH(WORLDCUP!BD15,T_Equipos[NombreEquipo],0))</f>
        <v>C</v>
      </c>
      <c r="BD15" s="10" t="str">
        <f ca="1">+Equipos!B11</f>
        <v>Marruecos</v>
      </c>
      <c r="BE15" s="424">
        <f t="shared" ca="1" si="16"/>
        <v>6</v>
      </c>
      <c r="BF15" s="424">
        <f t="shared" ca="1" si="25"/>
        <v>3</v>
      </c>
      <c r="BG15" s="424">
        <f t="shared" ca="1" si="17"/>
        <v>2</v>
      </c>
      <c r="BH15" s="424">
        <f t="shared" ca="1" si="18"/>
        <v>0</v>
      </c>
      <c r="BI15" s="424">
        <f t="shared" ca="1" si="19"/>
        <v>1</v>
      </c>
      <c r="BJ15" s="424">
        <f t="shared" ca="1" si="20"/>
        <v>3</v>
      </c>
      <c r="BK15" s="424">
        <f t="shared" ca="1" si="21"/>
        <v>2</v>
      </c>
      <c r="BL15" s="424">
        <f t="shared" ca="1" si="26"/>
        <v>1</v>
      </c>
      <c r="BM15" s="424" t="str">
        <f t="shared" ca="1" si="22"/>
        <v>2C</v>
      </c>
      <c r="BN15" s="424" t="str">
        <f t="shared" ca="1" si="23"/>
        <v>2C</v>
      </c>
      <c r="BO15" s="630"/>
      <c r="BP15" s="631">
        <f t="shared" ca="1" si="27"/>
        <v>6</v>
      </c>
      <c r="BQ15" s="631">
        <f ca="1">COUNTIFS($BE$6:$BE$53,"&gt;"&amp;BE15,$BC$6:$BC$53,INDEX(T_Equipos[Grupo],MATCH(BD15,T_Equipos[NombreEquipo],0)))+1</f>
        <v>2</v>
      </c>
      <c r="BR15" s="631" t="str">
        <f ca="1">IF(COUNTIFS($BQ$6:$BQ$53,BQ15,$BC$6:$BC$53,INDEX(T_Equipos[Grupo],MATCH(BD15,T_Equipos[NombreEquipo],0)))=1,"-","P."&amp;BQ15&amp;" ("&amp;COUNTIFS($BQ$6:$BQ$53,BQ15,$BC$6:$BC$53,INDEX(T_Equipos[Grupo],MATCH(BD15,T_Equipos[NombreEquipo],0)))&amp;")")</f>
        <v>-</v>
      </c>
      <c r="BS15" s="632" t="str">
        <f t="shared" ca="1" si="34"/>
        <v>-</v>
      </c>
      <c r="BT15" s="632" t="str">
        <f t="shared" ca="1" si="35"/>
        <v>-</v>
      </c>
      <c r="BU15" s="632" t="str">
        <f t="shared" ca="1" si="36"/>
        <v>-</v>
      </c>
      <c r="BV15" s="632" t="str">
        <f t="shared" ca="1" si="37"/>
        <v>-</v>
      </c>
      <c r="BW15" s="632">
        <f ca="1">BQ15+COUNTIFS($BR$6:$BR$53,BR15,$BV$6:BV$53,"&gt;"&amp;BV15,$BC$6:$BC$53,INDEX(T_Equipos[Grupo],MATCH(BD15,T_Equipos[NombreEquipo],0)))</f>
        <v>2</v>
      </c>
      <c r="BX15" s="631" t="str">
        <f ca="1">IF(COUNTIFS($BW$6:$BW$53,BW15,$BC$6:$BC$53,INDEX(T_Equipos[Grupo],MATCH(BD15,T_Equipos[NombreEquipo],0)))=1,"-","P."&amp;BW15&amp;" ("&amp;COUNTIFS($BW$6:$BW$53,BW15,$BC$6:$BC$53,INDEX(T_Equipos[Grupo],MATCH(BD15,T_Equipos[NombreEquipo],0)))&amp;")")</f>
        <v>-</v>
      </c>
      <c r="BY15" s="632" t="str">
        <f t="shared" ca="1" si="38"/>
        <v>-</v>
      </c>
      <c r="BZ15" s="632" t="str">
        <f t="shared" ca="1" si="39"/>
        <v>-</v>
      </c>
      <c r="CA15" s="632" t="str">
        <f t="shared" ca="1" si="40"/>
        <v>-</v>
      </c>
      <c r="CB15" s="632">
        <f ca="1">BW15+COUNTIFS($BX$6:$BX$53,BX15,$CA$6:CA$53,"&gt;"&amp;CA15,$BC$6:$BC$53,INDEX(T_Equipos[Grupo],MATCH(BD15,T_Equipos[NombreEquipo],0)))</f>
        <v>2</v>
      </c>
      <c r="CC15" s="631" t="str">
        <f ca="1">IF(COUNTIFS($CB$6:$CB$53,CB15,$BC$6:$BC$53,INDEX(T_Equipos[Grupo],MATCH(BD15,T_Equipos[NombreEquipo],0)))=1,"-","P."&amp;CB15&amp;" ("&amp;COUNTIFS($CB$6:$CB$53,CB15,$BC$6:$BC$53,INDEX(T_Equipos[Grupo],MATCH(BD15,T_Equipos[NombreEquipo],0)))&amp;")")</f>
        <v>-</v>
      </c>
      <c r="CD15" s="632" t="str">
        <f t="shared" ca="1" si="41"/>
        <v>-</v>
      </c>
      <c r="CE15" s="632">
        <f ca="1">CB15+COUNTIFS($CC$6:$CC$53,CC15,$CD$6:CD$53,"&gt;"&amp;CD15,$BC$6:$BC$53,INDEX(T_Equipos[Grupo],MATCH(BD15,T_Equipos[NombreEquipo],0)))</f>
        <v>2</v>
      </c>
      <c r="CF15" s="631" t="str">
        <f ca="1">IF(COUNTIFS($CE$6:$CE$53,CE15,$BC$6:$BC$53,INDEX(T_Equipos[Grupo],MATCH(BD15,T_Equipos[NombreEquipo],0)))=1,"-","P."&amp;CE15&amp;" ("&amp;COUNTIFS($CE$6:$CE$53,CE15,$BC$6:$BC$53,INDEX(T_Equipos[Grupo],MATCH(BD15,T_Equipos[NombreEquipo],0)))&amp;")")</f>
        <v>-</v>
      </c>
      <c r="CG15" s="632" t="str">
        <f t="shared" ca="1" si="42"/>
        <v>-</v>
      </c>
      <c r="CH15" s="632" t="str">
        <f t="shared" ca="1" si="43"/>
        <v>-</v>
      </c>
      <c r="CI15" s="632" t="str">
        <f t="shared" ca="1" si="44"/>
        <v>-</v>
      </c>
      <c r="CJ15" s="632" t="str">
        <f t="shared" ca="1" si="45"/>
        <v>-</v>
      </c>
      <c r="CK15" s="632">
        <f ca="1">CE15+COUNTIFS($CF$6:$CF$53,CF15,$CJ$6:CJ$53,"&gt;"&amp;CJ15,$BC$6:$BC$53,INDEX(T_Equipos[Grupo],MATCH(BD15,T_Equipos[NombreEquipo],0)))</f>
        <v>2</v>
      </c>
      <c r="CL15" s="631" t="str">
        <f ca="1">IF(COUNTIFS($CK$6:$CK$53,CK15,$BC$6:$BC$53,INDEX(T_Equipos[Grupo],MATCH(BD15,T_Equipos[NombreEquipo],0)))=1,"-","P."&amp;CK15&amp;" ("&amp;COUNTIFS($CK$6:$CK$53,CK15,$BC$6:$BC$53,INDEX(T_Equipos[Grupo],MATCH(BD15,T_Equipos[NombreEquipo],0)))&amp;")")</f>
        <v>-</v>
      </c>
      <c r="CM15" s="632" t="str">
        <f t="shared" ca="1" si="46"/>
        <v>-</v>
      </c>
      <c r="CN15" s="632" t="str">
        <f t="shared" ca="1" si="47"/>
        <v>-</v>
      </c>
      <c r="CO15" s="632" t="str">
        <f t="shared" ca="1" si="48"/>
        <v>-</v>
      </c>
      <c r="CP15" s="632">
        <f ca="1">CK15+COUNTIFS($CL$6:$CL$53,CL15,$CO$6:CO$53,"&gt;"&amp;CO15,$BC$6:$BC$53,INDEX(T_Equipos[Grupo],MATCH(BD15,T_Equipos[NombreEquipo],0)))</f>
        <v>2</v>
      </c>
      <c r="CQ15" s="631" t="str">
        <f ca="1">IF(COUNTIFS($CP$6:$CP$53,CP15,$BC$6:$BC$53,INDEX(T_Equipos[Grupo],MATCH(BD15,T_Equipos[NombreEquipo],0)))=1,"-","P."&amp;CP15&amp;" ("&amp;COUNTIFS($CP$6:$CP$53,CP15,$BC$6:$BC$53,INDEX(T_Equipos[Grupo],MATCH(BD15,T_Equipos[NombreEquipo],0)))&amp;")")</f>
        <v>-</v>
      </c>
      <c r="CR15" s="632" t="str">
        <f t="shared" ca="1" si="49"/>
        <v>-</v>
      </c>
      <c r="CS15" s="632">
        <f ca="1">CP15+COUNTIFS($CQ$6:$CQ$53,CQ15,$CR$6:CR$53,"&gt;"&amp;CR15,$BC$6:$BC$53,INDEX(T_Equipos[Grupo],MATCH(BD15,T_Equipos[NombreEquipo],0)))</f>
        <v>2</v>
      </c>
      <c r="CT15" s="631" t="str">
        <f ca="1">IF(COUNTIFS($CS$6:$CS$53,CS15,$BC$6:$BC$53,INDEX(T_Equipos[Grupo],MATCH(BD15,T_Equipos[NombreEquipo],0)))=1,"-","P."&amp;CS15&amp;" ("&amp;COUNTIFS($CS$6:$CS$53,CS15,$BC$6:$BC$53,INDEX(T_Equipos[Grupo],MATCH(BD15,T_Equipos[NombreEquipo],0)))&amp;")")</f>
        <v>-</v>
      </c>
      <c r="CU15" s="631" t="str">
        <f t="shared" ca="1" si="28"/>
        <v>-</v>
      </c>
      <c r="CV15" s="631">
        <f ca="1">CS15+COUNTIFS($CT$6:$CT$53,CT15,$CU$6:CU$53,"&gt;"&amp;CU15,$BC$6:$BC$53,INDEX(T_Equipos[Grupo],MATCH(BD15,T_Equipos[NombreEquipo],0)))</f>
        <v>2</v>
      </c>
      <c r="CW15" s="631" t="str">
        <f ca="1">IF(COUNTIFS($CV$6:$CV$53,CV15,$BC$6:$BC$53,INDEX(T_Equipos[Grupo],MATCH(BD15,T_Equipos[NombreEquipo],0)))=1,"-","P."&amp;CV15&amp;" ("&amp;COUNTIFS($CV$6:$CV$53,CV15,$BC$6:$BC$53,INDEX(T_Equipos[Grupo],MATCH(BD15,T_Equipos[NombreEquipo],0)))&amp;")")</f>
        <v>-</v>
      </c>
      <c r="CX15" s="631" t="str">
        <f t="shared" ca="1" si="29"/>
        <v>-</v>
      </c>
      <c r="CY15" s="632">
        <f ca="1">CV15+COUNTIFS($CW$6:$CW$53,CW15,$CX$6:CX$53,"&gt;"&amp;CX15,$BC$6:$BC$53,INDEX(T_Equipos[Grupo],MATCH(BD15,T_Equipos[NombreEquipo],0)))</f>
        <v>2</v>
      </c>
      <c r="CZ15" s="631" t="str">
        <f ca="1">IF(COUNTIFS($CY$6:$CY$53,CY15,$BC$6:$BC$53,INDEX(T_Equipos[Grupo],MATCH(BD15,T_Equipos[NombreEquipo],0)))=1,"-","P."&amp;CY15&amp;" ("&amp;COUNTIFS($CY$6:$CY$53,CY15,$BC$6:$BC$53,INDEX(T_Equipos[Grupo],MATCH(BD15,T_Equipos[NombreEquipo],0)))&amp;")")</f>
        <v>-</v>
      </c>
      <c r="DA15" s="633" t="str">
        <f ca="1">IF(CZ15="-","-",COUNTIFS(T_Equipos[Rank],"&lt;"&amp;INDEX(T_Equipos[Rank],MATCH(BD15,T_Equipos[NombreEquipo],0)),$BC$6:$BC$53,INDEX(T_Equipos[Grupo],MATCH(BD15,T_Equipos[NombreEquipo],0)))+1)</f>
        <v>-</v>
      </c>
      <c r="DB15" s="630">
        <f ca="1">CY15+COUNTIFS($CZ$6:$CZ$53,CZ15,$DA$6:DA$53,"&lt;"&amp;DA15,$BC$6:$BC$53,INDEX(T_Equipos[Grupo],MATCH(BD15,T_Equipos[NombreEquipo],0)))</f>
        <v>2</v>
      </c>
      <c r="DC15" s="630"/>
      <c r="DD15" s="630">
        <f t="shared" ca="1" si="50"/>
        <v>2</v>
      </c>
      <c r="DE15" s="630" t="str">
        <f ca="1">IF(CZ15="-","-",COUNTIFS(DD$6:DD$53,"&lt;"&amp;DD15,$BC$6:$BC$53,INDEX(T_Equipos[Grupo],MATCH(BD15,T_Equipos[NombreEquipo],0))))</f>
        <v>-</v>
      </c>
      <c r="DF15" s="630">
        <f ca="1">CY15+COUNTIFS(CZ$6:CZ$53,CZ15,DE$6:DE$53,"&lt;"&amp;DE15,$BC$6:$BC$53,INDEX(T_Equipos[Grupo],MATCH(BD15,T_Equipos[NombreEquipo],0)))</f>
        <v>2</v>
      </c>
      <c r="DH15" s="10">
        <f t="shared" ca="1" si="51"/>
        <v>2</v>
      </c>
      <c r="DI15" s="10">
        <f t="shared" ca="1" si="24"/>
        <v>12</v>
      </c>
      <c r="DJ15" s="10">
        <f t="shared" ca="1" si="31"/>
        <v>1</v>
      </c>
      <c r="DK15" s="19" t="str">
        <f t="shared" ca="1" si="32"/>
        <v>2.1</v>
      </c>
      <c r="DL15" s="10" cm="1">
        <f t="array" aca="1" ref="DL15" ca="1">OFFSET(Horarios!$P$3,DH15-1,0,DJ15,1)</f>
        <v>2</v>
      </c>
      <c r="DN15" s="10" t="s">
        <v>675</v>
      </c>
      <c r="DO15" s="10" t="str">
        <f t="shared" ca="1" si="33"/>
        <v>Marruecos</v>
      </c>
    </row>
    <row r="16" spans="1:119 5612:5612 8867:8867 13370:13370">
      <c r="A16" s="646" t="str">
        <f ca="1">+Equipos!B9</f>
        <v>Suiza</v>
      </c>
      <c r="B16" s="11"/>
      <c r="C16" s="10"/>
      <c r="D16" s="10" t="str">
        <f t="shared" si="52"/>
        <v>Local</v>
      </c>
      <c r="E16" s="10" t="str">
        <f t="shared" ca="1" si="53"/>
        <v>-</v>
      </c>
      <c r="F16" s="10" t="str">
        <f t="shared" ca="1" si="54"/>
        <v>-</v>
      </c>
      <c r="G16" s="10"/>
      <c r="H16" s="10" t="str">
        <f t="shared" ca="1" si="55"/>
        <v>-</v>
      </c>
      <c r="I16" s="10" t="str">
        <f t="shared" ca="1" si="56"/>
        <v>-</v>
      </c>
      <c r="J16" s="10"/>
      <c r="K16" s="10" t="str">
        <f t="shared" ca="1" si="57"/>
        <v>-</v>
      </c>
      <c r="L16" s="10" t="str">
        <f t="shared" ca="1" si="58"/>
        <v>-</v>
      </c>
      <c r="M16" s="10"/>
      <c r="N16" s="10" t="str">
        <f t="shared" ca="1" si="59"/>
        <v>-</v>
      </c>
      <c r="O16" s="10" t="str">
        <f t="shared" ca="1" si="60"/>
        <v>-</v>
      </c>
      <c r="P16" s="10"/>
      <c r="Q16" s="10" t="str">
        <f t="shared" ca="1" si="61"/>
        <v>-</v>
      </c>
      <c r="R16" s="10" t="str">
        <f t="shared" ca="1" si="62"/>
        <v>-</v>
      </c>
      <c r="S16" s="10"/>
      <c r="T16" s="10" t="str">
        <f t="shared" ca="1" si="63"/>
        <v>-</v>
      </c>
      <c r="U16" s="10" t="str">
        <f t="shared" ca="1" si="64"/>
        <v>-</v>
      </c>
      <c r="V16" s="20"/>
      <c r="W16" s="683"/>
      <c r="X16" s="27">
        <f ca="1">Horarios!C16</f>
        <v>46197.875</v>
      </c>
      <c r="Y16" s="28">
        <f ca="1">Horarios!C16</f>
        <v>46197.875</v>
      </c>
      <c r="Z16" s="29" t="str">
        <f>$Z$8</f>
        <v>J3</v>
      </c>
      <c r="AA16" s="30" t="str">
        <f ca="1">A16</f>
        <v>Suiza</v>
      </c>
      <c r="AB16" s="55" t="str">
        <f ca="1">+INDEX(Equipos!$L$2:$L$49,MATCH(WORLDCUP!AA16,Equipos!$K$2:$K$49,0))</f>
        <v>🇨🇭</v>
      </c>
      <c r="AC16" s="56">
        <v>1</v>
      </c>
      <c r="AD16" s="57">
        <v>0</v>
      </c>
      <c r="AE16" s="58" t="str">
        <f ca="1">+INDEX(Equipos!$L$2:$L$49,MATCH(WORLDCUP!AF16,Equipos!$K$2:$K$49,0))</f>
        <v>🇨🇦</v>
      </c>
      <c r="AF16" s="35" t="str">
        <f ca="1">A13</f>
        <v>Canadá</v>
      </c>
      <c r="AG16" s="335">
        <f t="shared" si="65"/>
        <v>1</v>
      </c>
      <c r="AH16" s="204">
        <v>51</v>
      </c>
      <c r="AI16" s="190" t="str">
        <f t="shared" si="69"/>
        <v>3B</v>
      </c>
      <c r="AJ16" s="81">
        <v>3</v>
      </c>
      <c r="AK16" s="40" t="str">
        <f ca="1">+INDEX(Equipos!$L$2:$L$49,MATCH(WORLDCUP!AL16,Equipos!$K$2:$K$49,0))</f>
        <v>🇶🇦</v>
      </c>
      <c r="AL16" s="40" t="str">
        <f ca="1">IFERROR(INDEX($BD$6:$BD$53,MATCH(AI16,$BN$6:$BN$53,0)),"")</f>
        <v>Catar</v>
      </c>
      <c r="AM16" s="41">
        <f t="shared" ca="1" si="68"/>
        <v>3</v>
      </c>
      <c r="AN16" s="42">
        <f t="shared" ca="1" si="68"/>
        <v>3</v>
      </c>
      <c r="AO16" s="42">
        <f t="shared" ca="1" si="68"/>
        <v>1</v>
      </c>
      <c r="AP16" s="42">
        <f t="shared" ca="1" si="68"/>
        <v>0</v>
      </c>
      <c r="AQ16" s="42">
        <f t="shared" ca="1" si="68"/>
        <v>2</v>
      </c>
      <c r="AR16" s="42">
        <f t="shared" ca="1" si="68"/>
        <v>1</v>
      </c>
      <c r="AS16" s="42">
        <f t="shared" ca="1" si="68"/>
        <v>3</v>
      </c>
      <c r="AT16" s="82">
        <f t="shared" ca="1" si="68"/>
        <v>-2</v>
      </c>
      <c r="AU16" s="342">
        <f ca="1">INDEX($DJ$6:$DJ$53,MATCH(AI16,$DN$6:$DN$53,0))</f>
        <v>1</v>
      </c>
      <c r="AV16" s="191" t="str">
        <f ca="1">INDEX($BD$6:$BD$53,MATCH(AI16,$BM$6:$BM$53,0))</f>
        <v>Catar</v>
      </c>
      <c r="AW16" s="219"/>
      <c r="AX16" s="179"/>
      <c r="AY16" s="210" t="str">
        <f ca="1">+A15</f>
        <v>Catar</v>
      </c>
      <c r="AZ16" s="211"/>
      <c r="BA16" s="155"/>
      <c r="BC16" s="630" t="str">
        <f ca="1">+INDEX(T_Equipos[Grupo],MATCH(WORLDCUP!BD16,T_Equipos[NombreEquipo],0))</f>
        <v>C</v>
      </c>
      <c r="BD16" s="10" t="str">
        <f ca="1">+Equipos!B12</f>
        <v>Haití</v>
      </c>
      <c r="BE16" s="424">
        <f t="shared" ca="1" si="16"/>
        <v>0</v>
      </c>
      <c r="BF16" s="424">
        <f t="shared" ca="1" si="25"/>
        <v>3</v>
      </c>
      <c r="BG16" s="424">
        <f t="shared" ca="1" si="17"/>
        <v>0</v>
      </c>
      <c r="BH16" s="424">
        <f t="shared" ca="1" si="18"/>
        <v>0</v>
      </c>
      <c r="BI16" s="424">
        <f t="shared" ca="1" si="19"/>
        <v>3</v>
      </c>
      <c r="BJ16" s="424">
        <f t="shared" ca="1" si="20"/>
        <v>1</v>
      </c>
      <c r="BK16" s="424">
        <f t="shared" ca="1" si="21"/>
        <v>6</v>
      </c>
      <c r="BL16" s="424">
        <f t="shared" ca="1" si="26"/>
        <v>-5</v>
      </c>
      <c r="BM16" s="424" t="str">
        <f t="shared" ca="1" si="22"/>
        <v>4C</v>
      </c>
      <c r="BN16" s="424" t="str">
        <f t="shared" ca="1" si="23"/>
        <v>4C</v>
      </c>
      <c r="BO16" s="630"/>
      <c r="BP16" s="631">
        <f t="shared" ca="1" si="27"/>
        <v>0</v>
      </c>
      <c r="BQ16" s="631">
        <f ca="1">COUNTIFS($BE$6:$BE$53,"&gt;"&amp;BE16,$BC$6:$BC$53,INDEX(T_Equipos[Grupo],MATCH(BD16,T_Equipos[NombreEquipo],0)))+1</f>
        <v>4</v>
      </c>
      <c r="BR16" s="631" t="str">
        <f ca="1">IF(COUNTIFS($BQ$6:$BQ$53,BQ16,$BC$6:$BC$53,INDEX(T_Equipos[Grupo],MATCH(BD16,T_Equipos[NombreEquipo],0)))=1,"-","P."&amp;BQ16&amp;" ("&amp;COUNTIFS($BQ$6:$BQ$53,BQ16,$BC$6:$BC$53,INDEX(T_Equipos[Grupo],MATCH(BD16,T_Equipos[NombreEquipo],0)))&amp;")")</f>
        <v>-</v>
      </c>
      <c r="BS16" s="632" t="str">
        <f t="shared" ca="1" si="34"/>
        <v>-</v>
      </c>
      <c r="BT16" s="632" t="str">
        <f t="shared" ca="1" si="35"/>
        <v>-</v>
      </c>
      <c r="BU16" s="632" t="str">
        <f t="shared" ca="1" si="36"/>
        <v>-</v>
      </c>
      <c r="BV16" s="632" t="str">
        <f t="shared" ca="1" si="37"/>
        <v>-</v>
      </c>
      <c r="BW16" s="632">
        <f ca="1">BQ16+COUNTIFS($BR$6:$BR$53,BR16,$BV$6:BV$53,"&gt;"&amp;BV16,$BC$6:$BC$53,INDEX(T_Equipos[Grupo],MATCH(BD16,T_Equipos[NombreEquipo],0)))</f>
        <v>4</v>
      </c>
      <c r="BX16" s="631" t="str">
        <f ca="1">IF(COUNTIFS($BW$6:$BW$53,BW16,$BC$6:$BC$53,INDEX(T_Equipos[Grupo],MATCH(BD16,T_Equipos[NombreEquipo],0)))=1,"-","P."&amp;BW16&amp;" ("&amp;COUNTIFS($BW$6:$BW$53,BW16,$BC$6:$BC$53,INDEX(T_Equipos[Grupo],MATCH(BD16,T_Equipos[NombreEquipo],0)))&amp;")")</f>
        <v>-</v>
      </c>
      <c r="BY16" s="632" t="str">
        <f t="shared" ca="1" si="38"/>
        <v>-</v>
      </c>
      <c r="BZ16" s="632" t="str">
        <f t="shared" ca="1" si="39"/>
        <v>-</v>
      </c>
      <c r="CA16" s="632" t="str">
        <f t="shared" ca="1" si="40"/>
        <v>-</v>
      </c>
      <c r="CB16" s="632">
        <f ca="1">BW16+COUNTIFS($BX$6:$BX$53,BX16,$CA$6:CA$53,"&gt;"&amp;CA16,$BC$6:$BC$53,INDEX(T_Equipos[Grupo],MATCH(BD16,T_Equipos[NombreEquipo],0)))</f>
        <v>4</v>
      </c>
      <c r="CC16" s="631" t="str">
        <f ca="1">IF(COUNTIFS($CB$6:$CB$53,CB16,$BC$6:$BC$53,INDEX(T_Equipos[Grupo],MATCH(BD16,T_Equipos[NombreEquipo],0)))=1,"-","P."&amp;CB16&amp;" ("&amp;COUNTIFS($CB$6:$CB$53,CB16,$BC$6:$BC$53,INDEX(T_Equipos[Grupo],MATCH(BD16,T_Equipos[NombreEquipo],0)))&amp;")")</f>
        <v>-</v>
      </c>
      <c r="CD16" s="632" t="str">
        <f t="shared" ca="1" si="41"/>
        <v>-</v>
      </c>
      <c r="CE16" s="632">
        <f ca="1">CB16+COUNTIFS($CC$6:$CC$53,CC16,$CD$6:CD$53,"&gt;"&amp;CD16,$BC$6:$BC$53,INDEX(T_Equipos[Grupo],MATCH(BD16,T_Equipos[NombreEquipo],0)))</f>
        <v>4</v>
      </c>
      <c r="CF16" s="631" t="str">
        <f ca="1">IF(COUNTIFS($CE$6:$CE$53,CE16,$BC$6:$BC$53,INDEX(T_Equipos[Grupo],MATCH(BD16,T_Equipos[NombreEquipo],0)))=1,"-","P."&amp;CE16&amp;" ("&amp;COUNTIFS($CE$6:$CE$53,CE16,$BC$6:$BC$53,INDEX(T_Equipos[Grupo],MATCH(BD16,T_Equipos[NombreEquipo],0)))&amp;")")</f>
        <v>-</v>
      </c>
      <c r="CG16" s="632" t="str">
        <f t="shared" ca="1" si="42"/>
        <v>-</v>
      </c>
      <c r="CH16" s="632" t="str">
        <f t="shared" ca="1" si="43"/>
        <v>-</v>
      </c>
      <c r="CI16" s="632" t="str">
        <f t="shared" ca="1" si="44"/>
        <v>-</v>
      </c>
      <c r="CJ16" s="632" t="str">
        <f t="shared" ca="1" si="45"/>
        <v>-</v>
      </c>
      <c r="CK16" s="632">
        <f ca="1">CE16+COUNTIFS($CF$6:$CF$53,CF16,$CJ$6:CJ$53,"&gt;"&amp;CJ16,$BC$6:$BC$53,INDEX(T_Equipos[Grupo],MATCH(BD16,T_Equipos[NombreEquipo],0)))</f>
        <v>4</v>
      </c>
      <c r="CL16" s="631" t="str">
        <f ca="1">IF(COUNTIFS($CK$6:$CK$53,CK16,$BC$6:$BC$53,INDEX(T_Equipos[Grupo],MATCH(BD16,T_Equipos[NombreEquipo],0)))=1,"-","P."&amp;CK16&amp;" ("&amp;COUNTIFS($CK$6:$CK$53,CK16,$BC$6:$BC$53,INDEX(T_Equipos[Grupo],MATCH(BD16,T_Equipos[NombreEquipo],0)))&amp;")")</f>
        <v>-</v>
      </c>
      <c r="CM16" s="632" t="str">
        <f t="shared" ca="1" si="46"/>
        <v>-</v>
      </c>
      <c r="CN16" s="632" t="str">
        <f t="shared" ca="1" si="47"/>
        <v>-</v>
      </c>
      <c r="CO16" s="632" t="str">
        <f t="shared" ca="1" si="48"/>
        <v>-</v>
      </c>
      <c r="CP16" s="632">
        <f ca="1">CK16+COUNTIFS($CL$6:$CL$53,CL16,$CO$6:CO$53,"&gt;"&amp;CO16,$BC$6:$BC$53,INDEX(T_Equipos[Grupo],MATCH(BD16,T_Equipos[NombreEquipo],0)))</f>
        <v>4</v>
      </c>
      <c r="CQ16" s="631" t="str">
        <f ca="1">IF(COUNTIFS($CP$6:$CP$53,CP16,$BC$6:$BC$53,INDEX(T_Equipos[Grupo],MATCH(BD16,T_Equipos[NombreEquipo],0)))=1,"-","P."&amp;CP16&amp;" ("&amp;COUNTIFS($CP$6:$CP$53,CP16,$BC$6:$BC$53,INDEX(T_Equipos[Grupo],MATCH(BD16,T_Equipos[NombreEquipo],0)))&amp;")")</f>
        <v>-</v>
      </c>
      <c r="CR16" s="632" t="str">
        <f t="shared" ca="1" si="49"/>
        <v>-</v>
      </c>
      <c r="CS16" s="632">
        <f ca="1">CP16+COUNTIFS($CQ$6:$CQ$53,CQ16,$CR$6:CR$53,"&gt;"&amp;CR16,$BC$6:$BC$53,INDEX(T_Equipos[Grupo],MATCH(BD16,T_Equipos[NombreEquipo],0)))</f>
        <v>4</v>
      </c>
      <c r="CT16" s="631" t="str">
        <f ca="1">IF(COUNTIFS($CS$6:$CS$53,CS16,$BC$6:$BC$53,INDEX(T_Equipos[Grupo],MATCH(BD16,T_Equipos[NombreEquipo],0)))=1,"-","P."&amp;CS16&amp;" ("&amp;COUNTIFS($CS$6:$CS$53,CS16,$BC$6:$BC$53,INDEX(T_Equipos[Grupo],MATCH(BD16,T_Equipos[NombreEquipo],0)))&amp;")")</f>
        <v>-</v>
      </c>
      <c r="CU16" s="631" t="str">
        <f t="shared" ca="1" si="28"/>
        <v>-</v>
      </c>
      <c r="CV16" s="631">
        <f ca="1">CS16+COUNTIFS($CT$6:$CT$53,CT16,$CU$6:CU$53,"&gt;"&amp;CU16,$BC$6:$BC$53,INDEX(T_Equipos[Grupo],MATCH(BD16,T_Equipos[NombreEquipo],0)))</f>
        <v>4</v>
      </c>
      <c r="CW16" s="631" t="str">
        <f ca="1">IF(COUNTIFS($CV$6:$CV$53,CV16,$BC$6:$BC$53,INDEX(T_Equipos[Grupo],MATCH(BD16,T_Equipos[NombreEquipo],0)))=1,"-","P."&amp;CV16&amp;" ("&amp;COUNTIFS($CV$6:$CV$53,CV16,$BC$6:$BC$53,INDEX(T_Equipos[Grupo],MATCH(BD16,T_Equipos[NombreEquipo],0)))&amp;")")</f>
        <v>-</v>
      </c>
      <c r="CX16" s="631" t="str">
        <f t="shared" ca="1" si="29"/>
        <v>-</v>
      </c>
      <c r="CY16" s="632">
        <f ca="1">CV16+COUNTIFS($CW$6:$CW$53,CW16,$CX$6:CX$53,"&gt;"&amp;CX16,$BC$6:$BC$53,INDEX(T_Equipos[Grupo],MATCH(BD16,T_Equipos[NombreEquipo],0)))</f>
        <v>4</v>
      </c>
      <c r="CZ16" s="631" t="str">
        <f ca="1">IF(COUNTIFS($CY$6:$CY$53,CY16,$BC$6:$BC$53,INDEX(T_Equipos[Grupo],MATCH(BD16,T_Equipos[NombreEquipo],0)))=1,"-","P."&amp;CY16&amp;" ("&amp;COUNTIFS($CY$6:$CY$53,CY16,$BC$6:$BC$53,INDEX(T_Equipos[Grupo],MATCH(BD16,T_Equipos[NombreEquipo],0)))&amp;")")</f>
        <v>-</v>
      </c>
      <c r="DA16" s="633" t="str">
        <f ca="1">IF(CZ16="-","-",COUNTIFS(T_Equipos[Rank],"&lt;"&amp;INDEX(T_Equipos[Rank],MATCH(BD16,T_Equipos[NombreEquipo],0)),$BC$6:$BC$53,INDEX(T_Equipos[Grupo],MATCH(BD16,T_Equipos[NombreEquipo],0)))+1)</f>
        <v>-</v>
      </c>
      <c r="DB16" s="630">
        <f ca="1">CY16+COUNTIFS($CZ$6:$CZ$53,CZ16,$DA$6:DA$53,"&lt;"&amp;DA16,$BC$6:$BC$53,INDEX(T_Equipos[Grupo],MATCH(BD16,T_Equipos[NombreEquipo],0)))</f>
        <v>4</v>
      </c>
      <c r="DC16" s="630"/>
      <c r="DD16" s="630">
        <f t="shared" ca="1" si="50"/>
        <v>4</v>
      </c>
      <c r="DE16" s="630" t="str">
        <f ca="1">IF(CZ16="-","-",COUNTIFS(DD$6:DD$53,"&lt;"&amp;DD16,$BC$6:$BC$53,INDEX(T_Equipos[Grupo],MATCH(BD16,T_Equipos[NombreEquipo],0))))</f>
        <v>-</v>
      </c>
      <c r="DF16" s="630">
        <f ca="1">CY16+COUNTIFS(CZ$6:CZ$53,CZ16,DE$6:DE$53,"&lt;"&amp;DE16,$BC$6:$BC$53,INDEX(T_Equipos[Grupo],MATCH(BD16,T_Equipos[NombreEquipo],0)))</f>
        <v>4</v>
      </c>
      <c r="DH16" s="10">
        <f t="shared" ca="1" si="51"/>
        <v>3</v>
      </c>
      <c r="DI16" s="10">
        <f t="shared" ca="1" si="24"/>
        <v>12</v>
      </c>
      <c r="DJ16" s="10">
        <f t="shared" ca="1" si="31"/>
        <v>1</v>
      </c>
      <c r="DK16" s="19" t="str">
        <f t="shared" ca="1" si="32"/>
        <v>3.1</v>
      </c>
      <c r="DL16" s="10" cm="1">
        <f t="array" aca="1" ref="DL16" ca="1">OFFSET(Horarios!$P$3,DH16-1,0,DJ16,1)</f>
        <v>3</v>
      </c>
      <c r="DN16" s="10" t="s">
        <v>93</v>
      </c>
      <c r="DO16" s="10" t="str">
        <f t="shared" ca="1" si="33"/>
        <v>Escocia</v>
      </c>
    </row>
    <row r="17" spans="1:119" ht="15" thickBot="1">
      <c r="A17" s="643"/>
      <c r="B17" s="11"/>
      <c r="C17" s="643"/>
      <c r="D17" s="10" t="str">
        <f t="shared" si="52"/>
        <v>Visitante</v>
      </c>
      <c r="E17" s="10" t="str">
        <f t="shared" ca="1" si="53"/>
        <v>-</v>
      </c>
      <c r="F17" s="10" t="str">
        <f t="shared" ca="1" si="54"/>
        <v>-</v>
      </c>
      <c r="G17" s="10"/>
      <c r="H17" s="10" t="str">
        <f t="shared" ca="1" si="55"/>
        <v>-</v>
      </c>
      <c r="I17" s="10" t="str">
        <f t="shared" ca="1" si="56"/>
        <v>-</v>
      </c>
      <c r="J17" s="10"/>
      <c r="K17" s="10" t="str">
        <f t="shared" ca="1" si="57"/>
        <v>-</v>
      </c>
      <c r="L17" s="10" t="str">
        <f t="shared" ca="1" si="58"/>
        <v>-</v>
      </c>
      <c r="M17" s="10"/>
      <c r="N17" s="10" t="str">
        <f t="shared" ca="1" si="59"/>
        <v>-</v>
      </c>
      <c r="O17" s="10" t="str">
        <f t="shared" ca="1" si="60"/>
        <v>-</v>
      </c>
      <c r="P17" s="10"/>
      <c r="Q17" s="10" t="str">
        <f t="shared" ca="1" si="61"/>
        <v>-</v>
      </c>
      <c r="R17" s="10" t="str">
        <f t="shared" ca="1" si="62"/>
        <v>-</v>
      </c>
      <c r="S17" s="10"/>
      <c r="T17" s="10" t="str">
        <f t="shared" ca="1" si="63"/>
        <v>-</v>
      </c>
      <c r="U17" s="10" t="str">
        <f t="shared" ca="1" si="64"/>
        <v>-</v>
      </c>
      <c r="V17" s="20"/>
      <c r="W17" s="684"/>
      <c r="X17" s="31">
        <f ca="1">Horarios!C17</f>
        <v>46197.875</v>
      </c>
      <c r="Y17" s="32">
        <f ca="1">Horarios!C17</f>
        <v>46197.875</v>
      </c>
      <c r="Z17" s="33" t="str">
        <f>$Z$8</f>
        <v>J3</v>
      </c>
      <c r="AA17" s="34" t="str">
        <f ca="1">A14</f>
        <v>PO A: ITA/NIR/WAL/BIH</v>
      </c>
      <c r="AB17" s="59" t="str">
        <f ca="1">+INDEX(Equipos!$L$2:$L$49,MATCH(WORLDCUP!AA17,Equipos!$K$2:$K$49,0))</f>
        <v xml:space="preserve"> </v>
      </c>
      <c r="AC17" s="60">
        <v>0</v>
      </c>
      <c r="AD17" s="61">
        <v>1</v>
      </c>
      <c r="AE17" s="62" t="str">
        <f ca="1">+INDEX(Equipos!$L$2:$L$49,MATCH(WORLDCUP!AF17,Equipos!$K$2:$K$49,0))</f>
        <v>🇶🇦</v>
      </c>
      <c r="AF17" s="36" t="str">
        <f ca="1">A15</f>
        <v>Catar</v>
      </c>
      <c r="AG17" s="335">
        <f t="shared" si="65"/>
        <v>1</v>
      </c>
      <c r="AH17" s="204">
        <v>52</v>
      </c>
      <c r="AI17" s="190" t="str">
        <f t="shared" si="69"/>
        <v>4B</v>
      </c>
      <c r="AJ17" s="83">
        <v>4</v>
      </c>
      <c r="AK17" s="84" t="str">
        <f ca="1">+INDEX(Equipos!$L$2:$L$49,MATCH(WORLDCUP!AL17,Equipos!$K$2:$K$49,0))</f>
        <v xml:space="preserve"> </v>
      </c>
      <c r="AL17" s="84" t="str">
        <f ca="1">IFERROR(INDEX($BD$6:$BD$53,MATCH(AI17,$BN$6:$BN$53,0)),"")</f>
        <v>PO A: ITA/NIR/WAL/BIH</v>
      </c>
      <c r="AM17" s="85">
        <f t="shared" ca="1" si="68"/>
        <v>1</v>
      </c>
      <c r="AN17" s="86">
        <f t="shared" ca="1" si="68"/>
        <v>3</v>
      </c>
      <c r="AO17" s="86">
        <f t="shared" ca="1" si="68"/>
        <v>0</v>
      </c>
      <c r="AP17" s="86">
        <f t="shared" ca="1" si="68"/>
        <v>1</v>
      </c>
      <c r="AQ17" s="86">
        <f t="shared" ca="1" si="68"/>
        <v>2</v>
      </c>
      <c r="AR17" s="86">
        <f t="shared" ca="1" si="68"/>
        <v>1</v>
      </c>
      <c r="AS17" s="86">
        <f t="shared" ca="1" si="68"/>
        <v>3</v>
      </c>
      <c r="AT17" s="87">
        <f t="shared" ca="1" si="68"/>
        <v>-2</v>
      </c>
      <c r="AU17" s="342">
        <f ca="1">INDEX($DJ$6:$DJ$53,MATCH(AI17,$DN$6:$DN$53,0))</f>
        <v>1</v>
      </c>
      <c r="AV17" s="191" t="str">
        <f ca="1">INDEX($BD$6:$BD$53,MATCH(AI17,$BM$6:$BM$53,0))</f>
        <v>PO A: ITA/NIR/WAL/BIH</v>
      </c>
      <c r="AW17" s="219"/>
      <c r="AX17" s="179"/>
      <c r="AY17" s="214" t="str">
        <f ca="1">+A16</f>
        <v>Suiza</v>
      </c>
      <c r="AZ17" s="215"/>
      <c r="BA17" s="155"/>
      <c r="BC17" s="630" t="str">
        <f ca="1">+INDEX(T_Equipos[Grupo],MATCH(WORLDCUP!BD17,T_Equipos[NombreEquipo],0))</f>
        <v>C</v>
      </c>
      <c r="BD17" s="10" t="str">
        <f ca="1">+Equipos!B13</f>
        <v>Escocia</v>
      </c>
      <c r="BE17" s="424">
        <f t="shared" ca="1" si="16"/>
        <v>3</v>
      </c>
      <c r="BF17" s="424">
        <f t="shared" ca="1" si="25"/>
        <v>3</v>
      </c>
      <c r="BG17" s="424">
        <f t="shared" ca="1" si="17"/>
        <v>1</v>
      </c>
      <c r="BH17" s="424">
        <f t="shared" ca="1" si="18"/>
        <v>0</v>
      </c>
      <c r="BI17" s="424">
        <f t="shared" ca="1" si="19"/>
        <v>2</v>
      </c>
      <c r="BJ17" s="424">
        <f t="shared" ca="1" si="20"/>
        <v>2</v>
      </c>
      <c r="BK17" s="424">
        <f t="shared" ca="1" si="21"/>
        <v>2</v>
      </c>
      <c r="BL17" s="424">
        <f t="shared" ca="1" si="26"/>
        <v>0</v>
      </c>
      <c r="BM17" s="424" t="str">
        <f t="shared" ca="1" si="22"/>
        <v>3C</v>
      </c>
      <c r="BN17" s="424" t="str">
        <f t="shared" ca="1" si="23"/>
        <v>3C</v>
      </c>
      <c r="BO17" s="630"/>
      <c r="BP17" s="631">
        <f t="shared" ca="1" si="27"/>
        <v>3</v>
      </c>
      <c r="BQ17" s="631">
        <f ca="1">COUNTIFS($BE$6:$BE$53,"&gt;"&amp;BE17,$BC$6:$BC$53,INDEX(T_Equipos[Grupo],MATCH(BD17,T_Equipos[NombreEquipo],0)))+1</f>
        <v>3</v>
      </c>
      <c r="BR17" s="631" t="str">
        <f ca="1">IF(COUNTIFS($BQ$6:$BQ$53,BQ17,$BC$6:$BC$53,INDEX(T_Equipos[Grupo],MATCH(BD17,T_Equipos[NombreEquipo],0)))=1,"-","P."&amp;BQ17&amp;" ("&amp;COUNTIFS($BQ$6:$BQ$53,BQ17,$BC$6:$BC$53,INDEX(T_Equipos[Grupo],MATCH(BD17,T_Equipos[NombreEquipo],0)))&amp;")")</f>
        <v>-</v>
      </c>
      <c r="BS17" s="632" t="str">
        <f t="shared" ca="1" si="34"/>
        <v>-</v>
      </c>
      <c r="BT17" s="632" t="str">
        <f t="shared" ca="1" si="35"/>
        <v>-</v>
      </c>
      <c r="BU17" s="632" t="str">
        <f t="shared" ca="1" si="36"/>
        <v>-</v>
      </c>
      <c r="BV17" s="632" t="str">
        <f t="shared" ca="1" si="37"/>
        <v>-</v>
      </c>
      <c r="BW17" s="632">
        <f ca="1">BQ17+COUNTIFS($BR$6:$BR$53,BR17,$BV$6:BV$53,"&gt;"&amp;BV17,$BC$6:$BC$53,INDEX(T_Equipos[Grupo],MATCH(BD17,T_Equipos[NombreEquipo],0)))</f>
        <v>3</v>
      </c>
      <c r="BX17" s="631" t="str">
        <f ca="1">IF(COUNTIFS($BW$6:$BW$53,BW17,$BC$6:$BC$53,INDEX(T_Equipos[Grupo],MATCH(BD17,T_Equipos[NombreEquipo],0)))=1,"-","P."&amp;BW17&amp;" ("&amp;COUNTIFS($BW$6:$BW$53,BW17,$BC$6:$BC$53,INDEX(T_Equipos[Grupo],MATCH(BD17,T_Equipos[NombreEquipo],0)))&amp;")")</f>
        <v>-</v>
      </c>
      <c r="BY17" s="632" t="str">
        <f t="shared" ca="1" si="38"/>
        <v>-</v>
      </c>
      <c r="BZ17" s="632" t="str">
        <f t="shared" ca="1" si="39"/>
        <v>-</v>
      </c>
      <c r="CA17" s="632" t="str">
        <f t="shared" ca="1" si="40"/>
        <v>-</v>
      </c>
      <c r="CB17" s="632">
        <f ca="1">BW17+COUNTIFS($BX$6:$BX$53,BX17,$CA$6:CA$53,"&gt;"&amp;CA17,$BC$6:$BC$53,INDEX(T_Equipos[Grupo],MATCH(BD17,T_Equipos[NombreEquipo],0)))</f>
        <v>3</v>
      </c>
      <c r="CC17" s="631" t="str">
        <f ca="1">IF(COUNTIFS($CB$6:$CB$53,CB17,$BC$6:$BC$53,INDEX(T_Equipos[Grupo],MATCH(BD17,T_Equipos[NombreEquipo],0)))=1,"-","P."&amp;CB17&amp;" ("&amp;COUNTIFS($CB$6:$CB$53,CB17,$BC$6:$BC$53,INDEX(T_Equipos[Grupo],MATCH(BD17,T_Equipos[NombreEquipo],0)))&amp;")")</f>
        <v>-</v>
      </c>
      <c r="CD17" s="632" t="str">
        <f t="shared" ca="1" si="41"/>
        <v>-</v>
      </c>
      <c r="CE17" s="632">
        <f ca="1">CB17+COUNTIFS($CC$6:$CC$53,CC17,$CD$6:CD$53,"&gt;"&amp;CD17,$BC$6:$BC$53,INDEX(T_Equipos[Grupo],MATCH(BD17,T_Equipos[NombreEquipo],0)))</f>
        <v>3</v>
      </c>
      <c r="CF17" s="631" t="str">
        <f ca="1">IF(COUNTIFS($CE$6:$CE$53,CE17,$BC$6:$BC$53,INDEX(T_Equipos[Grupo],MATCH(BD17,T_Equipos[NombreEquipo],0)))=1,"-","P."&amp;CE17&amp;" ("&amp;COUNTIFS($CE$6:$CE$53,CE17,$BC$6:$BC$53,INDEX(T_Equipos[Grupo],MATCH(BD17,T_Equipos[NombreEquipo],0)))&amp;")")</f>
        <v>-</v>
      </c>
      <c r="CG17" s="632" t="str">
        <f t="shared" ca="1" si="42"/>
        <v>-</v>
      </c>
      <c r="CH17" s="632" t="str">
        <f t="shared" ca="1" si="43"/>
        <v>-</v>
      </c>
      <c r="CI17" s="632" t="str">
        <f t="shared" ca="1" si="44"/>
        <v>-</v>
      </c>
      <c r="CJ17" s="632" t="str">
        <f t="shared" ca="1" si="45"/>
        <v>-</v>
      </c>
      <c r="CK17" s="632">
        <f ca="1">CE17+COUNTIFS($CF$6:$CF$53,CF17,$CJ$6:CJ$53,"&gt;"&amp;CJ17,$BC$6:$BC$53,INDEX(T_Equipos[Grupo],MATCH(BD17,T_Equipos[NombreEquipo],0)))</f>
        <v>3</v>
      </c>
      <c r="CL17" s="631" t="str">
        <f ca="1">IF(COUNTIFS($CK$6:$CK$53,CK17,$BC$6:$BC$53,INDEX(T_Equipos[Grupo],MATCH(BD17,T_Equipos[NombreEquipo],0)))=1,"-","P."&amp;CK17&amp;" ("&amp;COUNTIFS($CK$6:$CK$53,CK17,$BC$6:$BC$53,INDEX(T_Equipos[Grupo],MATCH(BD17,T_Equipos[NombreEquipo],0)))&amp;")")</f>
        <v>-</v>
      </c>
      <c r="CM17" s="632" t="str">
        <f t="shared" ca="1" si="46"/>
        <v>-</v>
      </c>
      <c r="CN17" s="632" t="str">
        <f t="shared" ca="1" si="47"/>
        <v>-</v>
      </c>
      <c r="CO17" s="632" t="str">
        <f t="shared" ca="1" si="48"/>
        <v>-</v>
      </c>
      <c r="CP17" s="632">
        <f ca="1">CK17+COUNTIFS($CL$6:$CL$53,CL17,$CO$6:CO$53,"&gt;"&amp;CO17,$BC$6:$BC$53,INDEX(T_Equipos[Grupo],MATCH(BD17,T_Equipos[NombreEquipo],0)))</f>
        <v>3</v>
      </c>
      <c r="CQ17" s="631" t="str">
        <f ca="1">IF(COUNTIFS($CP$6:$CP$53,CP17,$BC$6:$BC$53,INDEX(T_Equipos[Grupo],MATCH(BD17,T_Equipos[NombreEquipo],0)))=1,"-","P."&amp;CP17&amp;" ("&amp;COUNTIFS($CP$6:$CP$53,CP17,$BC$6:$BC$53,INDEX(T_Equipos[Grupo],MATCH(BD17,T_Equipos[NombreEquipo],0)))&amp;")")</f>
        <v>-</v>
      </c>
      <c r="CR17" s="632" t="str">
        <f t="shared" ca="1" si="49"/>
        <v>-</v>
      </c>
      <c r="CS17" s="632">
        <f ca="1">CP17+COUNTIFS($CQ$6:$CQ$53,CQ17,$CR$6:CR$53,"&gt;"&amp;CR17,$BC$6:$BC$53,INDEX(T_Equipos[Grupo],MATCH(BD17,T_Equipos[NombreEquipo],0)))</f>
        <v>3</v>
      </c>
      <c r="CT17" s="631" t="str">
        <f ca="1">IF(COUNTIFS($CS$6:$CS$53,CS17,$BC$6:$BC$53,INDEX(T_Equipos[Grupo],MATCH(BD17,T_Equipos[NombreEquipo],0)))=1,"-","P."&amp;CS17&amp;" ("&amp;COUNTIFS($CS$6:$CS$53,CS17,$BC$6:$BC$53,INDEX(T_Equipos[Grupo],MATCH(BD17,T_Equipos[NombreEquipo],0)))&amp;")")</f>
        <v>-</v>
      </c>
      <c r="CU17" s="631" t="str">
        <f t="shared" ca="1" si="28"/>
        <v>-</v>
      </c>
      <c r="CV17" s="631">
        <f ca="1">CS17+COUNTIFS($CT$6:$CT$53,CT17,$CU$6:CU$53,"&gt;"&amp;CU17,$BC$6:$BC$53,INDEX(T_Equipos[Grupo],MATCH(BD17,T_Equipos[NombreEquipo],0)))</f>
        <v>3</v>
      </c>
      <c r="CW17" s="631" t="str">
        <f ca="1">IF(COUNTIFS($CV$6:$CV$53,CV17,$BC$6:$BC$53,INDEX(T_Equipos[Grupo],MATCH(BD17,T_Equipos[NombreEquipo],0)))=1,"-","P."&amp;CV17&amp;" ("&amp;COUNTIFS($CV$6:$CV$53,CV17,$BC$6:$BC$53,INDEX(T_Equipos[Grupo],MATCH(BD17,T_Equipos[NombreEquipo],0)))&amp;")")</f>
        <v>-</v>
      </c>
      <c r="CX17" s="631" t="str">
        <f t="shared" ca="1" si="29"/>
        <v>-</v>
      </c>
      <c r="CY17" s="632">
        <f ca="1">CV17+COUNTIFS($CW$6:$CW$53,CW17,$CX$6:CX$53,"&gt;"&amp;CX17,$BC$6:$BC$53,INDEX(T_Equipos[Grupo],MATCH(BD17,T_Equipos[NombreEquipo],0)))</f>
        <v>3</v>
      </c>
      <c r="CZ17" s="631" t="str">
        <f ca="1">IF(COUNTIFS($CY$6:$CY$53,CY17,$BC$6:$BC$53,INDEX(T_Equipos[Grupo],MATCH(BD17,T_Equipos[NombreEquipo],0)))=1,"-","P."&amp;CY17&amp;" ("&amp;COUNTIFS($CY$6:$CY$53,CY17,$BC$6:$BC$53,INDEX(T_Equipos[Grupo],MATCH(BD17,T_Equipos[NombreEquipo],0)))&amp;")")</f>
        <v>-</v>
      </c>
      <c r="DA17" s="633" t="str">
        <f ca="1">IF(CZ17="-","-",COUNTIFS(T_Equipos[Rank],"&lt;"&amp;INDEX(T_Equipos[Rank],MATCH(BD17,T_Equipos[NombreEquipo],0)),$BC$6:$BC$53,INDEX(T_Equipos[Grupo],MATCH(BD17,T_Equipos[NombreEquipo],0)))+1)</f>
        <v>-</v>
      </c>
      <c r="DB17" s="630">
        <f ca="1">CY17+COUNTIFS($CZ$6:$CZ$53,CZ17,$DA$6:DA$53,"&lt;"&amp;DA17,$BC$6:$BC$53,INDEX(T_Equipos[Grupo],MATCH(BD17,T_Equipos[NombreEquipo],0)))</f>
        <v>3</v>
      </c>
      <c r="DC17" s="630"/>
      <c r="DD17" s="630">
        <f t="shared" ca="1" si="50"/>
        <v>3</v>
      </c>
      <c r="DE17" s="630" t="str">
        <f ca="1">IF(CZ17="-","-",COUNTIFS(DD$6:DD$53,"&lt;"&amp;DD17,$BC$6:$BC$53,INDEX(T_Equipos[Grupo],MATCH(BD17,T_Equipos[NombreEquipo],0))))</f>
        <v>-</v>
      </c>
      <c r="DF17" s="630">
        <f ca="1">CY17+COUNTIFS(CZ$6:CZ$53,CZ17,DE$6:DE$53,"&lt;"&amp;DE17,$BC$6:$BC$53,INDEX(T_Equipos[Grupo],MATCH(BD17,T_Equipos[NombreEquipo],0)))</f>
        <v>3</v>
      </c>
      <c r="DH17" s="10">
        <f t="shared" ca="1" si="51"/>
        <v>4</v>
      </c>
      <c r="DI17" s="10">
        <f t="shared" ca="1" si="24"/>
        <v>12</v>
      </c>
      <c r="DJ17" s="10">
        <f t="shared" ca="1" si="31"/>
        <v>1</v>
      </c>
      <c r="DK17" s="19" t="str">
        <f t="shared" ca="1" si="32"/>
        <v>4.1</v>
      </c>
      <c r="DL17" s="10" cm="1">
        <f t="array" aca="1" ref="DL17" ca="1">OFFSET(Horarios!$P$3,DH17-1,0,DJ17,1)</f>
        <v>4</v>
      </c>
      <c r="DN17" s="10" t="s">
        <v>676</v>
      </c>
      <c r="DO17" s="10" t="str">
        <f t="shared" ca="1" si="33"/>
        <v>Haití</v>
      </c>
    </row>
    <row r="18" spans="1:119" ht="15" thickBot="1">
      <c r="A18" s="643"/>
      <c r="B18" s="11"/>
      <c r="C18" s="643"/>
      <c r="D18" s="10"/>
      <c r="E18" s="10"/>
      <c r="F18" s="10"/>
      <c r="G18" s="10"/>
      <c r="H18" s="10"/>
      <c r="I18" s="10"/>
      <c r="J18" s="10"/>
      <c r="K18" s="10"/>
      <c r="L18" s="10"/>
      <c r="M18" s="10"/>
      <c r="N18" s="10"/>
      <c r="O18" s="10"/>
      <c r="P18" s="10"/>
      <c r="Q18" s="10"/>
      <c r="R18" s="10"/>
      <c r="S18" s="10"/>
      <c r="T18" s="10"/>
      <c r="U18" s="10"/>
      <c r="V18" s="20"/>
      <c r="W18" s="162"/>
      <c r="X18" s="163"/>
      <c r="Y18" s="162"/>
      <c r="Z18" s="164"/>
      <c r="AA18" s="165"/>
      <c r="AB18" s="166"/>
      <c r="AC18" s="159"/>
      <c r="AD18" s="159"/>
      <c r="AE18" s="166"/>
      <c r="AF18" s="167"/>
      <c r="AG18" s="337"/>
      <c r="AH18" s="204"/>
      <c r="AI18" s="189"/>
      <c r="AJ18" s="168"/>
      <c r="AK18" s="169"/>
      <c r="AL18" s="170"/>
      <c r="AM18" s="171"/>
      <c r="AN18" s="168"/>
      <c r="AO18" s="168"/>
      <c r="AP18" s="168"/>
      <c r="AQ18" s="168"/>
      <c r="AR18" s="168"/>
      <c r="AS18" s="168"/>
      <c r="AT18" s="168"/>
      <c r="AU18" s="342"/>
      <c r="AV18" s="198"/>
      <c r="AW18" s="220"/>
      <c r="AX18" s="179"/>
      <c r="AY18" s="162"/>
      <c r="AZ18" s="163"/>
      <c r="BA18" s="155"/>
      <c r="BC18" s="630" t="str">
        <f ca="1">+INDEX(T_Equipos[Grupo],MATCH(WORLDCUP!BD18,T_Equipos[NombreEquipo],0))</f>
        <v>D</v>
      </c>
      <c r="BD18" s="10" t="str">
        <f ca="1">+Equipos!B14</f>
        <v>Estados Unidos</v>
      </c>
      <c r="BE18" s="424">
        <f t="shared" ca="1" si="16"/>
        <v>9</v>
      </c>
      <c r="BF18" s="424">
        <f t="shared" ca="1" si="25"/>
        <v>3</v>
      </c>
      <c r="BG18" s="424">
        <f t="shared" ca="1" si="17"/>
        <v>3</v>
      </c>
      <c r="BH18" s="424">
        <f t="shared" ca="1" si="18"/>
        <v>0</v>
      </c>
      <c r="BI18" s="424">
        <f t="shared" ca="1" si="19"/>
        <v>0</v>
      </c>
      <c r="BJ18" s="424">
        <f t="shared" ca="1" si="20"/>
        <v>4</v>
      </c>
      <c r="BK18" s="424">
        <f t="shared" ca="1" si="21"/>
        <v>0</v>
      </c>
      <c r="BL18" s="424">
        <f t="shared" ca="1" si="26"/>
        <v>4</v>
      </c>
      <c r="BM18" s="424" t="str">
        <f t="shared" ca="1" si="22"/>
        <v>1D</v>
      </c>
      <c r="BN18" s="424" t="str">
        <f t="shared" ca="1" si="23"/>
        <v>1D</v>
      </c>
      <c r="BO18" s="630"/>
      <c r="BP18" s="632">
        <f t="shared" ca="1" si="27"/>
        <v>9</v>
      </c>
      <c r="BQ18" s="631">
        <f ca="1">COUNTIFS($BE$6:$BE$53,"&gt;"&amp;BE18,$BC$6:$BC$53,INDEX(T_Equipos[Grupo],MATCH(BD18,T_Equipos[NombreEquipo],0)))+1</f>
        <v>1</v>
      </c>
      <c r="BR18" s="631" t="str">
        <f ca="1">IF(COUNTIFS($BQ$6:$BQ$53,BQ18,$BC$6:$BC$53,INDEX(T_Equipos[Grupo],MATCH(BD18,T_Equipos[NombreEquipo],0)))=1,"-","P."&amp;BQ18&amp;" ("&amp;COUNTIFS($BQ$6:$BQ$53,BQ18,$BC$6:$BC$53,INDEX(T_Equipos[Grupo],MATCH(BD18,T_Equipos[NombreEquipo],0)))&amp;")")</f>
        <v>-</v>
      </c>
      <c r="BS18" s="632" t="str">
        <f t="shared" ca="1" si="34"/>
        <v>-</v>
      </c>
      <c r="BT18" s="632" t="str">
        <f t="shared" ca="1" si="35"/>
        <v>-</v>
      </c>
      <c r="BU18" s="632" t="str">
        <f t="shared" ca="1" si="36"/>
        <v>-</v>
      </c>
      <c r="BV18" s="632" t="str">
        <f t="shared" ca="1" si="37"/>
        <v>-</v>
      </c>
      <c r="BW18" s="632">
        <f ca="1">BQ18+COUNTIFS($BR$6:$BR$53,BR18,$BV$6:BV$53,"&gt;"&amp;BV18,$BC$6:$BC$53,INDEX(T_Equipos[Grupo],MATCH(BD18,T_Equipos[NombreEquipo],0)))</f>
        <v>1</v>
      </c>
      <c r="BX18" s="631" t="str">
        <f ca="1">IF(COUNTIFS($BW$6:$BW$53,BW18,$BC$6:$BC$53,INDEX(T_Equipos[Grupo],MATCH(BD18,T_Equipos[NombreEquipo],0)))=1,"-","P."&amp;BW18&amp;" ("&amp;COUNTIFS($BW$6:$BW$53,BW18,$BC$6:$BC$53,INDEX(T_Equipos[Grupo],MATCH(BD18,T_Equipos[NombreEquipo],0)))&amp;")")</f>
        <v>-</v>
      </c>
      <c r="BY18" s="632" t="str">
        <f t="shared" ca="1" si="38"/>
        <v>-</v>
      </c>
      <c r="BZ18" s="632" t="str">
        <f t="shared" ca="1" si="39"/>
        <v>-</v>
      </c>
      <c r="CA18" s="632" t="str">
        <f t="shared" ca="1" si="40"/>
        <v>-</v>
      </c>
      <c r="CB18" s="632">
        <f ca="1">BW18+COUNTIFS($BX$6:$BX$53,BX18,$CA$6:CA$53,"&gt;"&amp;CA18,$BC$6:$BC$53,INDEX(T_Equipos[Grupo],MATCH(BD18,T_Equipos[NombreEquipo],0)))</f>
        <v>1</v>
      </c>
      <c r="CC18" s="631" t="str">
        <f ca="1">IF(COUNTIFS($CB$6:$CB$53,CB18,$BC$6:$BC$53,INDEX(T_Equipos[Grupo],MATCH(BD18,T_Equipos[NombreEquipo],0)))=1,"-","P."&amp;CB18&amp;" ("&amp;COUNTIFS($CB$6:$CB$53,CB18,$BC$6:$BC$53,INDEX(T_Equipos[Grupo],MATCH(BD18,T_Equipos[NombreEquipo],0)))&amp;")")</f>
        <v>-</v>
      </c>
      <c r="CD18" s="632" t="str">
        <f t="shared" ca="1" si="41"/>
        <v>-</v>
      </c>
      <c r="CE18" s="632">
        <f ca="1">CB18+COUNTIFS($CC$6:$CC$53,CC18,$CD$6:CD$53,"&gt;"&amp;CD18,$BC$6:$BC$53,INDEX(T_Equipos[Grupo],MATCH(BD18,T_Equipos[NombreEquipo],0)))</f>
        <v>1</v>
      </c>
      <c r="CF18" s="631" t="str">
        <f ca="1">IF(COUNTIFS($CE$6:$CE$53,CE18,$BC$6:$BC$53,INDEX(T_Equipos[Grupo],MATCH(BD18,T_Equipos[NombreEquipo],0)))=1,"-","P."&amp;CE18&amp;" ("&amp;COUNTIFS($CE$6:$CE$53,CE18,$BC$6:$BC$53,INDEX(T_Equipos[Grupo],MATCH(BD18,T_Equipos[NombreEquipo],0)))&amp;")")</f>
        <v>-</v>
      </c>
      <c r="CG18" s="632" t="str">
        <f t="shared" ca="1" si="42"/>
        <v>-</v>
      </c>
      <c r="CH18" s="632" t="str">
        <f t="shared" ca="1" si="43"/>
        <v>-</v>
      </c>
      <c r="CI18" s="632" t="str">
        <f t="shared" ca="1" si="44"/>
        <v>-</v>
      </c>
      <c r="CJ18" s="632" t="str">
        <f t="shared" ca="1" si="45"/>
        <v>-</v>
      </c>
      <c r="CK18" s="632">
        <f ca="1">CE18+COUNTIFS($CF$6:$CF$53,CF18,$CJ$6:CJ$53,"&gt;"&amp;CJ18,$BC$6:$BC$53,INDEX(T_Equipos[Grupo],MATCH(BD18,T_Equipos[NombreEquipo],0)))</f>
        <v>1</v>
      </c>
      <c r="CL18" s="631" t="str">
        <f ca="1">IF(COUNTIFS($CK$6:$CK$53,CK18,$BC$6:$BC$53,INDEX(T_Equipos[Grupo],MATCH(BD18,T_Equipos[NombreEquipo],0)))=1,"-","P."&amp;CK18&amp;" ("&amp;COUNTIFS($CK$6:$CK$53,CK18,$BC$6:$BC$53,INDEX(T_Equipos[Grupo],MATCH(BD18,T_Equipos[NombreEquipo],0)))&amp;")")</f>
        <v>-</v>
      </c>
      <c r="CM18" s="632" t="str">
        <f t="shared" ca="1" si="46"/>
        <v>-</v>
      </c>
      <c r="CN18" s="632" t="str">
        <f t="shared" ca="1" si="47"/>
        <v>-</v>
      </c>
      <c r="CO18" s="632" t="str">
        <f t="shared" ca="1" si="48"/>
        <v>-</v>
      </c>
      <c r="CP18" s="632">
        <f ca="1">CK18+COUNTIFS($CL$6:$CL$53,CL18,$CO$6:CO$53,"&gt;"&amp;CO18,$BC$6:$BC$53,INDEX(T_Equipos[Grupo],MATCH(BD18,T_Equipos[NombreEquipo],0)))</f>
        <v>1</v>
      </c>
      <c r="CQ18" s="631" t="str">
        <f ca="1">IF(COUNTIFS($CP$6:$CP$53,CP18,$BC$6:$BC$53,INDEX(T_Equipos[Grupo],MATCH(BD18,T_Equipos[NombreEquipo],0)))=1,"-","P."&amp;CP18&amp;" ("&amp;COUNTIFS($CP$6:$CP$53,CP18,$BC$6:$BC$53,INDEX(T_Equipos[Grupo],MATCH(BD18,T_Equipos[NombreEquipo],0)))&amp;")")</f>
        <v>-</v>
      </c>
      <c r="CR18" s="632" t="str">
        <f t="shared" ca="1" si="49"/>
        <v>-</v>
      </c>
      <c r="CS18" s="632">
        <f ca="1">CP18+COUNTIFS($CQ$6:$CQ$53,CQ18,$CR$6:CR$53,"&gt;"&amp;CR18,$BC$6:$BC$53,INDEX(T_Equipos[Grupo],MATCH(BD18,T_Equipos[NombreEquipo],0)))</f>
        <v>1</v>
      </c>
      <c r="CT18" s="631" t="str">
        <f ca="1">IF(COUNTIFS($CS$6:$CS$53,CS18,$BC$6:$BC$53,INDEX(T_Equipos[Grupo],MATCH(BD18,T_Equipos[NombreEquipo],0)))=1,"-","P."&amp;CS18&amp;" ("&amp;COUNTIFS($CS$6:$CS$53,CS18,$BC$6:$BC$53,INDEX(T_Equipos[Grupo],MATCH(BD18,T_Equipos[NombreEquipo],0)))&amp;")")</f>
        <v>-</v>
      </c>
      <c r="CU18" s="631" t="str">
        <f t="shared" ca="1" si="28"/>
        <v>-</v>
      </c>
      <c r="CV18" s="631">
        <f ca="1">CS18+COUNTIFS($CT$6:$CT$53,CT18,$CU$6:CU$53,"&gt;"&amp;CU18,$BC$6:$BC$53,INDEX(T_Equipos[Grupo],MATCH(BD18,T_Equipos[NombreEquipo],0)))</f>
        <v>1</v>
      </c>
      <c r="CW18" s="631" t="str">
        <f ca="1">IF(COUNTIFS($CV$6:$CV$53,CV18,$BC$6:$BC$53,INDEX(T_Equipos[Grupo],MATCH(BD18,T_Equipos[NombreEquipo],0)))=1,"-","P."&amp;CV18&amp;" ("&amp;COUNTIFS($CV$6:$CV$53,CV18,$BC$6:$BC$53,INDEX(T_Equipos[Grupo],MATCH(BD18,T_Equipos[NombreEquipo],0)))&amp;")")</f>
        <v>-</v>
      </c>
      <c r="CX18" s="631" t="str">
        <f t="shared" ca="1" si="29"/>
        <v>-</v>
      </c>
      <c r="CY18" s="632">
        <f ca="1">CV18+COUNTIFS($CW$6:$CW$53,CW18,$CX$6:CX$53,"&gt;"&amp;CX18,$BC$6:$BC$53,INDEX(T_Equipos[Grupo],MATCH(BD18,T_Equipos[NombreEquipo],0)))</f>
        <v>1</v>
      </c>
      <c r="CZ18" s="631" t="str">
        <f ca="1">IF(COUNTIFS($CY$6:$CY$53,CY18,$BC$6:$BC$53,INDEX(T_Equipos[Grupo],MATCH(BD18,T_Equipos[NombreEquipo],0)))=1,"-","P."&amp;CY18&amp;" ("&amp;COUNTIFS($CY$6:$CY$53,CY18,$BC$6:$BC$53,INDEX(T_Equipos[Grupo],MATCH(BD18,T_Equipos[NombreEquipo],0)))&amp;")")</f>
        <v>-</v>
      </c>
      <c r="DA18" s="633" t="str">
        <f ca="1">IF(CZ18="-","-",COUNTIFS(T_Equipos[Rank],"&lt;"&amp;INDEX(T_Equipos[Rank],MATCH(BD18,T_Equipos[NombreEquipo],0)),$BC$6:$BC$53,INDEX(T_Equipos[Grupo],MATCH(BD18,T_Equipos[NombreEquipo],0)))+1)</f>
        <v>-</v>
      </c>
      <c r="DB18" s="630">
        <f ca="1">CY18+COUNTIFS($CZ$6:$CZ$53,CZ18,$DA$6:DA$53,"&lt;"&amp;DA18,$BC$6:$BC$53,INDEX(T_Equipos[Grupo],MATCH(BD18,T_Equipos[NombreEquipo],0)))</f>
        <v>1</v>
      </c>
      <c r="DC18" s="630"/>
      <c r="DD18" s="630">
        <f t="shared" ca="1" si="50"/>
        <v>1</v>
      </c>
      <c r="DE18" s="630" t="str">
        <f ca="1">IF(CZ18="-","-",COUNTIFS(DD$6:DD$53,"&lt;"&amp;DD18,$BC$6:$BC$53,INDEX(T_Equipos[Grupo],MATCH(BD18,T_Equipos[NombreEquipo],0))))</f>
        <v>-</v>
      </c>
      <c r="DF18" s="630">
        <f ca="1">CY18+COUNTIFS(CZ$6:CZ$53,CZ18,DE$6:DE$53,"&lt;"&amp;DE18,$BC$6:$BC$53,INDEX(T_Equipos[Grupo],MATCH(BD18,T_Equipos[NombreEquipo],0)))</f>
        <v>1</v>
      </c>
      <c r="DH18" s="10">
        <f t="shared" ca="1" si="51"/>
        <v>1</v>
      </c>
      <c r="DI18" s="10">
        <f t="shared" ca="1" si="24"/>
        <v>12</v>
      </c>
      <c r="DJ18" s="10">
        <f t="shared" ca="1" si="31"/>
        <v>1</v>
      </c>
      <c r="DK18" s="19" t="str">
        <f t="shared" ca="1" si="32"/>
        <v>1.1</v>
      </c>
      <c r="DL18" s="10" cm="1">
        <f t="array" aca="1" ref="DL18" ca="1">OFFSET(Horarios!$P$3,DH18-1,0,DJ18,1)</f>
        <v>1</v>
      </c>
      <c r="DN18" s="10" t="s">
        <v>677</v>
      </c>
      <c r="DO18" s="10" t="str">
        <f t="shared" ca="1" si="33"/>
        <v>Estados Unidos</v>
      </c>
    </row>
    <row r="19" spans="1:119" ht="15" thickBot="1">
      <c r="A19" s="643"/>
      <c r="B19" s="11"/>
      <c r="C19" s="643"/>
      <c r="D19" s="643"/>
      <c r="E19" s="643"/>
      <c r="F19" s="643"/>
      <c r="G19" s="643"/>
      <c r="H19" s="643"/>
      <c r="I19" s="643"/>
      <c r="J19" s="643"/>
      <c r="K19" s="643"/>
      <c r="L19" s="643"/>
      <c r="M19" s="643"/>
      <c r="N19" s="10"/>
      <c r="O19" s="10"/>
      <c r="P19" s="10"/>
      <c r="Q19" s="10"/>
      <c r="R19" s="10"/>
      <c r="S19" s="10"/>
      <c r="T19" s="10"/>
      <c r="U19" s="10"/>
      <c r="V19" s="20"/>
      <c r="W19" s="9"/>
      <c r="X19" s="77" t="str">
        <f>X3</f>
        <v>Fecha</v>
      </c>
      <c r="Y19" s="77" t="str">
        <f>Y3</f>
        <v>Hora</v>
      </c>
      <c r="Z19" s="63" t="str">
        <f>Z3</f>
        <v>Jor.</v>
      </c>
      <c r="AA19" s="65" t="str">
        <f>AA3</f>
        <v>Casa</v>
      </c>
      <c r="AB19" s="64"/>
      <c r="AC19" s="63" t="str">
        <f>AC3</f>
        <v>Gol</v>
      </c>
      <c r="AD19" s="63" t="str">
        <f>AD3</f>
        <v>Gol</v>
      </c>
      <c r="AE19" s="64"/>
      <c r="AF19" s="66" t="str">
        <f>AF3</f>
        <v>Fuera</v>
      </c>
      <c r="AG19" s="336"/>
      <c r="AH19" s="204"/>
      <c r="AI19" s="188"/>
      <c r="AJ19" s="170"/>
      <c r="AK19" s="172"/>
      <c r="AL19" s="170"/>
      <c r="AM19" s="170"/>
      <c r="AN19" s="170"/>
      <c r="AO19" s="170"/>
      <c r="AP19" s="170"/>
      <c r="AQ19" s="170"/>
      <c r="AR19" s="170"/>
      <c r="AS19" s="170"/>
      <c r="AT19" s="170"/>
      <c r="AU19" s="343"/>
      <c r="AV19" s="197"/>
      <c r="AW19" s="221"/>
      <c r="AX19" s="180"/>
      <c r="AY19" s="162"/>
      <c r="AZ19" s="163"/>
      <c r="BA19" s="155"/>
      <c r="BC19" s="630" t="str">
        <f ca="1">+INDEX(T_Equipos[Grupo],MATCH(WORLDCUP!BD19,T_Equipos[NombreEquipo],0))</f>
        <v>D</v>
      </c>
      <c r="BD19" s="10" t="str">
        <f ca="1">+Equipos!B15</f>
        <v>Paraguay</v>
      </c>
      <c r="BE19" s="424">
        <f t="shared" ca="1" si="16"/>
        <v>4</v>
      </c>
      <c r="BF19" s="424">
        <f t="shared" ca="1" si="25"/>
        <v>3</v>
      </c>
      <c r="BG19" s="424">
        <f t="shared" ca="1" si="17"/>
        <v>1</v>
      </c>
      <c r="BH19" s="424">
        <f t="shared" ca="1" si="18"/>
        <v>1</v>
      </c>
      <c r="BI19" s="424">
        <f t="shared" ca="1" si="19"/>
        <v>1</v>
      </c>
      <c r="BJ19" s="424">
        <f t="shared" ca="1" si="20"/>
        <v>2</v>
      </c>
      <c r="BK19" s="424">
        <f t="shared" ca="1" si="21"/>
        <v>2</v>
      </c>
      <c r="BL19" s="424">
        <f t="shared" ca="1" si="26"/>
        <v>0</v>
      </c>
      <c r="BM19" s="424" t="str">
        <f t="shared" ca="1" si="22"/>
        <v>2D</v>
      </c>
      <c r="BN19" s="424" t="str">
        <f t="shared" ca="1" si="23"/>
        <v>2D</v>
      </c>
      <c r="BO19" s="630"/>
      <c r="BP19" s="632">
        <f t="shared" ca="1" si="27"/>
        <v>4</v>
      </c>
      <c r="BQ19" s="631">
        <f ca="1">COUNTIFS($BE$6:$BE$53,"&gt;"&amp;BE19,$BC$6:$BC$53,INDEX(T_Equipos[Grupo],MATCH(BD19,T_Equipos[NombreEquipo],0)))+1</f>
        <v>2</v>
      </c>
      <c r="BR19" s="631" t="str">
        <f ca="1">IF(COUNTIFS($BQ$6:$BQ$53,BQ19,$BC$6:$BC$53,INDEX(T_Equipos[Grupo],MATCH(BD19,T_Equipos[NombreEquipo],0)))=1,"-","P."&amp;BQ19&amp;" ("&amp;COUNTIFS($BQ$6:$BQ$53,BQ19,$BC$6:$BC$53,INDEX(T_Equipos[Grupo],MATCH(BD19,T_Equipos[NombreEquipo],0)))&amp;")")</f>
        <v>-</v>
      </c>
      <c r="BS19" s="632" t="str">
        <f t="shared" ca="1" si="34"/>
        <v>-</v>
      </c>
      <c r="BT19" s="632" t="str">
        <f t="shared" ca="1" si="35"/>
        <v>-</v>
      </c>
      <c r="BU19" s="632" t="str">
        <f t="shared" ca="1" si="36"/>
        <v>-</v>
      </c>
      <c r="BV19" s="632" t="str">
        <f t="shared" ca="1" si="37"/>
        <v>-</v>
      </c>
      <c r="BW19" s="632">
        <f ca="1">BQ19+COUNTIFS($BR$6:$BR$53,BR19,$BV$6:BV$53,"&gt;"&amp;BV19,$BC$6:$BC$53,INDEX(T_Equipos[Grupo],MATCH(BD19,T_Equipos[NombreEquipo],0)))</f>
        <v>2</v>
      </c>
      <c r="BX19" s="631" t="str">
        <f ca="1">IF(COUNTIFS($BW$6:$BW$53,BW19,$BC$6:$BC$53,INDEX(T_Equipos[Grupo],MATCH(BD19,T_Equipos[NombreEquipo],0)))=1,"-","P."&amp;BW19&amp;" ("&amp;COUNTIFS($BW$6:$BW$53,BW19,$BC$6:$BC$53,INDEX(T_Equipos[Grupo],MATCH(BD19,T_Equipos[NombreEquipo],0)))&amp;")")</f>
        <v>-</v>
      </c>
      <c r="BY19" s="632" t="str">
        <f t="shared" ca="1" si="38"/>
        <v>-</v>
      </c>
      <c r="BZ19" s="632" t="str">
        <f t="shared" ca="1" si="39"/>
        <v>-</v>
      </c>
      <c r="CA19" s="632" t="str">
        <f t="shared" ca="1" si="40"/>
        <v>-</v>
      </c>
      <c r="CB19" s="632">
        <f ca="1">BW19+COUNTIFS($BX$6:$BX$53,BX19,$CA$6:CA$53,"&gt;"&amp;CA19,$BC$6:$BC$53,INDEX(T_Equipos[Grupo],MATCH(BD19,T_Equipos[NombreEquipo],0)))</f>
        <v>2</v>
      </c>
      <c r="CC19" s="631" t="str">
        <f ca="1">IF(COUNTIFS($CB$6:$CB$53,CB19,$BC$6:$BC$53,INDEX(T_Equipos[Grupo],MATCH(BD19,T_Equipos[NombreEquipo],0)))=1,"-","P."&amp;CB19&amp;" ("&amp;COUNTIFS($CB$6:$CB$53,CB19,$BC$6:$BC$53,INDEX(T_Equipos[Grupo],MATCH(BD19,T_Equipos[NombreEquipo],0)))&amp;")")</f>
        <v>-</v>
      </c>
      <c r="CD19" s="632" t="str">
        <f t="shared" ca="1" si="41"/>
        <v>-</v>
      </c>
      <c r="CE19" s="632">
        <f ca="1">CB19+COUNTIFS($CC$6:$CC$53,CC19,$CD$6:CD$53,"&gt;"&amp;CD19,$BC$6:$BC$53,INDEX(T_Equipos[Grupo],MATCH(BD19,T_Equipos[NombreEquipo],0)))</f>
        <v>2</v>
      </c>
      <c r="CF19" s="631" t="str">
        <f ca="1">IF(COUNTIFS($CE$6:$CE$53,CE19,$BC$6:$BC$53,INDEX(T_Equipos[Grupo],MATCH(BD19,T_Equipos[NombreEquipo],0)))=1,"-","P."&amp;CE19&amp;" ("&amp;COUNTIFS($CE$6:$CE$53,CE19,$BC$6:$BC$53,INDEX(T_Equipos[Grupo],MATCH(BD19,T_Equipos[NombreEquipo],0)))&amp;")")</f>
        <v>-</v>
      </c>
      <c r="CG19" s="632" t="str">
        <f t="shared" ca="1" si="42"/>
        <v>-</v>
      </c>
      <c r="CH19" s="632" t="str">
        <f t="shared" ca="1" si="43"/>
        <v>-</v>
      </c>
      <c r="CI19" s="632" t="str">
        <f t="shared" ca="1" si="44"/>
        <v>-</v>
      </c>
      <c r="CJ19" s="632" t="str">
        <f t="shared" ca="1" si="45"/>
        <v>-</v>
      </c>
      <c r="CK19" s="632">
        <f ca="1">CE19+COUNTIFS($CF$6:$CF$53,CF19,$CJ$6:CJ$53,"&gt;"&amp;CJ19,$BC$6:$BC$53,INDEX(T_Equipos[Grupo],MATCH(BD19,T_Equipos[NombreEquipo],0)))</f>
        <v>2</v>
      </c>
      <c r="CL19" s="631" t="str">
        <f ca="1">IF(COUNTIFS($CK$6:$CK$53,CK19,$BC$6:$BC$53,INDEX(T_Equipos[Grupo],MATCH(BD19,T_Equipos[NombreEquipo],0)))=1,"-","P."&amp;CK19&amp;" ("&amp;COUNTIFS($CK$6:$CK$53,CK19,$BC$6:$BC$53,INDEX(T_Equipos[Grupo],MATCH(BD19,T_Equipos[NombreEquipo],0)))&amp;")")</f>
        <v>-</v>
      </c>
      <c r="CM19" s="632" t="str">
        <f t="shared" ca="1" si="46"/>
        <v>-</v>
      </c>
      <c r="CN19" s="632" t="str">
        <f t="shared" ca="1" si="47"/>
        <v>-</v>
      </c>
      <c r="CO19" s="632" t="str">
        <f t="shared" ca="1" si="48"/>
        <v>-</v>
      </c>
      <c r="CP19" s="632">
        <f ca="1">CK19+COUNTIFS($CL$6:$CL$53,CL19,$CO$6:CO$53,"&gt;"&amp;CO19,$BC$6:$BC$53,INDEX(T_Equipos[Grupo],MATCH(BD19,T_Equipos[NombreEquipo],0)))</f>
        <v>2</v>
      </c>
      <c r="CQ19" s="631" t="str">
        <f ca="1">IF(COUNTIFS($CP$6:$CP$53,CP19,$BC$6:$BC$53,INDEX(T_Equipos[Grupo],MATCH(BD19,T_Equipos[NombreEquipo],0)))=1,"-","P."&amp;CP19&amp;" ("&amp;COUNTIFS($CP$6:$CP$53,CP19,$BC$6:$BC$53,INDEX(T_Equipos[Grupo],MATCH(BD19,T_Equipos[NombreEquipo],0)))&amp;")")</f>
        <v>-</v>
      </c>
      <c r="CR19" s="632" t="str">
        <f t="shared" ca="1" si="49"/>
        <v>-</v>
      </c>
      <c r="CS19" s="632">
        <f ca="1">CP19+COUNTIFS($CQ$6:$CQ$53,CQ19,$CR$6:CR$53,"&gt;"&amp;CR19,$BC$6:$BC$53,INDEX(T_Equipos[Grupo],MATCH(BD19,T_Equipos[NombreEquipo],0)))</f>
        <v>2</v>
      </c>
      <c r="CT19" s="631" t="str">
        <f ca="1">IF(COUNTIFS($CS$6:$CS$53,CS19,$BC$6:$BC$53,INDEX(T_Equipos[Grupo],MATCH(BD19,T_Equipos[NombreEquipo],0)))=1,"-","P."&amp;CS19&amp;" ("&amp;COUNTIFS($CS$6:$CS$53,CS19,$BC$6:$BC$53,INDEX(T_Equipos[Grupo],MATCH(BD19,T_Equipos[NombreEquipo],0)))&amp;")")</f>
        <v>-</v>
      </c>
      <c r="CU19" s="631" t="str">
        <f t="shared" ca="1" si="28"/>
        <v>-</v>
      </c>
      <c r="CV19" s="631">
        <f ca="1">CS19+COUNTIFS($CT$6:$CT$53,CT19,$CU$6:CU$53,"&gt;"&amp;CU19,$BC$6:$BC$53,INDEX(T_Equipos[Grupo],MATCH(BD19,T_Equipos[NombreEquipo],0)))</f>
        <v>2</v>
      </c>
      <c r="CW19" s="631" t="str">
        <f ca="1">IF(COUNTIFS($CV$6:$CV$53,CV19,$BC$6:$BC$53,INDEX(T_Equipos[Grupo],MATCH(BD19,T_Equipos[NombreEquipo],0)))=1,"-","P."&amp;CV19&amp;" ("&amp;COUNTIFS($CV$6:$CV$53,CV19,$BC$6:$BC$53,INDEX(T_Equipos[Grupo],MATCH(BD19,T_Equipos[NombreEquipo],0)))&amp;")")</f>
        <v>-</v>
      </c>
      <c r="CX19" s="631" t="str">
        <f t="shared" ca="1" si="29"/>
        <v>-</v>
      </c>
      <c r="CY19" s="632">
        <f ca="1">CV19+COUNTIFS($CW$6:$CW$53,CW19,$CX$6:CX$53,"&gt;"&amp;CX19,$BC$6:$BC$53,INDEX(T_Equipos[Grupo],MATCH(BD19,T_Equipos[NombreEquipo],0)))</f>
        <v>2</v>
      </c>
      <c r="CZ19" s="631" t="str">
        <f ca="1">IF(COUNTIFS($CY$6:$CY$53,CY19,$BC$6:$BC$53,INDEX(T_Equipos[Grupo],MATCH(BD19,T_Equipos[NombreEquipo],0)))=1,"-","P."&amp;CY19&amp;" ("&amp;COUNTIFS($CY$6:$CY$53,CY19,$BC$6:$BC$53,INDEX(T_Equipos[Grupo],MATCH(BD19,T_Equipos[NombreEquipo],0)))&amp;")")</f>
        <v>-</v>
      </c>
      <c r="DA19" s="633" t="str">
        <f ca="1">IF(CZ19="-","-",COUNTIFS(T_Equipos[Rank],"&lt;"&amp;INDEX(T_Equipos[Rank],MATCH(BD19,T_Equipos[NombreEquipo],0)),$BC$6:$BC$53,INDEX(T_Equipos[Grupo],MATCH(BD19,T_Equipos[NombreEquipo],0)))+1)</f>
        <v>-</v>
      </c>
      <c r="DB19" s="630">
        <f ca="1">CY19+COUNTIFS($CZ$6:$CZ$53,CZ19,$DA$6:DA$53,"&lt;"&amp;DA19,$BC$6:$BC$53,INDEX(T_Equipos[Grupo],MATCH(BD19,T_Equipos[NombreEquipo],0)))</f>
        <v>2</v>
      </c>
      <c r="DC19" s="630"/>
      <c r="DD19" s="630">
        <f t="shared" ca="1" si="50"/>
        <v>2</v>
      </c>
      <c r="DE19" s="630" t="str">
        <f ca="1">IF(CZ19="-","-",COUNTIFS(DD$6:DD$53,"&lt;"&amp;DD19,$BC$6:$BC$53,INDEX(T_Equipos[Grupo],MATCH(BD19,T_Equipos[NombreEquipo],0))))</f>
        <v>-</v>
      </c>
      <c r="DF19" s="630">
        <f ca="1">CY19+COUNTIFS(CZ$6:CZ$53,CZ19,DE$6:DE$53,"&lt;"&amp;DE19,$BC$6:$BC$53,INDEX(T_Equipos[Grupo],MATCH(BD19,T_Equipos[NombreEquipo],0)))</f>
        <v>2</v>
      </c>
      <c r="DH19" s="10">
        <f t="shared" ca="1" si="51"/>
        <v>2</v>
      </c>
      <c r="DI19" s="10">
        <f t="shared" ca="1" si="24"/>
        <v>12</v>
      </c>
      <c r="DJ19" s="10">
        <f t="shared" ca="1" si="31"/>
        <v>1</v>
      </c>
      <c r="DK19" s="19" t="str">
        <f t="shared" ca="1" si="32"/>
        <v>2.1</v>
      </c>
      <c r="DL19" s="10" cm="1">
        <f t="array" aca="1" ref="DL19" ca="1">OFFSET(Horarios!$P$3,DH19-1,0,DJ19,1)</f>
        <v>2</v>
      </c>
      <c r="DN19" s="10" t="s">
        <v>678</v>
      </c>
      <c r="DO19" s="10" t="str">
        <f t="shared" ca="1" si="33"/>
        <v>Paraguay</v>
      </c>
    </row>
    <row r="20" spans="1:119" ht="15" customHeight="1" thickBot="1">
      <c r="A20" s="645" t="s">
        <v>32</v>
      </c>
      <c r="B20" s="11" t="s">
        <v>2</v>
      </c>
      <c r="C20" s="441">
        <f>COUNTIF(Equipos!$C$2:$C$49,WORLDCUP!B20)</f>
        <v>4</v>
      </c>
      <c r="D20" s="10" t="str">
        <f t="shared" ref="D20:D25" si="70">IF(OR(AC20="",AD20=""),"Pendiente",IF(AC20&gt;AD20,"Local",IF(AC20&lt;AD20,"Visitante","Empate")))</f>
        <v>Local</v>
      </c>
      <c r="E20" s="10" t="str">
        <f t="shared" ref="E20:E25" ca="1" si="71">IF(D20="Pendiente","-",INDEX($BR$6:$BR$53,MATCH($AA20,$BD$6:$BD$53,0)))</f>
        <v>-</v>
      </c>
      <c r="F20" s="10" t="str">
        <f t="shared" ref="F20:F25" ca="1" si="72">IF(D20="Pendiente","-",INDEX($BR$6:$BR$53,MATCH($AF20,$BD$6:$BD$53,0)))</f>
        <v>-</v>
      </c>
      <c r="G20" s="10"/>
      <c r="H20" s="10" t="str">
        <f t="shared" ref="H20:H25" ca="1" si="73">IF(D20="Pendiente","-",INDEX($BX$6:$BX$53,MATCH($AA20,$BD$6:$BD$53,0)))</f>
        <v>-</v>
      </c>
      <c r="I20" s="10" t="str">
        <f t="shared" ref="I20:I25" ca="1" si="74">IF(D20="Pendiente","-",INDEX($BX$6:$BX$53,MATCH($AF20,$BD$6:$BD$53,0)))</f>
        <v>-</v>
      </c>
      <c r="J20" s="10"/>
      <c r="K20" s="10" t="str">
        <f t="shared" ref="K20:K25" ca="1" si="75">IF(D20="Pendiente","-",INDEX($CC$6:$CC$53,MATCH($AA20,$BD$6:$BD$53,0)))</f>
        <v>-</v>
      </c>
      <c r="L20" s="10" t="str">
        <f t="shared" ref="L20:L25" ca="1" si="76">IF(D20="Pendiente","-",INDEX($CC$6:$CC$53,MATCH($AF20,$BD$6:$BD$53,0)))</f>
        <v>-</v>
      </c>
      <c r="M20" s="10"/>
      <c r="N20" s="10" t="str">
        <f t="shared" ref="N20:N25" ca="1" si="77">IF(D20="Pendiente","-",INDEX($CF$6:$CF$53,MATCH($AA20,$BD$6:$BD$53,0)))</f>
        <v>-</v>
      </c>
      <c r="O20" s="10" t="str">
        <f t="shared" ref="O20:O25" ca="1" si="78">IF(D20="Pendiente","-",INDEX($CF$6:$CF$53,MATCH($AF20,$BD$6:$BD$53,0)))</f>
        <v>-</v>
      </c>
      <c r="P20" s="10"/>
      <c r="Q20" s="10" t="str">
        <f t="shared" ref="Q20:Q25" ca="1" si="79">IF(D20="Pendiente","-",INDEX($CL$6:$CL$53,MATCH($AA20,$BD$6:$BD$53,0)))</f>
        <v>-</v>
      </c>
      <c r="R20" s="10" t="str">
        <f t="shared" ref="R20:R25" ca="1" si="80">IF(D20="Pendiente","-",INDEX($CL$6:$CL$53,MATCH($AF20,$BD$6:$BD$53,0)))</f>
        <v>-</v>
      </c>
      <c r="S20" s="10"/>
      <c r="T20" s="10" t="str">
        <f t="shared" ref="T20:T25" ca="1" si="81">IF(D20="Pendiente","-",INDEX($CQ$6:$CQ$53,MATCH($AA20,$BD$6:$BD$53,0)))</f>
        <v>-</v>
      </c>
      <c r="U20" s="10" t="str">
        <f t="shared" ref="U20:U25" ca="1" si="82">IF(D20="Pendiente","-",INDEX($CQ$6:$CQ$53,MATCH($AF20,$BD$6:$BD$53,0)))</f>
        <v>-</v>
      </c>
      <c r="V20" s="20"/>
      <c r="W20" s="692" t="s">
        <v>2</v>
      </c>
      <c r="X20" s="27">
        <f ca="1">Horarios!C20</f>
        <v>46187</v>
      </c>
      <c r="Y20" s="28">
        <f ca="1">Horarios!C20</f>
        <v>46187</v>
      </c>
      <c r="Z20" s="29" t="str">
        <f>$Z$4</f>
        <v>J1</v>
      </c>
      <c r="AA20" s="30" t="str">
        <f ca="1">A21</f>
        <v>Brasil</v>
      </c>
      <c r="AB20" s="55" t="str">
        <f ca="1">+INDEX(Equipos!$L$2:$L$49,MATCH(WORLDCUP!AA20,Equipos!$K$2:$K$49,0))</f>
        <v>🇧🇷</v>
      </c>
      <c r="AC20" s="56">
        <v>2</v>
      </c>
      <c r="AD20" s="57">
        <v>1</v>
      </c>
      <c r="AE20" s="58" t="str">
        <f ca="1">+INDEX(Equipos!$L$2:$L$49,MATCH(WORLDCUP!AF20,Equipos!$K$2:$K$49,0))</f>
        <v>🇲🇦</v>
      </c>
      <c r="AF20" s="35" t="str">
        <f ca="1">A22</f>
        <v>Marruecos</v>
      </c>
      <c r="AG20" s="335">
        <f t="shared" ref="AG20:AG25" si="83">IF(NOT(OR(ISBLANK(AC20),ISBLANK(AD20))),1,0)</f>
        <v>1</v>
      </c>
      <c r="AH20" s="204">
        <v>5</v>
      </c>
      <c r="AI20" s="190"/>
      <c r="AJ20" s="67" t="str">
        <f>CONCATENATE(AJ3," ",B20)</f>
        <v>Grupo C</v>
      </c>
      <c r="AK20" s="68"/>
      <c r="AL20" s="68"/>
      <c r="AM20" s="68"/>
      <c r="AN20" s="68"/>
      <c r="AO20" s="68"/>
      <c r="AP20" s="68"/>
      <c r="AQ20" s="68"/>
      <c r="AR20" s="68"/>
      <c r="AS20" s="68"/>
      <c r="AT20" s="69"/>
      <c r="AU20" s="343"/>
      <c r="AV20" s="295" t="str">
        <f ca="1">IF(AU21&gt;0,$AV$3,"")</f>
        <v/>
      </c>
      <c r="AW20" s="175"/>
      <c r="AX20" s="175"/>
      <c r="AY20" s="162"/>
      <c r="AZ20" s="163"/>
      <c r="BA20" s="155"/>
      <c r="BC20" s="630" t="str">
        <f ca="1">+INDEX(T_Equipos[Grupo],MATCH(WORLDCUP!BD20,T_Equipos[NombreEquipo],0))</f>
        <v>D</v>
      </c>
      <c r="BD20" s="10" t="str">
        <f ca="1">+Equipos!B16</f>
        <v>Australia</v>
      </c>
      <c r="BE20" s="424">
        <f t="shared" ca="1" si="16"/>
        <v>2</v>
      </c>
      <c r="BF20" s="424">
        <f t="shared" ca="1" si="25"/>
        <v>3</v>
      </c>
      <c r="BG20" s="424">
        <f t="shared" ca="1" si="17"/>
        <v>0</v>
      </c>
      <c r="BH20" s="424">
        <f t="shared" ca="1" si="18"/>
        <v>2</v>
      </c>
      <c r="BI20" s="424">
        <f t="shared" ca="1" si="19"/>
        <v>1</v>
      </c>
      <c r="BJ20" s="424">
        <f t="shared" ca="1" si="20"/>
        <v>1</v>
      </c>
      <c r="BK20" s="424">
        <f t="shared" ca="1" si="21"/>
        <v>3</v>
      </c>
      <c r="BL20" s="424">
        <f t="shared" ca="1" si="26"/>
        <v>-2</v>
      </c>
      <c r="BM20" s="424" t="str">
        <f t="shared" ca="1" si="22"/>
        <v>3D</v>
      </c>
      <c r="BN20" s="424" t="str">
        <f t="shared" ca="1" si="23"/>
        <v>3D</v>
      </c>
      <c r="BO20" s="630"/>
      <c r="BP20" s="632">
        <f t="shared" ca="1" si="27"/>
        <v>2</v>
      </c>
      <c r="BQ20" s="631">
        <f ca="1">COUNTIFS($BE$6:$BE$53,"&gt;"&amp;BE20,$BC$6:$BC$53,INDEX(T_Equipos[Grupo],MATCH(BD20,T_Equipos[NombreEquipo],0)))+1</f>
        <v>3</v>
      </c>
      <c r="BR20" s="631" t="str">
        <f ca="1">IF(COUNTIFS($BQ$6:$BQ$53,BQ20,$BC$6:$BC$53,INDEX(T_Equipos[Grupo],MATCH(BD20,T_Equipos[NombreEquipo],0)))=1,"-","P."&amp;BQ20&amp;" ("&amp;COUNTIFS($BQ$6:$BQ$53,BQ20,$BC$6:$BC$53,INDEX(T_Equipos[Grupo],MATCH(BD20,T_Equipos[NombreEquipo],0)))&amp;")")</f>
        <v>-</v>
      </c>
      <c r="BS20" s="632" t="str">
        <f t="shared" ca="1" si="34"/>
        <v>-</v>
      </c>
      <c r="BT20" s="632" t="str">
        <f t="shared" ca="1" si="35"/>
        <v>-</v>
      </c>
      <c r="BU20" s="632" t="str">
        <f t="shared" ca="1" si="36"/>
        <v>-</v>
      </c>
      <c r="BV20" s="632" t="str">
        <f t="shared" ca="1" si="37"/>
        <v>-</v>
      </c>
      <c r="BW20" s="632">
        <f ca="1">BQ20+COUNTIFS($BR$6:$BR$53,BR20,$BV$6:BV$53,"&gt;"&amp;BV20,$BC$6:$BC$53,INDEX(T_Equipos[Grupo],MATCH(BD20,T_Equipos[NombreEquipo],0)))</f>
        <v>3</v>
      </c>
      <c r="BX20" s="631" t="str">
        <f ca="1">IF(COUNTIFS($BW$6:$BW$53,BW20,$BC$6:$BC$53,INDEX(T_Equipos[Grupo],MATCH(BD20,T_Equipos[NombreEquipo],0)))=1,"-","P."&amp;BW20&amp;" ("&amp;COUNTIFS($BW$6:$BW$53,BW20,$BC$6:$BC$53,INDEX(T_Equipos[Grupo],MATCH(BD20,T_Equipos[NombreEquipo],0)))&amp;")")</f>
        <v>-</v>
      </c>
      <c r="BY20" s="632" t="str">
        <f t="shared" ca="1" si="38"/>
        <v>-</v>
      </c>
      <c r="BZ20" s="632" t="str">
        <f t="shared" ca="1" si="39"/>
        <v>-</v>
      </c>
      <c r="CA20" s="632" t="str">
        <f t="shared" ca="1" si="40"/>
        <v>-</v>
      </c>
      <c r="CB20" s="632">
        <f ca="1">BW20+COUNTIFS($BX$6:$BX$53,BX20,$CA$6:CA$53,"&gt;"&amp;CA20,$BC$6:$BC$53,INDEX(T_Equipos[Grupo],MATCH(BD20,T_Equipos[NombreEquipo],0)))</f>
        <v>3</v>
      </c>
      <c r="CC20" s="631" t="str">
        <f ca="1">IF(COUNTIFS($CB$6:$CB$53,CB20,$BC$6:$BC$53,INDEX(T_Equipos[Grupo],MATCH(BD20,T_Equipos[NombreEquipo],0)))=1,"-","P."&amp;CB20&amp;" ("&amp;COUNTIFS($CB$6:$CB$53,CB20,$BC$6:$BC$53,INDEX(T_Equipos[Grupo],MATCH(BD20,T_Equipos[NombreEquipo],0)))&amp;")")</f>
        <v>-</v>
      </c>
      <c r="CD20" s="632" t="str">
        <f t="shared" ca="1" si="41"/>
        <v>-</v>
      </c>
      <c r="CE20" s="632">
        <f ca="1">CB20+COUNTIFS($CC$6:$CC$53,CC20,$CD$6:CD$53,"&gt;"&amp;CD20,$BC$6:$BC$53,INDEX(T_Equipos[Grupo],MATCH(BD20,T_Equipos[NombreEquipo],0)))</f>
        <v>3</v>
      </c>
      <c r="CF20" s="631" t="str">
        <f ca="1">IF(COUNTIFS($CE$6:$CE$53,CE20,$BC$6:$BC$53,INDEX(T_Equipos[Grupo],MATCH(BD20,T_Equipos[NombreEquipo],0)))=1,"-","P."&amp;CE20&amp;" ("&amp;COUNTIFS($CE$6:$CE$53,CE20,$BC$6:$BC$53,INDEX(T_Equipos[Grupo],MATCH(BD20,T_Equipos[NombreEquipo],0)))&amp;")")</f>
        <v>-</v>
      </c>
      <c r="CG20" s="632" t="str">
        <f t="shared" ca="1" si="42"/>
        <v>-</v>
      </c>
      <c r="CH20" s="632" t="str">
        <f t="shared" ca="1" si="43"/>
        <v>-</v>
      </c>
      <c r="CI20" s="632" t="str">
        <f t="shared" ca="1" si="44"/>
        <v>-</v>
      </c>
      <c r="CJ20" s="632" t="str">
        <f t="shared" ca="1" si="45"/>
        <v>-</v>
      </c>
      <c r="CK20" s="632">
        <f ca="1">CE20+COUNTIFS($CF$6:$CF$53,CF20,$CJ$6:CJ$53,"&gt;"&amp;CJ20,$BC$6:$BC$53,INDEX(T_Equipos[Grupo],MATCH(BD20,T_Equipos[NombreEquipo],0)))</f>
        <v>3</v>
      </c>
      <c r="CL20" s="631" t="str">
        <f ca="1">IF(COUNTIFS($CK$6:$CK$53,CK20,$BC$6:$BC$53,INDEX(T_Equipos[Grupo],MATCH(BD20,T_Equipos[NombreEquipo],0)))=1,"-","P."&amp;CK20&amp;" ("&amp;COUNTIFS($CK$6:$CK$53,CK20,$BC$6:$BC$53,INDEX(T_Equipos[Grupo],MATCH(BD20,T_Equipos[NombreEquipo],0)))&amp;")")</f>
        <v>-</v>
      </c>
      <c r="CM20" s="632" t="str">
        <f t="shared" ca="1" si="46"/>
        <v>-</v>
      </c>
      <c r="CN20" s="632" t="str">
        <f t="shared" ca="1" si="47"/>
        <v>-</v>
      </c>
      <c r="CO20" s="632" t="str">
        <f t="shared" ca="1" si="48"/>
        <v>-</v>
      </c>
      <c r="CP20" s="632">
        <f ca="1">CK20+COUNTIFS($CL$6:$CL$53,CL20,$CO$6:CO$53,"&gt;"&amp;CO20,$BC$6:$BC$53,INDEX(T_Equipos[Grupo],MATCH(BD20,T_Equipos[NombreEquipo],0)))</f>
        <v>3</v>
      </c>
      <c r="CQ20" s="631" t="str">
        <f ca="1">IF(COUNTIFS($CP$6:$CP$53,CP20,$BC$6:$BC$53,INDEX(T_Equipos[Grupo],MATCH(BD20,T_Equipos[NombreEquipo],0)))=1,"-","P."&amp;CP20&amp;" ("&amp;COUNTIFS($CP$6:$CP$53,CP20,$BC$6:$BC$53,INDEX(T_Equipos[Grupo],MATCH(BD20,T_Equipos[NombreEquipo],0)))&amp;")")</f>
        <v>-</v>
      </c>
      <c r="CR20" s="632" t="str">
        <f t="shared" ca="1" si="49"/>
        <v>-</v>
      </c>
      <c r="CS20" s="632">
        <f ca="1">CP20+COUNTIFS($CQ$6:$CQ$53,CQ20,$CR$6:CR$53,"&gt;"&amp;CR20,$BC$6:$BC$53,INDEX(T_Equipos[Grupo],MATCH(BD20,T_Equipos[NombreEquipo],0)))</f>
        <v>3</v>
      </c>
      <c r="CT20" s="631" t="str">
        <f ca="1">IF(COUNTIFS($CS$6:$CS$53,CS20,$BC$6:$BC$53,INDEX(T_Equipos[Grupo],MATCH(BD20,T_Equipos[NombreEquipo],0)))=1,"-","P."&amp;CS20&amp;" ("&amp;COUNTIFS($CS$6:$CS$53,CS20,$BC$6:$BC$53,INDEX(T_Equipos[Grupo],MATCH(BD20,T_Equipos[NombreEquipo],0)))&amp;")")</f>
        <v>-</v>
      </c>
      <c r="CU20" s="631" t="str">
        <f t="shared" ca="1" si="28"/>
        <v>-</v>
      </c>
      <c r="CV20" s="631">
        <f ca="1">CS20+COUNTIFS($CT$6:$CT$53,CT20,$CU$6:CU$53,"&gt;"&amp;CU20,$BC$6:$BC$53,INDEX(T_Equipos[Grupo],MATCH(BD20,T_Equipos[NombreEquipo],0)))</f>
        <v>3</v>
      </c>
      <c r="CW20" s="631" t="str">
        <f ca="1">IF(COUNTIFS($CV$6:$CV$53,CV20,$BC$6:$BC$53,INDEX(T_Equipos[Grupo],MATCH(BD20,T_Equipos[NombreEquipo],0)))=1,"-","P."&amp;CV20&amp;" ("&amp;COUNTIFS($CV$6:$CV$53,CV20,$BC$6:$BC$53,INDEX(T_Equipos[Grupo],MATCH(BD20,T_Equipos[NombreEquipo],0)))&amp;")")</f>
        <v>-</v>
      </c>
      <c r="CX20" s="631" t="str">
        <f t="shared" ca="1" si="29"/>
        <v>-</v>
      </c>
      <c r="CY20" s="632">
        <f ca="1">CV20+COUNTIFS($CW$6:$CW$53,CW20,$CX$6:CX$53,"&gt;"&amp;CX20,$BC$6:$BC$53,INDEX(T_Equipos[Grupo],MATCH(BD20,T_Equipos[NombreEquipo],0)))</f>
        <v>3</v>
      </c>
      <c r="CZ20" s="631" t="str">
        <f ca="1">IF(COUNTIFS($CY$6:$CY$53,CY20,$BC$6:$BC$53,INDEX(T_Equipos[Grupo],MATCH(BD20,T_Equipos[NombreEquipo],0)))=1,"-","P."&amp;CY20&amp;" ("&amp;COUNTIFS($CY$6:$CY$53,CY20,$BC$6:$BC$53,INDEX(T_Equipos[Grupo],MATCH(BD20,T_Equipos[NombreEquipo],0)))&amp;")")</f>
        <v>-</v>
      </c>
      <c r="DA20" s="633" t="str">
        <f ca="1">IF(CZ20="-","-",COUNTIFS(T_Equipos[Rank],"&lt;"&amp;INDEX(T_Equipos[Rank],MATCH(BD20,T_Equipos[NombreEquipo],0)),$BC$6:$BC$53,INDEX(T_Equipos[Grupo],MATCH(BD20,T_Equipos[NombreEquipo],0)))+1)</f>
        <v>-</v>
      </c>
      <c r="DB20" s="630">
        <f ca="1">CY20+COUNTIFS($CZ$6:$CZ$53,CZ20,$DA$6:DA$53,"&lt;"&amp;DA20,$BC$6:$BC$53,INDEX(T_Equipos[Grupo],MATCH(BD20,T_Equipos[NombreEquipo],0)))</f>
        <v>3</v>
      </c>
      <c r="DC20" s="630"/>
      <c r="DD20" s="630">
        <f t="shared" ca="1" si="50"/>
        <v>3</v>
      </c>
      <c r="DE20" s="630" t="str">
        <f ca="1">IF(CZ20="-","-",COUNTIFS(DD$6:DD$53,"&lt;"&amp;DD20,$BC$6:$BC$53,INDEX(T_Equipos[Grupo],MATCH(BD20,T_Equipos[NombreEquipo],0))))</f>
        <v>-</v>
      </c>
      <c r="DF20" s="630">
        <f ca="1">CY20+COUNTIFS(CZ$6:CZ$53,CZ20,DE$6:DE$53,"&lt;"&amp;DE20,$BC$6:$BC$53,INDEX(T_Equipos[Grupo],MATCH(BD20,T_Equipos[NombreEquipo],0)))</f>
        <v>3</v>
      </c>
      <c r="DH20" s="10">
        <f t="shared" ca="1" si="51"/>
        <v>3</v>
      </c>
      <c r="DI20" s="10">
        <f t="shared" ca="1" si="24"/>
        <v>12</v>
      </c>
      <c r="DJ20" s="10">
        <f t="shared" ca="1" si="31"/>
        <v>1</v>
      </c>
      <c r="DK20" s="19" t="str">
        <f t="shared" ca="1" si="32"/>
        <v>3.1</v>
      </c>
      <c r="DL20" s="10" cm="1">
        <f t="array" aca="1" ref="DL20" ca="1">OFFSET(Horarios!$P$3,DH20-1,0,DJ20,1)</f>
        <v>3</v>
      </c>
      <c r="DN20" s="10" t="s">
        <v>94</v>
      </c>
      <c r="DO20" s="10" t="str">
        <f t="shared" ca="1" si="33"/>
        <v>Australia</v>
      </c>
    </row>
    <row r="21" spans="1:119" ht="16.05" customHeight="1">
      <c r="A21" s="646" t="str">
        <f ca="1">+Equipos!B10</f>
        <v>Brasil</v>
      </c>
      <c r="B21" s="11"/>
      <c r="C21" s="11"/>
      <c r="D21" s="10" t="str">
        <f t="shared" si="70"/>
        <v>Visitante</v>
      </c>
      <c r="E21" s="10" t="str">
        <f t="shared" ca="1" si="71"/>
        <v>-</v>
      </c>
      <c r="F21" s="10" t="str">
        <f t="shared" ca="1" si="72"/>
        <v>-</v>
      </c>
      <c r="G21" s="10"/>
      <c r="H21" s="10" t="str">
        <f t="shared" ca="1" si="73"/>
        <v>-</v>
      </c>
      <c r="I21" s="10" t="str">
        <f t="shared" ca="1" si="74"/>
        <v>-</v>
      </c>
      <c r="J21" s="10"/>
      <c r="K21" s="10" t="str">
        <f t="shared" ca="1" si="75"/>
        <v>-</v>
      </c>
      <c r="L21" s="10" t="str">
        <f t="shared" ca="1" si="76"/>
        <v>-</v>
      </c>
      <c r="M21" s="10"/>
      <c r="N21" s="10" t="str">
        <f t="shared" ca="1" si="77"/>
        <v>-</v>
      </c>
      <c r="O21" s="10" t="str">
        <f t="shared" ca="1" si="78"/>
        <v>-</v>
      </c>
      <c r="P21" s="10"/>
      <c r="Q21" s="10" t="str">
        <f t="shared" ca="1" si="79"/>
        <v>-</v>
      </c>
      <c r="R21" s="10" t="str">
        <f t="shared" ca="1" si="80"/>
        <v>-</v>
      </c>
      <c r="S21" s="10"/>
      <c r="T21" s="10" t="str">
        <f t="shared" ca="1" si="81"/>
        <v>-</v>
      </c>
      <c r="U21" s="10" t="str">
        <f t="shared" ca="1" si="82"/>
        <v>-</v>
      </c>
      <c r="V21" s="20"/>
      <c r="W21" s="692"/>
      <c r="X21" s="27">
        <f ca="1">Horarios!C21</f>
        <v>46187.125</v>
      </c>
      <c r="Y21" s="28">
        <f ca="1">Horarios!C21</f>
        <v>46187.125</v>
      </c>
      <c r="Z21" s="29" t="str">
        <f>$Z$4</f>
        <v>J1</v>
      </c>
      <c r="AA21" s="30" t="str">
        <f ca="1">A23</f>
        <v>Haití</v>
      </c>
      <c r="AB21" s="55" t="str">
        <f ca="1">+INDEX(Equipos!$L$2:$L$49,MATCH(WORLDCUP!AA21,Equipos!$K$2:$K$49,0))</f>
        <v>🇭🇹</v>
      </c>
      <c r="AC21" s="56">
        <v>0</v>
      </c>
      <c r="AD21" s="57">
        <v>2</v>
      </c>
      <c r="AE21" s="58" t="str">
        <f ca="1">+INDEX(Equipos!$L$2:$L$49,MATCH(WORLDCUP!AF21,Equipos!$K$2:$K$49,0))</f>
        <v>🏴󠁧󠁢󠁳󠁣󠁴󠁿</v>
      </c>
      <c r="AF21" s="35" t="str">
        <f ca="1">A24</f>
        <v>Escocia</v>
      </c>
      <c r="AG21" s="335">
        <f t="shared" si="83"/>
        <v>1</v>
      </c>
      <c r="AH21" s="204">
        <v>7</v>
      </c>
      <c r="AI21" s="190"/>
      <c r="AJ21" s="70" t="str">
        <f>AJ5</f>
        <v>Pos</v>
      </c>
      <c r="AK21" s="71"/>
      <c r="AL21" s="72" t="str">
        <f t="shared" ref="AL21:AT21" si="84">AL5</f>
        <v>Selección</v>
      </c>
      <c r="AM21" s="71" t="str">
        <f t="shared" si="84"/>
        <v>Pts</v>
      </c>
      <c r="AN21" s="71" t="str">
        <f t="shared" si="84"/>
        <v>J</v>
      </c>
      <c r="AO21" s="71" t="str">
        <f t="shared" si="84"/>
        <v>G</v>
      </c>
      <c r="AP21" s="71" t="str">
        <f t="shared" si="84"/>
        <v>E</v>
      </c>
      <c r="AQ21" s="71" t="str">
        <f t="shared" si="84"/>
        <v>P</v>
      </c>
      <c r="AR21" s="71" t="str">
        <f t="shared" si="84"/>
        <v>GF</v>
      </c>
      <c r="AS21" s="71" t="str">
        <f t="shared" si="84"/>
        <v>GC</v>
      </c>
      <c r="AT21" s="73" t="str">
        <f t="shared" si="84"/>
        <v>DG</v>
      </c>
      <c r="AU21" s="343">
        <f t="shared" ref="AU21" ca="1" si="85">COUNTIF(AU22:AU25,"&gt;1")</f>
        <v>0</v>
      </c>
      <c r="AV21" s="201"/>
      <c r="AW21" s="175"/>
      <c r="AX21" s="175"/>
      <c r="AY21" s="216" t="str">
        <f>AL21</f>
        <v>Selección</v>
      </c>
      <c r="AZ21" s="217" t="str">
        <f>+Idiomas!$D$67</f>
        <v>Puntos penalizados</v>
      </c>
      <c r="BA21" s="155"/>
      <c r="BC21" s="630" t="str">
        <f ca="1">+INDEX(T_Equipos[Grupo],MATCH(WORLDCUP!BD21,T_Equipos[NombreEquipo],0))</f>
        <v>D</v>
      </c>
      <c r="BD21" s="10" t="str">
        <f ca="1">+Equipos!B17</f>
        <v>PO C: TUR/ROU/SVK/KOS</v>
      </c>
      <c r="BE21" s="424">
        <f t="shared" ca="1" si="16"/>
        <v>1</v>
      </c>
      <c r="BF21" s="424">
        <f t="shared" ca="1" si="25"/>
        <v>3</v>
      </c>
      <c r="BG21" s="424">
        <f t="shared" ca="1" si="17"/>
        <v>0</v>
      </c>
      <c r="BH21" s="424">
        <f t="shared" ca="1" si="18"/>
        <v>1</v>
      </c>
      <c r="BI21" s="424">
        <f t="shared" ca="1" si="19"/>
        <v>2</v>
      </c>
      <c r="BJ21" s="424">
        <f t="shared" ca="1" si="20"/>
        <v>0</v>
      </c>
      <c r="BK21" s="424">
        <f t="shared" ca="1" si="21"/>
        <v>2</v>
      </c>
      <c r="BL21" s="424">
        <f t="shared" ca="1" si="26"/>
        <v>-2</v>
      </c>
      <c r="BM21" s="424" t="str">
        <f t="shared" ca="1" si="22"/>
        <v>4D</v>
      </c>
      <c r="BN21" s="424" t="str">
        <f t="shared" ca="1" si="23"/>
        <v>4D</v>
      </c>
      <c r="BO21" s="630"/>
      <c r="BP21" s="632">
        <f t="shared" ca="1" si="27"/>
        <v>1</v>
      </c>
      <c r="BQ21" s="631">
        <f ca="1">COUNTIFS($BE$6:$BE$53,"&gt;"&amp;BE21,$BC$6:$BC$53,INDEX(T_Equipos[Grupo],MATCH(BD21,T_Equipos[NombreEquipo],0)))+1</f>
        <v>4</v>
      </c>
      <c r="BR21" s="631" t="str">
        <f ca="1">IF(COUNTIFS($BQ$6:$BQ$53,BQ21,$BC$6:$BC$53,INDEX(T_Equipos[Grupo],MATCH(BD21,T_Equipos[NombreEquipo],0)))=1,"-","P."&amp;BQ21&amp;" ("&amp;COUNTIFS($BQ$6:$BQ$53,BQ21,$BC$6:$BC$53,INDEX(T_Equipos[Grupo],MATCH(BD21,T_Equipos[NombreEquipo],0)))&amp;")")</f>
        <v>-</v>
      </c>
      <c r="BS21" s="632" t="str">
        <f t="shared" ca="1" si="34"/>
        <v>-</v>
      </c>
      <c r="BT21" s="632" t="str">
        <f t="shared" ca="1" si="35"/>
        <v>-</v>
      </c>
      <c r="BU21" s="632" t="str">
        <f t="shared" ca="1" si="36"/>
        <v>-</v>
      </c>
      <c r="BV21" s="632" t="str">
        <f t="shared" ca="1" si="37"/>
        <v>-</v>
      </c>
      <c r="BW21" s="632">
        <f ca="1">BQ21+COUNTIFS($BR$6:$BR$53,BR21,$BV$6:BV$53,"&gt;"&amp;BV21,$BC$6:$BC$53,INDEX(T_Equipos[Grupo],MATCH(BD21,T_Equipos[NombreEquipo],0)))</f>
        <v>4</v>
      </c>
      <c r="BX21" s="631" t="str">
        <f ca="1">IF(COUNTIFS($BW$6:$BW$53,BW21,$BC$6:$BC$53,INDEX(T_Equipos[Grupo],MATCH(BD21,T_Equipos[NombreEquipo],0)))=1,"-","P."&amp;BW21&amp;" ("&amp;COUNTIFS($BW$6:$BW$53,BW21,$BC$6:$BC$53,INDEX(T_Equipos[Grupo],MATCH(BD21,T_Equipos[NombreEquipo],0)))&amp;")")</f>
        <v>-</v>
      </c>
      <c r="BY21" s="632" t="str">
        <f t="shared" ca="1" si="38"/>
        <v>-</v>
      </c>
      <c r="BZ21" s="632" t="str">
        <f t="shared" ca="1" si="39"/>
        <v>-</v>
      </c>
      <c r="CA21" s="632" t="str">
        <f t="shared" ca="1" si="40"/>
        <v>-</v>
      </c>
      <c r="CB21" s="632">
        <f ca="1">BW21+COUNTIFS($BX$6:$BX$53,BX21,$CA$6:CA$53,"&gt;"&amp;CA21,$BC$6:$BC$53,INDEX(T_Equipos[Grupo],MATCH(BD21,T_Equipos[NombreEquipo],0)))</f>
        <v>4</v>
      </c>
      <c r="CC21" s="631" t="str">
        <f ca="1">IF(COUNTIFS($CB$6:$CB$53,CB21,$BC$6:$BC$53,INDEX(T_Equipos[Grupo],MATCH(BD21,T_Equipos[NombreEquipo],0)))=1,"-","P."&amp;CB21&amp;" ("&amp;COUNTIFS($CB$6:$CB$53,CB21,$BC$6:$BC$53,INDEX(T_Equipos[Grupo],MATCH(BD21,T_Equipos[NombreEquipo],0)))&amp;")")</f>
        <v>-</v>
      </c>
      <c r="CD21" s="632" t="str">
        <f t="shared" ca="1" si="41"/>
        <v>-</v>
      </c>
      <c r="CE21" s="632">
        <f ca="1">CB21+COUNTIFS($CC$6:$CC$53,CC21,$CD$6:CD$53,"&gt;"&amp;CD21,$BC$6:$BC$53,INDEX(T_Equipos[Grupo],MATCH(BD21,T_Equipos[NombreEquipo],0)))</f>
        <v>4</v>
      </c>
      <c r="CF21" s="631" t="str">
        <f ca="1">IF(COUNTIFS($CE$6:$CE$53,CE21,$BC$6:$BC$53,INDEX(T_Equipos[Grupo],MATCH(BD21,T_Equipos[NombreEquipo],0)))=1,"-","P."&amp;CE21&amp;" ("&amp;COUNTIFS($CE$6:$CE$53,CE21,$BC$6:$BC$53,INDEX(T_Equipos[Grupo],MATCH(BD21,T_Equipos[NombreEquipo],0)))&amp;")")</f>
        <v>-</v>
      </c>
      <c r="CG21" s="632" t="str">
        <f t="shared" ca="1" si="42"/>
        <v>-</v>
      </c>
      <c r="CH21" s="632" t="str">
        <f t="shared" ca="1" si="43"/>
        <v>-</v>
      </c>
      <c r="CI21" s="632" t="str">
        <f t="shared" ca="1" si="44"/>
        <v>-</v>
      </c>
      <c r="CJ21" s="632" t="str">
        <f t="shared" ca="1" si="45"/>
        <v>-</v>
      </c>
      <c r="CK21" s="632">
        <f ca="1">CE21+COUNTIFS($CF$6:$CF$53,CF21,$CJ$6:CJ$53,"&gt;"&amp;CJ21,$BC$6:$BC$53,INDEX(T_Equipos[Grupo],MATCH(BD21,T_Equipos[NombreEquipo],0)))</f>
        <v>4</v>
      </c>
      <c r="CL21" s="631" t="str">
        <f ca="1">IF(COUNTIFS($CK$6:$CK$53,CK21,$BC$6:$BC$53,INDEX(T_Equipos[Grupo],MATCH(BD21,T_Equipos[NombreEquipo],0)))=1,"-","P."&amp;CK21&amp;" ("&amp;COUNTIFS($CK$6:$CK$53,CK21,$BC$6:$BC$53,INDEX(T_Equipos[Grupo],MATCH(BD21,T_Equipos[NombreEquipo],0)))&amp;")")</f>
        <v>-</v>
      </c>
      <c r="CM21" s="632" t="str">
        <f t="shared" ca="1" si="46"/>
        <v>-</v>
      </c>
      <c r="CN21" s="632" t="str">
        <f t="shared" ca="1" si="47"/>
        <v>-</v>
      </c>
      <c r="CO21" s="632" t="str">
        <f t="shared" ca="1" si="48"/>
        <v>-</v>
      </c>
      <c r="CP21" s="632">
        <f ca="1">CK21+COUNTIFS($CL$6:$CL$53,CL21,$CO$6:CO$53,"&gt;"&amp;CO21,$BC$6:$BC$53,INDEX(T_Equipos[Grupo],MATCH(BD21,T_Equipos[NombreEquipo],0)))</f>
        <v>4</v>
      </c>
      <c r="CQ21" s="631" t="str">
        <f ca="1">IF(COUNTIFS($CP$6:$CP$53,CP21,$BC$6:$BC$53,INDEX(T_Equipos[Grupo],MATCH(BD21,T_Equipos[NombreEquipo],0)))=1,"-","P."&amp;CP21&amp;" ("&amp;COUNTIFS($CP$6:$CP$53,CP21,$BC$6:$BC$53,INDEX(T_Equipos[Grupo],MATCH(BD21,T_Equipos[NombreEquipo],0)))&amp;")")</f>
        <v>-</v>
      </c>
      <c r="CR21" s="632" t="str">
        <f t="shared" ca="1" si="49"/>
        <v>-</v>
      </c>
      <c r="CS21" s="632">
        <f ca="1">CP21+COUNTIFS($CQ$6:$CQ$53,CQ21,$CR$6:CR$53,"&gt;"&amp;CR21,$BC$6:$BC$53,INDEX(T_Equipos[Grupo],MATCH(BD21,T_Equipos[NombreEquipo],0)))</f>
        <v>4</v>
      </c>
      <c r="CT21" s="631" t="str">
        <f ca="1">IF(COUNTIFS($CS$6:$CS$53,CS21,$BC$6:$BC$53,INDEX(T_Equipos[Grupo],MATCH(BD21,T_Equipos[NombreEquipo],0)))=1,"-","P."&amp;CS21&amp;" ("&amp;COUNTIFS($CS$6:$CS$53,CS21,$BC$6:$BC$53,INDEX(T_Equipos[Grupo],MATCH(BD21,T_Equipos[NombreEquipo],0)))&amp;")")</f>
        <v>-</v>
      </c>
      <c r="CU21" s="631" t="str">
        <f t="shared" ca="1" si="28"/>
        <v>-</v>
      </c>
      <c r="CV21" s="631">
        <f ca="1">CS21+COUNTIFS($CT$6:$CT$53,CT21,$CU$6:CU$53,"&gt;"&amp;CU21,$BC$6:$BC$53,INDEX(T_Equipos[Grupo],MATCH(BD21,T_Equipos[NombreEquipo],0)))</f>
        <v>4</v>
      </c>
      <c r="CW21" s="631" t="str">
        <f ca="1">IF(COUNTIFS($CV$6:$CV$53,CV21,$BC$6:$BC$53,INDEX(T_Equipos[Grupo],MATCH(BD21,T_Equipos[NombreEquipo],0)))=1,"-","P."&amp;CV21&amp;" ("&amp;COUNTIFS($CV$6:$CV$53,CV21,$BC$6:$BC$53,INDEX(T_Equipos[Grupo],MATCH(BD21,T_Equipos[NombreEquipo],0)))&amp;")")</f>
        <v>-</v>
      </c>
      <c r="CX21" s="631" t="str">
        <f t="shared" ca="1" si="29"/>
        <v>-</v>
      </c>
      <c r="CY21" s="632">
        <f ca="1">CV21+COUNTIFS($CW$6:$CW$53,CW21,$CX$6:CX$53,"&gt;"&amp;CX21,$BC$6:$BC$53,INDEX(T_Equipos[Grupo],MATCH(BD21,T_Equipos[NombreEquipo],0)))</f>
        <v>4</v>
      </c>
      <c r="CZ21" s="631" t="str">
        <f ca="1">IF(COUNTIFS($CY$6:$CY$53,CY21,$BC$6:$BC$53,INDEX(T_Equipos[Grupo],MATCH(BD21,T_Equipos[NombreEquipo],0)))=1,"-","P."&amp;CY21&amp;" ("&amp;COUNTIFS($CY$6:$CY$53,CY21,$BC$6:$BC$53,INDEX(T_Equipos[Grupo],MATCH(BD21,T_Equipos[NombreEquipo],0)))&amp;")")</f>
        <v>-</v>
      </c>
      <c r="DA21" s="633" t="str">
        <f ca="1">IF(CZ21="-","-",COUNTIFS(T_Equipos[Rank],"&lt;"&amp;INDEX(T_Equipos[Rank],MATCH(BD21,T_Equipos[NombreEquipo],0)),$BC$6:$BC$53,INDEX(T_Equipos[Grupo],MATCH(BD21,T_Equipos[NombreEquipo],0)))+1)</f>
        <v>-</v>
      </c>
      <c r="DB21" s="630">
        <f ca="1">CY21+COUNTIFS($CZ$6:$CZ$53,CZ21,$DA$6:DA$53,"&lt;"&amp;DA21,$BC$6:$BC$53,INDEX(T_Equipos[Grupo],MATCH(BD21,T_Equipos[NombreEquipo],0)))</f>
        <v>4</v>
      </c>
      <c r="DC21" s="630"/>
      <c r="DD21" s="630">
        <f t="shared" ca="1" si="50"/>
        <v>4</v>
      </c>
      <c r="DE21" s="630" t="str">
        <f ca="1">IF(CZ21="-","-",COUNTIFS(DD$6:DD$53,"&lt;"&amp;DD21,$BC$6:$BC$53,INDEX(T_Equipos[Grupo],MATCH(BD21,T_Equipos[NombreEquipo],0))))</f>
        <v>-</v>
      </c>
      <c r="DF21" s="630">
        <f ca="1">CY21+COUNTIFS(CZ$6:CZ$53,CZ21,DE$6:DE$53,"&lt;"&amp;DE21,$BC$6:$BC$53,INDEX(T_Equipos[Grupo],MATCH(BD21,T_Equipos[NombreEquipo],0)))</f>
        <v>4</v>
      </c>
      <c r="DH21" s="10">
        <f t="shared" ca="1" si="51"/>
        <v>4</v>
      </c>
      <c r="DI21" s="10">
        <f t="shared" ca="1" si="24"/>
        <v>12</v>
      </c>
      <c r="DJ21" s="10">
        <f t="shared" ca="1" si="31"/>
        <v>1</v>
      </c>
      <c r="DK21" s="19" t="str">
        <f t="shared" ca="1" si="32"/>
        <v>4.1</v>
      </c>
      <c r="DL21" s="10" cm="1">
        <f t="array" aca="1" ref="DL21" ca="1">OFFSET(Horarios!$P$3,DH21-1,0,DJ21,1)</f>
        <v>4</v>
      </c>
      <c r="DN21" s="10" t="s">
        <v>679</v>
      </c>
      <c r="DO21" s="10" t="str">
        <f t="shared" ca="1" si="33"/>
        <v>PO C: TUR/ROU/SVK/KOS</v>
      </c>
    </row>
    <row r="22" spans="1:119" ht="16.05" customHeight="1">
      <c r="A22" s="646" t="str">
        <f ca="1">+Equipos!B11</f>
        <v>Marruecos</v>
      </c>
      <c r="B22" s="11"/>
      <c r="C22" s="429"/>
      <c r="D22" s="10" t="str">
        <f t="shared" si="70"/>
        <v>Visitante</v>
      </c>
      <c r="E22" s="10" t="str">
        <f t="shared" ca="1" si="71"/>
        <v>-</v>
      </c>
      <c r="F22" s="10" t="str">
        <f t="shared" ca="1" si="72"/>
        <v>-</v>
      </c>
      <c r="G22" s="10"/>
      <c r="H22" s="10" t="str">
        <f t="shared" ca="1" si="73"/>
        <v>-</v>
      </c>
      <c r="I22" s="10" t="str">
        <f t="shared" ca="1" si="74"/>
        <v>-</v>
      </c>
      <c r="J22" s="10"/>
      <c r="K22" s="10" t="str">
        <f t="shared" ca="1" si="75"/>
        <v>-</v>
      </c>
      <c r="L22" s="10" t="str">
        <f t="shared" ca="1" si="76"/>
        <v>-</v>
      </c>
      <c r="M22" s="10"/>
      <c r="N22" s="10" t="str">
        <f t="shared" ca="1" si="77"/>
        <v>-</v>
      </c>
      <c r="O22" s="10" t="str">
        <f t="shared" ca="1" si="78"/>
        <v>-</v>
      </c>
      <c r="P22" s="10"/>
      <c r="Q22" s="10" t="str">
        <f t="shared" ca="1" si="79"/>
        <v>-</v>
      </c>
      <c r="R22" s="10" t="str">
        <f t="shared" ca="1" si="80"/>
        <v>-</v>
      </c>
      <c r="S22" s="10"/>
      <c r="T22" s="10" t="str">
        <f t="shared" ca="1" si="81"/>
        <v>-</v>
      </c>
      <c r="U22" s="10" t="str">
        <f t="shared" ca="1" si="82"/>
        <v>-</v>
      </c>
      <c r="V22" s="20"/>
      <c r="W22" s="692"/>
      <c r="X22" s="27">
        <f ca="1">Horarios!C22</f>
        <v>46193</v>
      </c>
      <c r="Y22" s="28">
        <f ca="1">Horarios!C22</f>
        <v>46193</v>
      </c>
      <c r="Z22" s="29" t="str">
        <f>$Z$6</f>
        <v>J2</v>
      </c>
      <c r="AA22" s="30" t="str">
        <f ca="1">A24</f>
        <v>Escocia</v>
      </c>
      <c r="AB22" s="55" t="str">
        <f ca="1">+INDEX(Equipos!$L$2:$L$49,MATCH(WORLDCUP!AA22,Equipos!$K$2:$K$49,0))</f>
        <v>🏴󠁧󠁢󠁳󠁣󠁴󠁿</v>
      </c>
      <c r="AC22" s="56">
        <v>0</v>
      </c>
      <c r="AD22" s="57">
        <v>1</v>
      </c>
      <c r="AE22" s="58" t="str">
        <f ca="1">+INDEX(Equipos!$L$2:$L$49,MATCH(WORLDCUP!AF22,Equipos!$K$2:$K$49,0))</f>
        <v>🇲🇦</v>
      </c>
      <c r="AF22" s="35" t="str">
        <f ca="1">A22</f>
        <v>Marruecos</v>
      </c>
      <c r="AG22" s="335">
        <f t="shared" si="83"/>
        <v>1</v>
      </c>
      <c r="AH22" s="204">
        <v>29</v>
      </c>
      <c r="AI22" s="190" t="str">
        <f>AJ22&amp;$B$20</f>
        <v>1C</v>
      </c>
      <c r="AJ22" s="43">
        <v>1</v>
      </c>
      <c r="AK22" s="37" t="str">
        <f ca="1">+INDEX(Equipos!$L$2:$L$49,MATCH(WORLDCUP!AL22,Equipos!$K$2:$K$49,0))</f>
        <v>🇧🇷</v>
      </c>
      <c r="AL22" s="37" t="str">
        <f ca="1">IFERROR(INDEX($BD$6:$BD$53,MATCH(AI22,$BN$6:$BN$53,0)),"")</f>
        <v>Brasil</v>
      </c>
      <c r="AM22" s="38">
        <f t="shared" ref="AM22:AT25" ca="1" si="86">INDEX($BE$6:$BN$53,MATCH($AL22,$BD$6:$BD$53,0),MATCH(AM$5,$BE$5:$BN$5,0))</f>
        <v>9</v>
      </c>
      <c r="AN22" s="39">
        <f t="shared" ca="1" si="86"/>
        <v>3</v>
      </c>
      <c r="AO22" s="39">
        <f t="shared" ca="1" si="86"/>
        <v>3</v>
      </c>
      <c r="AP22" s="39">
        <f t="shared" ca="1" si="86"/>
        <v>0</v>
      </c>
      <c r="AQ22" s="39">
        <f t="shared" ca="1" si="86"/>
        <v>0</v>
      </c>
      <c r="AR22" s="39">
        <f t="shared" ca="1" si="86"/>
        <v>6</v>
      </c>
      <c r="AS22" s="39">
        <f t="shared" ca="1" si="86"/>
        <v>2</v>
      </c>
      <c r="AT22" s="45">
        <f t="shared" ca="1" si="86"/>
        <v>4</v>
      </c>
      <c r="AU22" s="342">
        <f ca="1">INDEX($DJ$6:$DJ$53,MATCH(AI22,$DN$6:$DN$53,0))</f>
        <v>1</v>
      </c>
      <c r="AV22" s="191" t="str">
        <f ca="1">INDEX($BD$6:$BD$53,MATCH(AI22,$BM$6:$BM$53,0))</f>
        <v>Brasil</v>
      </c>
      <c r="AW22" s="219">
        <v>4</v>
      </c>
      <c r="AX22" s="179"/>
      <c r="AY22" s="210" t="str">
        <f ca="1">+A21</f>
        <v>Brasil</v>
      </c>
      <c r="AZ22" s="211"/>
      <c r="BA22" s="155"/>
      <c r="BC22" s="630" t="str">
        <f ca="1">+INDEX(T_Equipos[Grupo],MATCH(WORLDCUP!BD22,T_Equipos[NombreEquipo],0))</f>
        <v>E</v>
      </c>
      <c r="BD22" s="10" t="str">
        <f ca="1">+Equipos!B18</f>
        <v>Alemania</v>
      </c>
      <c r="BE22" s="424">
        <f t="shared" ca="1" si="16"/>
        <v>9</v>
      </c>
      <c r="BF22" s="424">
        <f t="shared" ca="1" si="25"/>
        <v>3</v>
      </c>
      <c r="BG22" s="424">
        <f t="shared" ca="1" si="17"/>
        <v>3</v>
      </c>
      <c r="BH22" s="424">
        <f t="shared" ca="1" si="18"/>
        <v>0</v>
      </c>
      <c r="BI22" s="424">
        <f t="shared" ca="1" si="19"/>
        <v>0</v>
      </c>
      <c r="BJ22" s="424">
        <f t="shared" ca="1" si="20"/>
        <v>8</v>
      </c>
      <c r="BK22" s="424">
        <f t="shared" ca="1" si="21"/>
        <v>1</v>
      </c>
      <c r="BL22" s="424">
        <f t="shared" ca="1" si="26"/>
        <v>7</v>
      </c>
      <c r="BM22" s="424" t="str">
        <f t="shared" ca="1" si="22"/>
        <v>1E</v>
      </c>
      <c r="BN22" s="424" t="str">
        <f t="shared" ca="1" si="23"/>
        <v>1E</v>
      </c>
      <c r="BO22" s="630"/>
      <c r="BP22" s="631">
        <f t="shared" ca="1" si="27"/>
        <v>9</v>
      </c>
      <c r="BQ22" s="631">
        <f ca="1">COUNTIFS($BE$6:$BE$53,"&gt;"&amp;BE22,$BC$6:$BC$53,INDEX(T_Equipos[Grupo],MATCH(BD22,T_Equipos[NombreEquipo],0)))+1</f>
        <v>1</v>
      </c>
      <c r="BR22" s="631" t="str">
        <f ca="1">IF(COUNTIFS($BQ$6:$BQ$53,BQ22,$BC$6:$BC$53,INDEX(T_Equipos[Grupo],MATCH(BD22,T_Equipos[NombreEquipo],0)))=1,"-","P."&amp;BQ22&amp;" ("&amp;COUNTIFS($BQ$6:$BQ$53,BQ22,$BC$6:$BC$53,INDEX(T_Equipos[Grupo],MATCH(BD22,T_Equipos[NombreEquipo],0)))&amp;")")</f>
        <v>-</v>
      </c>
      <c r="BS22" s="632" t="str">
        <f t="shared" ca="1" si="34"/>
        <v>-</v>
      </c>
      <c r="BT22" s="632" t="str">
        <f t="shared" ca="1" si="35"/>
        <v>-</v>
      </c>
      <c r="BU22" s="632" t="str">
        <f t="shared" ca="1" si="36"/>
        <v>-</v>
      </c>
      <c r="BV22" s="632" t="str">
        <f t="shared" ca="1" si="37"/>
        <v>-</v>
      </c>
      <c r="BW22" s="632">
        <f ca="1">BQ22+COUNTIFS($BR$6:$BR$53,BR22,$BV$6:BV$53,"&gt;"&amp;BV22,$BC$6:$BC$53,INDEX(T_Equipos[Grupo],MATCH(BD22,T_Equipos[NombreEquipo],0)))</f>
        <v>1</v>
      </c>
      <c r="BX22" s="631" t="str">
        <f ca="1">IF(COUNTIFS($BW$6:$BW$53,BW22,$BC$6:$BC$53,INDEX(T_Equipos[Grupo],MATCH(BD22,T_Equipos[NombreEquipo],0)))=1,"-","P."&amp;BW22&amp;" ("&amp;COUNTIFS($BW$6:$BW$53,BW22,$BC$6:$BC$53,INDEX(T_Equipos[Grupo],MATCH(BD22,T_Equipos[NombreEquipo],0)))&amp;")")</f>
        <v>-</v>
      </c>
      <c r="BY22" s="632" t="str">
        <f t="shared" ca="1" si="38"/>
        <v>-</v>
      </c>
      <c r="BZ22" s="632" t="str">
        <f t="shared" ca="1" si="39"/>
        <v>-</v>
      </c>
      <c r="CA22" s="632" t="str">
        <f t="shared" ca="1" si="40"/>
        <v>-</v>
      </c>
      <c r="CB22" s="632">
        <f ca="1">BW22+COUNTIFS($BX$6:$BX$53,BX22,$CA$6:CA$53,"&gt;"&amp;CA22,$BC$6:$BC$53,INDEX(T_Equipos[Grupo],MATCH(BD22,T_Equipos[NombreEquipo],0)))</f>
        <v>1</v>
      </c>
      <c r="CC22" s="631" t="str">
        <f ca="1">IF(COUNTIFS($CB$6:$CB$53,CB22,$BC$6:$BC$53,INDEX(T_Equipos[Grupo],MATCH(BD22,T_Equipos[NombreEquipo],0)))=1,"-","P."&amp;CB22&amp;" ("&amp;COUNTIFS($CB$6:$CB$53,CB22,$BC$6:$BC$53,INDEX(T_Equipos[Grupo],MATCH(BD22,T_Equipos[NombreEquipo],0)))&amp;")")</f>
        <v>-</v>
      </c>
      <c r="CD22" s="632" t="str">
        <f t="shared" ca="1" si="41"/>
        <v>-</v>
      </c>
      <c r="CE22" s="632">
        <f ca="1">CB22+COUNTIFS($CC$6:$CC$53,CC22,$CD$6:CD$53,"&gt;"&amp;CD22,$BC$6:$BC$53,INDEX(T_Equipos[Grupo],MATCH(BD22,T_Equipos[NombreEquipo],0)))</f>
        <v>1</v>
      </c>
      <c r="CF22" s="631" t="str">
        <f ca="1">IF(COUNTIFS($CE$6:$CE$53,CE22,$BC$6:$BC$53,INDEX(T_Equipos[Grupo],MATCH(BD22,T_Equipos[NombreEquipo],0)))=1,"-","P."&amp;CE22&amp;" ("&amp;COUNTIFS($CE$6:$CE$53,CE22,$BC$6:$BC$53,INDEX(T_Equipos[Grupo],MATCH(BD22,T_Equipos[NombreEquipo],0)))&amp;")")</f>
        <v>-</v>
      </c>
      <c r="CG22" s="632" t="str">
        <f t="shared" ca="1" si="42"/>
        <v>-</v>
      </c>
      <c r="CH22" s="632" t="str">
        <f t="shared" ca="1" si="43"/>
        <v>-</v>
      </c>
      <c r="CI22" s="632" t="str">
        <f t="shared" ca="1" si="44"/>
        <v>-</v>
      </c>
      <c r="CJ22" s="632" t="str">
        <f t="shared" ca="1" si="45"/>
        <v>-</v>
      </c>
      <c r="CK22" s="632">
        <f ca="1">CE22+COUNTIFS($CF$6:$CF$53,CF22,$CJ$6:CJ$53,"&gt;"&amp;CJ22,$BC$6:$BC$53,INDEX(T_Equipos[Grupo],MATCH(BD22,T_Equipos[NombreEquipo],0)))</f>
        <v>1</v>
      </c>
      <c r="CL22" s="631" t="str">
        <f ca="1">IF(COUNTIFS($CK$6:$CK$53,CK22,$BC$6:$BC$53,INDEX(T_Equipos[Grupo],MATCH(BD22,T_Equipos[NombreEquipo],0)))=1,"-","P."&amp;CK22&amp;" ("&amp;COUNTIFS($CK$6:$CK$53,CK22,$BC$6:$BC$53,INDEX(T_Equipos[Grupo],MATCH(BD22,T_Equipos[NombreEquipo],0)))&amp;")")</f>
        <v>-</v>
      </c>
      <c r="CM22" s="632" t="str">
        <f t="shared" ca="1" si="46"/>
        <v>-</v>
      </c>
      <c r="CN22" s="632" t="str">
        <f t="shared" ca="1" si="47"/>
        <v>-</v>
      </c>
      <c r="CO22" s="632" t="str">
        <f t="shared" ca="1" si="48"/>
        <v>-</v>
      </c>
      <c r="CP22" s="632">
        <f ca="1">CK22+COUNTIFS($CL$6:$CL$53,CL22,$CO$6:CO$53,"&gt;"&amp;CO22,$BC$6:$BC$53,INDEX(T_Equipos[Grupo],MATCH(BD22,T_Equipos[NombreEquipo],0)))</f>
        <v>1</v>
      </c>
      <c r="CQ22" s="631" t="str">
        <f ca="1">IF(COUNTIFS($CP$6:$CP$53,CP22,$BC$6:$BC$53,INDEX(T_Equipos[Grupo],MATCH(BD22,T_Equipos[NombreEquipo],0)))=1,"-","P."&amp;CP22&amp;" ("&amp;COUNTIFS($CP$6:$CP$53,CP22,$BC$6:$BC$53,INDEX(T_Equipos[Grupo],MATCH(BD22,T_Equipos[NombreEquipo],0)))&amp;")")</f>
        <v>-</v>
      </c>
      <c r="CR22" s="632" t="str">
        <f t="shared" ca="1" si="49"/>
        <v>-</v>
      </c>
      <c r="CS22" s="632">
        <f ca="1">CP22+COUNTIFS($CQ$6:$CQ$53,CQ22,$CR$6:CR$53,"&gt;"&amp;CR22,$BC$6:$BC$53,INDEX(T_Equipos[Grupo],MATCH(BD22,T_Equipos[NombreEquipo],0)))</f>
        <v>1</v>
      </c>
      <c r="CT22" s="631" t="str">
        <f ca="1">IF(COUNTIFS($CS$6:$CS$53,CS22,$BC$6:$BC$53,INDEX(T_Equipos[Grupo],MATCH(BD22,T_Equipos[NombreEquipo],0)))=1,"-","P."&amp;CS22&amp;" ("&amp;COUNTIFS($CS$6:$CS$53,CS22,$BC$6:$BC$53,INDEX(T_Equipos[Grupo],MATCH(BD22,T_Equipos[NombreEquipo],0)))&amp;")")</f>
        <v>-</v>
      </c>
      <c r="CU22" s="631" t="str">
        <f t="shared" ca="1" si="28"/>
        <v>-</v>
      </c>
      <c r="CV22" s="631">
        <f ca="1">CS22+COUNTIFS($CT$6:$CT$53,CT22,$CU$6:CU$53,"&gt;"&amp;CU22,$BC$6:$BC$53,INDEX(T_Equipos[Grupo],MATCH(BD22,T_Equipos[NombreEquipo],0)))</f>
        <v>1</v>
      </c>
      <c r="CW22" s="631" t="str">
        <f ca="1">IF(COUNTIFS($CV$6:$CV$53,CV22,$BC$6:$BC$53,INDEX(T_Equipos[Grupo],MATCH(BD22,T_Equipos[NombreEquipo],0)))=1,"-","P."&amp;CV22&amp;" ("&amp;COUNTIFS($CV$6:$CV$53,CV22,$BC$6:$BC$53,INDEX(T_Equipos[Grupo],MATCH(BD22,T_Equipos[NombreEquipo],0)))&amp;")")</f>
        <v>-</v>
      </c>
      <c r="CX22" s="631" t="str">
        <f t="shared" ca="1" si="29"/>
        <v>-</v>
      </c>
      <c r="CY22" s="632">
        <f ca="1">CV22+COUNTIFS($CW$6:$CW$53,CW22,$CX$6:CX$53,"&gt;"&amp;CX22,$BC$6:$BC$53,INDEX(T_Equipos[Grupo],MATCH(BD22,T_Equipos[NombreEquipo],0)))</f>
        <v>1</v>
      </c>
      <c r="CZ22" s="631" t="str">
        <f ca="1">IF(COUNTIFS($CY$6:$CY$53,CY22,$BC$6:$BC$53,INDEX(T_Equipos[Grupo],MATCH(BD22,T_Equipos[NombreEquipo],0)))=1,"-","P."&amp;CY22&amp;" ("&amp;COUNTIFS($CY$6:$CY$53,CY22,$BC$6:$BC$53,INDEX(T_Equipos[Grupo],MATCH(BD22,T_Equipos[NombreEquipo],0)))&amp;")")</f>
        <v>-</v>
      </c>
      <c r="DA22" s="633" t="str">
        <f ca="1">IF(CZ22="-","-",COUNTIFS(T_Equipos[Rank],"&lt;"&amp;INDEX(T_Equipos[Rank],MATCH(BD22,T_Equipos[NombreEquipo],0)),$BC$6:$BC$53,INDEX(T_Equipos[Grupo],MATCH(BD22,T_Equipos[NombreEquipo],0)))+1)</f>
        <v>-</v>
      </c>
      <c r="DB22" s="630">
        <f ca="1">CY22+COUNTIFS($CZ$6:$CZ$53,CZ22,$DA$6:DA$53,"&lt;"&amp;DA22,$BC$6:$BC$53,INDEX(T_Equipos[Grupo],MATCH(BD22,T_Equipos[NombreEquipo],0)))</f>
        <v>1</v>
      </c>
      <c r="DC22" s="630"/>
      <c r="DD22" s="630">
        <f t="shared" ca="1" si="50"/>
        <v>1</v>
      </c>
      <c r="DE22" s="630" t="str">
        <f ca="1">IF(CZ22="-","-",COUNTIFS(DD$6:DD$53,"&lt;"&amp;DD22,$BC$6:$BC$53,INDEX(T_Equipos[Grupo],MATCH(BD22,T_Equipos[NombreEquipo],0))))</f>
        <v>-</v>
      </c>
      <c r="DF22" s="630">
        <f ca="1">CY22+COUNTIFS(CZ$6:CZ$53,CZ22,DE$6:DE$53,"&lt;"&amp;DE22,$BC$6:$BC$53,INDEX(T_Equipos[Grupo],MATCH(BD22,T_Equipos[NombreEquipo],0)))</f>
        <v>1</v>
      </c>
      <c r="DH22" s="10">
        <f t="shared" ca="1" si="51"/>
        <v>1</v>
      </c>
      <c r="DI22" s="10">
        <f t="shared" ca="1" si="24"/>
        <v>12</v>
      </c>
      <c r="DJ22" s="10">
        <f t="shared" ca="1" si="31"/>
        <v>1</v>
      </c>
      <c r="DK22" s="19" t="str">
        <f t="shared" ca="1" si="32"/>
        <v>1.1</v>
      </c>
      <c r="DL22" s="10" cm="1">
        <f t="array" aca="1" ref="DL22" ca="1">OFFSET(Horarios!$P$3,DH22-1,0,DJ22,1)</f>
        <v>1</v>
      </c>
      <c r="DN22" s="10" t="s">
        <v>680</v>
      </c>
      <c r="DO22" s="10" t="str">
        <f t="shared" ca="1" si="33"/>
        <v>Alemania</v>
      </c>
    </row>
    <row r="23" spans="1:119" ht="16.05" customHeight="1">
      <c r="A23" s="646" t="str">
        <f ca="1">+Equipos!B12</f>
        <v>Haití</v>
      </c>
      <c r="B23" s="11"/>
      <c r="C23" s="10"/>
      <c r="D23" s="10" t="str">
        <f t="shared" si="70"/>
        <v>Local</v>
      </c>
      <c r="E23" s="10" t="str">
        <f t="shared" ca="1" si="71"/>
        <v>-</v>
      </c>
      <c r="F23" s="10" t="str">
        <f t="shared" ca="1" si="72"/>
        <v>-</v>
      </c>
      <c r="G23" s="10"/>
      <c r="H23" s="10" t="str">
        <f t="shared" ca="1" si="73"/>
        <v>-</v>
      </c>
      <c r="I23" s="10" t="str">
        <f t="shared" ca="1" si="74"/>
        <v>-</v>
      </c>
      <c r="J23" s="10"/>
      <c r="K23" s="10" t="str">
        <f t="shared" ca="1" si="75"/>
        <v>-</v>
      </c>
      <c r="L23" s="10" t="str">
        <f t="shared" ca="1" si="76"/>
        <v>-</v>
      </c>
      <c r="M23" s="10"/>
      <c r="N23" s="10" t="str">
        <f t="shared" ca="1" si="77"/>
        <v>-</v>
      </c>
      <c r="O23" s="10" t="str">
        <f t="shared" ca="1" si="78"/>
        <v>-</v>
      </c>
      <c r="P23" s="10"/>
      <c r="Q23" s="10" t="str">
        <f t="shared" ca="1" si="79"/>
        <v>-</v>
      </c>
      <c r="R23" s="10" t="str">
        <f t="shared" ca="1" si="80"/>
        <v>-</v>
      </c>
      <c r="S23" s="10"/>
      <c r="T23" s="10" t="str">
        <f t="shared" ca="1" si="81"/>
        <v>-</v>
      </c>
      <c r="U23" s="10" t="str">
        <f t="shared" ca="1" si="82"/>
        <v>-</v>
      </c>
      <c r="V23" s="20"/>
      <c r="W23" s="692"/>
      <c r="X23" s="27">
        <f ca="1">Horarios!C23</f>
        <v>46193.125</v>
      </c>
      <c r="Y23" s="28">
        <f ca="1">Horarios!C23</f>
        <v>46193.125</v>
      </c>
      <c r="Z23" s="29" t="str">
        <f>$Z$6</f>
        <v>J2</v>
      </c>
      <c r="AA23" s="30" t="str">
        <f ca="1">A21</f>
        <v>Brasil</v>
      </c>
      <c r="AB23" s="55" t="str">
        <f ca="1">+INDEX(Equipos!$L$2:$L$49,MATCH(WORLDCUP!AA23,Equipos!$K$2:$K$49,0))</f>
        <v>🇧🇷</v>
      </c>
      <c r="AC23" s="56">
        <v>3</v>
      </c>
      <c r="AD23" s="57">
        <v>1</v>
      </c>
      <c r="AE23" s="58" t="str">
        <f ca="1">+INDEX(Equipos!$L$2:$L$49,MATCH(WORLDCUP!AF23,Equipos!$K$2:$K$49,0))</f>
        <v>🇭🇹</v>
      </c>
      <c r="AF23" s="35" t="str">
        <f ca="1">A23</f>
        <v>Haití</v>
      </c>
      <c r="AG23" s="335">
        <f t="shared" si="83"/>
        <v>1</v>
      </c>
      <c r="AH23" s="204">
        <v>30</v>
      </c>
      <c r="AI23" s="190" t="str">
        <f t="shared" ref="AI23:AI25" si="87">AJ23&amp;$B$20</f>
        <v>2C</v>
      </c>
      <c r="AJ23" s="46">
        <v>2</v>
      </c>
      <c r="AK23" s="40" t="str">
        <f ca="1">+INDEX(Equipos!$L$2:$L$49,MATCH(WORLDCUP!AL23,Equipos!$K$2:$K$49,0))</f>
        <v>🇲🇦</v>
      </c>
      <c r="AL23" s="40" t="str">
        <f ca="1">IFERROR(INDEX($BD$6:$BD$53,MATCH(AI23,$BN$6:$BN$53,0)),"")</f>
        <v>Marruecos</v>
      </c>
      <c r="AM23" s="41">
        <f t="shared" ca="1" si="86"/>
        <v>6</v>
      </c>
      <c r="AN23" s="42">
        <f t="shared" ca="1" si="86"/>
        <v>3</v>
      </c>
      <c r="AO23" s="42">
        <f t="shared" ca="1" si="86"/>
        <v>2</v>
      </c>
      <c r="AP23" s="42">
        <f t="shared" ca="1" si="86"/>
        <v>0</v>
      </c>
      <c r="AQ23" s="42">
        <f t="shared" ca="1" si="86"/>
        <v>1</v>
      </c>
      <c r="AR23" s="42">
        <f t="shared" ca="1" si="86"/>
        <v>3</v>
      </c>
      <c r="AS23" s="42">
        <f t="shared" ca="1" si="86"/>
        <v>2</v>
      </c>
      <c r="AT23" s="48">
        <f t="shared" ca="1" si="86"/>
        <v>1</v>
      </c>
      <c r="AU23" s="342">
        <f ca="1">INDEX($DJ$6:$DJ$53,MATCH(AI23,$DN$6:$DN$53,0))</f>
        <v>1</v>
      </c>
      <c r="AV23" s="191" t="str">
        <f ca="1">INDEX($BD$6:$BD$53,MATCH(AI23,$BM$6:$BM$53,0))</f>
        <v>Marruecos</v>
      </c>
      <c r="AW23" s="219">
        <v>3</v>
      </c>
      <c r="AX23" s="179"/>
      <c r="AY23" s="212" t="str">
        <f ca="1">+A22</f>
        <v>Marruecos</v>
      </c>
      <c r="AZ23" s="213"/>
      <c r="BA23" s="155"/>
      <c r="BC23" s="630" t="str">
        <f ca="1">+INDEX(T_Equipos[Grupo],MATCH(WORLDCUP!BD23,T_Equipos[NombreEquipo],0))</f>
        <v>E</v>
      </c>
      <c r="BD23" s="10" t="str">
        <f ca="1">+Equipos!B19</f>
        <v>Curazao</v>
      </c>
      <c r="BE23" s="424">
        <f t="shared" ca="1" si="16"/>
        <v>1</v>
      </c>
      <c r="BF23" s="424">
        <f t="shared" ca="1" si="25"/>
        <v>3</v>
      </c>
      <c r="BG23" s="424">
        <f t="shared" ca="1" si="17"/>
        <v>0</v>
      </c>
      <c r="BH23" s="424">
        <f t="shared" ca="1" si="18"/>
        <v>1</v>
      </c>
      <c r="BI23" s="424">
        <f t="shared" ca="1" si="19"/>
        <v>2</v>
      </c>
      <c r="BJ23" s="424">
        <f t="shared" ca="1" si="20"/>
        <v>0</v>
      </c>
      <c r="BK23" s="424">
        <f t="shared" ca="1" si="21"/>
        <v>5</v>
      </c>
      <c r="BL23" s="424">
        <f t="shared" ca="1" si="26"/>
        <v>-5</v>
      </c>
      <c r="BM23" s="424" t="str">
        <f t="shared" ca="1" si="22"/>
        <v>3E</v>
      </c>
      <c r="BN23" s="424" t="str">
        <f t="shared" ca="1" si="23"/>
        <v>3E</v>
      </c>
      <c r="BO23" s="630"/>
      <c r="BP23" s="631">
        <f t="shared" ca="1" si="27"/>
        <v>1</v>
      </c>
      <c r="BQ23" s="631">
        <f ca="1">COUNTIFS($BE$6:$BE$53,"&gt;"&amp;BE23,$BC$6:$BC$53,INDEX(T_Equipos[Grupo],MATCH(BD23,T_Equipos[NombreEquipo],0)))+1</f>
        <v>3</v>
      </c>
      <c r="BR23" s="631" t="str">
        <f ca="1">IF(COUNTIFS($BQ$6:$BQ$53,BQ23,$BC$6:$BC$53,INDEX(T_Equipos[Grupo],MATCH(BD23,T_Equipos[NombreEquipo],0)))=1,"-","P."&amp;BQ23&amp;" ("&amp;COUNTIFS($BQ$6:$BQ$53,BQ23,$BC$6:$BC$53,INDEX(T_Equipos[Grupo],MATCH(BD23,T_Equipos[NombreEquipo],0)))&amp;")")</f>
        <v>P.3 (2)</v>
      </c>
      <c r="BS23" s="632">
        <f t="shared" ca="1" si="34"/>
        <v>0</v>
      </c>
      <c r="BT23" s="632">
        <f t="shared" ca="1" si="35"/>
        <v>1</v>
      </c>
      <c r="BU23" s="632">
        <f t="shared" ca="1" si="36"/>
        <v>0</v>
      </c>
      <c r="BV23" s="632">
        <f t="shared" ca="1" si="37"/>
        <v>1</v>
      </c>
      <c r="BW23" s="632">
        <f ca="1">BQ23+COUNTIFS($BR$6:$BR$53,BR23,$BV$6:BV$53,"&gt;"&amp;BV23,$BC$6:$BC$53,INDEX(T_Equipos[Grupo],MATCH(BD23,T_Equipos[NombreEquipo],0)))</f>
        <v>3</v>
      </c>
      <c r="BX23" s="631" t="str">
        <f ca="1">IF(COUNTIFS($BW$6:$BW$53,BW23,$BC$6:$BC$53,INDEX(T_Equipos[Grupo],MATCH(BD23,T_Equipos[NombreEquipo],0)))=1,"-","P."&amp;BW23&amp;" ("&amp;COUNTIFS($BW$6:$BW$53,BW23,$BC$6:$BC$53,INDEX(T_Equipos[Grupo],MATCH(BD23,T_Equipos[NombreEquipo],0)))&amp;")")</f>
        <v>P.3 (2)</v>
      </c>
      <c r="BY23" s="632">
        <f t="shared" ca="1" si="38"/>
        <v>0</v>
      </c>
      <c r="BZ23" s="632">
        <f t="shared" ca="1" si="39"/>
        <v>0</v>
      </c>
      <c r="CA23" s="632">
        <f t="shared" ca="1" si="40"/>
        <v>0</v>
      </c>
      <c r="CB23" s="632">
        <f ca="1">BW23+COUNTIFS($BX$6:$BX$53,BX23,$CA$6:CA$53,"&gt;"&amp;CA23,$BC$6:$BC$53,INDEX(T_Equipos[Grupo],MATCH(BD23,T_Equipos[NombreEquipo],0)))</f>
        <v>3</v>
      </c>
      <c r="CC23" s="631" t="str">
        <f ca="1">IF(COUNTIFS($CB$6:$CB$53,CB23,$BC$6:$BC$53,INDEX(T_Equipos[Grupo],MATCH(BD23,T_Equipos[NombreEquipo],0)))=1,"-","P."&amp;CB23&amp;" ("&amp;COUNTIFS($CB$6:$CB$53,CB23,$BC$6:$BC$53,INDEX(T_Equipos[Grupo],MATCH(BD23,T_Equipos[NombreEquipo],0)))&amp;")")</f>
        <v>P.3 (2)</v>
      </c>
      <c r="CD23" s="632">
        <f t="shared" ca="1" si="41"/>
        <v>0</v>
      </c>
      <c r="CE23" s="632">
        <f ca="1">CB23+COUNTIFS($CC$6:$CC$53,CC23,$CD$6:CD$53,"&gt;"&amp;CD23,$BC$6:$BC$53,INDEX(T_Equipos[Grupo],MATCH(BD23,T_Equipos[NombreEquipo],0)))</f>
        <v>3</v>
      </c>
      <c r="CF23" s="631" t="str">
        <f ca="1">IF(COUNTIFS($CE$6:$CE$53,CE23,$BC$6:$BC$53,INDEX(T_Equipos[Grupo],MATCH(BD23,T_Equipos[NombreEquipo],0)))=1,"-","P."&amp;CE23&amp;" ("&amp;COUNTIFS($CE$6:$CE$53,CE23,$BC$6:$BC$53,INDEX(T_Equipos[Grupo],MATCH(BD23,T_Equipos[NombreEquipo],0)))&amp;")")</f>
        <v>P.3 (2)</v>
      </c>
      <c r="CG23" s="632">
        <f t="shared" ca="1" si="42"/>
        <v>0</v>
      </c>
      <c r="CH23" s="632">
        <f t="shared" ca="1" si="43"/>
        <v>1</v>
      </c>
      <c r="CI23" s="632">
        <f t="shared" ca="1" si="44"/>
        <v>0</v>
      </c>
      <c r="CJ23" s="632">
        <f t="shared" ca="1" si="45"/>
        <v>1</v>
      </c>
      <c r="CK23" s="632">
        <f ca="1">CE23+COUNTIFS($CF$6:$CF$53,CF23,$CJ$6:CJ$53,"&gt;"&amp;CJ23,$BC$6:$BC$53,INDEX(T_Equipos[Grupo],MATCH(BD23,T_Equipos[NombreEquipo],0)))</f>
        <v>3</v>
      </c>
      <c r="CL23" s="631" t="str">
        <f ca="1">IF(COUNTIFS($CK$6:$CK$53,CK23,$BC$6:$BC$53,INDEX(T_Equipos[Grupo],MATCH(BD23,T_Equipos[NombreEquipo],0)))=1,"-","P."&amp;CK23&amp;" ("&amp;COUNTIFS($CK$6:$CK$53,CK23,$BC$6:$BC$53,INDEX(T_Equipos[Grupo],MATCH(BD23,T_Equipos[NombreEquipo],0)))&amp;")")</f>
        <v>P.3 (2)</v>
      </c>
      <c r="CM23" s="632">
        <f t="shared" ca="1" si="46"/>
        <v>0</v>
      </c>
      <c r="CN23" s="632">
        <f t="shared" ca="1" si="47"/>
        <v>0</v>
      </c>
      <c r="CO23" s="632">
        <f t="shared" ca="1" si="48"/>
        <v>0</v>
      </c>
      <c r="CP23" s="632">
        <f ca="1">CK23+COUNTIFS($CL$6:$CL$53,CL23,$CO$6:CO$53,"&gt;"&amp;CO23,$BC$6:$BC$53,INDEX(T_Equipos[Grupo],MATCH(BD23,T_Equipos[NombreEquipo],0)))</f>
        <v>3</v>
      </c>
      <c r="CQ23" s="631" t="str">
        <f ca="1">IF(COUNTIFS($CP$6:$CP$53,CP23,$BC$6:$BC$53,INDEX(T_Equipos[Grupo],MATCH(BD23,T_Equipos[NombreEquipo],0)))=1,"-","P."&amp;CP23&amp;" ("&amp;COUNTIFS($CP$6:$CP$53,CP23,$BC$6:$BC$53,INDEX(T_Equipos[Grupo],MATCH(BD23,T_Equipos[NombreEquipo],0)))&amp;")")</f>
        <v>P.3 (2)</v>
      </c>
      <c r="CR23" s="632">
        <f t="shared" ca="1" si="49"/>
        <v>0</v>
      </c>
      <c r="CS23" s="632">
        <f ca="1">CP23+COUNTIFS($CQ$6:$CQ$53,CQ23,$CR$6:CR$53,"&gt;"&amp;CR23,$BC$6:$BC$53,INDEX(T_Equipos[Grupo],MATCH(BD23,T_Equipos[NombreEquipo],0)))</f>
        <v>3</v>
      </c>
      <c r="CT23" s="631" t="str">
        <f ca="1">IF(COUNTIFS($CS$6:$CS$53,CS23,$BC$6:$BC$53,INDEX(T_Equipos[Grupo],MATCH(BD23,T_Equipos[NombreEquipo],0)))=1,"-","P."&amp;CS23&amp;" ("&amp;COUNTIFS($CS$6:$CS$53,CS23,$BC$6:$BC$53,INDEX(T_Equipos[Grupo],MATCH(BD23,T_Equipos[NombreEquipo],0)))&amp;")")</f>
        <v>P.3 (2)</v>
      </c>
      <c r="CU23" s="631">
        <f t="shared" ca="1" si="28"/>
        <v>-5</v>
      </c>
      <c r="CV23" s="631">
        <f ca="1">CS23+COUNTIFS($CT$6:$CT$53,CT23,$CU$6:CU$53,"&gt;"&amp;CU23,$BC$6:$BC$53,INDEX(T_Equipos[Grupo],MATCH(BD23,T_Equipos[NombreEquipo],0)))</f>
        <v>3</v>
      </c>
      <c r="CW23" s="631" t="str">
        <f ca="1">IF(COUNTIFS($CV$6:$CV$53,CV23,$BC$6:$BC$53,INDEX(T_Equipos[Grupo],MATCH(BD23,T_Equipos[NombreEquipo],0)))=1,"-","P."&amp;CV23&amp;" ("&amp;COUNTIFS($CV$6:$CV$53,CV23,$BC$6:$BC$53,INDEX(T_Equipos[Grupo],MATCH(BD23,T_Equipos[NombreEquipo],0)))&amp;")")</f>
        <v>P.3 (2)</v>
      </c>
      <c r="CX23" s="631">
        <f t="shared" ca="1" si="29"/>
        <v>0</v>
      </c>
      <c r="CY23" s="632">
        <f ca="1">CV23+COUNTIFS($CW$6:$CW$53,CW23,$CX$6:CX$53,"&gt;"&amp;CX23,$BC$6:$BC$53,INDEX(T_Equipos[Grupo],MATCH(BD23,T_Equipos[NombreEquipo],0)))</f>
        <v>3</v>
      </c>
      <c r="CZ23" s="631" t="str">
        <f ca="1">IF(COUNTIFS($CY$6:$CY$53,CY23,$BC$6:$BC$53,INDEX(T_Equipos[Grupo],MATCH(BD23,T_Equipos[NombreEquipo],0)))=1,"-","P."&amp;CY23&amp;" ("&amp;COUNTIFS($CY$6:$CY$53,CY23,$BC$6:$BC$53,INDEX(T_Equipos[Grupo],MATCH(BD23,T_Equipos[NombreEquipo],0)))&amp;")")</f>
        <v>P.3 (2)</v>
      </c>
      <c r="DA23" s="633">
        <f ca="1">IF(CZ23="-","-",COUNTIFS(T_Equipos[Rank],"&lt;"&amp;INDEX(T_Equipos[Rank],MATCH(BD23,T_Equipos[NombreEquipo],0)),$BC$6:$BC$53,INDEX(T_Equipos[Grupo],MATCH(BD23,T_Equipos[NombreEquipo],0)))+1)</f>
        <v>2</v>
      </c>
      <c r="DB23" s="630">
        <f ca="1">CY23+COUNTIFS($CZ$6:$CZ$53,CZ23,$DA$6:DA$53,"&lt;"&amp;DA23,$BC$6:$BC$53,INDEX(T_Equipos[Grupo],MATCH(BD23,T_Equipos[NombreEquipo],0)))</f>
        <v>3</v>
      </c>
      <c r="DC23" s="630"/>
      <c r="DD23" s="630">
        <f t="shared" ca="1" si="50"/>
        <v>3</v>
      </c>
      <c r="DE23" s="630">
        <f ca="1">IF(CZ23="-","-",COUNTIFS(DD$6:DD$53,"&lt;"&amp;DD23,$BC$6:$BC$53,INDEX(T_Equipos[Grupo],MATCH(BD23,T_Equipos[NombreEquipo],0))))</f>
        <v>2</v>
      </c>
      <c r="DF23" s="630">
        <f ca="1">CY23+COUNTIFS(CZ$6:CZ$53,CZ23,DE$6:DE$53,"&lt;"&amp;DE23,$BC$6:$BC$53,INDEX(T_Equipos[Grupo],MATCH(BD23,T_Equipos[NombreEquipo],0)))</f>
        <v>3</v>
      </c>
      <c r="DH23" s="10">
        <f t="shared" ca="1" si="51"/>
        <v>2</v>
      </c>
      <c r="DI23" s="10">
        <f t="shared" ca="1" si="24"/>
        <v>12</v>
      </c>
      <c r="DJ23" s="10">
        <f t="shared" ca="1" si="31"/>
        <v>1</v>
      </c>
      <c r="DK23" s="19" t="str">
        <f t="shared" ca="1" si="32"/>
        <v>2.1</v>
      </c>
      <c r="DL23" s="10" cm="1">
        <f t="array" aca="1" ref="DL23" ca="1">OFFSET(Horarios!$P$3,DH23-1,0,DJ23,1)</f>
        <v>2</v>
      </c>
      <c r="DN23" s="10" t="s">
        <v>681</v>
      </c>
      <c r="DO23" s="10" t="str">
        <f t="shared" ca="1" si="33"/>
        <v>Ecuador</v>
      </c>
    </row>
    <row r="24" spans="1:119" ht="16.05" customHeight="1">
      <c r="A24" s="646" t="str">
        <f ca="1">+Equipos!B13</f>
        <v>Escocia</v>
      </c>
      <c r="B24" s="11"/>
      <c r="C24" s="10"/>
      <c r="D24" s="10" t="str">
        <f t="shared" si="70"/>
        <v>Visitante</v>
      </c>
      <c r="E24" s="10" t="str">
        <f t="shared" ca="1" si="71"/>
        <v>-</v>
      </c>
      <c r="F24" s="10" t="str">
        <f t="shared" ca="1" si="72"/>
        <v>-</v>
      </c>
      <c r="G24" s="10"/>
      <c r="H24" s="10" t="str">
        <f t="shared" ca="1" si="73"/>
        <v>-</v>
      </c>
      <c r="I24" s="10" t="str">
        <f t="shared" ca="1" si="74"/>
        <v>-</v>
      </c>
      <c r="J24" s="10"/>
      <c r="K24" s="10" t="str">
        <f t="shared" ca="1" si="75"/>
        <v>-</v>
      </c>
      <c r="L24" s="10" t="str">
        <f t="shared" ca="1" si="76"/>
        <v>-</v>
      </c>
      <c r="M24" s="10"/>
      <c r="N24" s="10" t="str">
        <f t="shared" ca="1" si="77"/>
        <v>-</v>
      </c>
      <c r="O24" s="10" t="str">
        <f t="shared" ca="1" si="78"/>
        <v>-</v>
      </c>
      <c r="P24" s="10"/>
      <c r="Q24" s="10" t="str">
        <f t="shared" ca="1" si="79"/>
        <v>-</v>
      </c>
      <c r="R24" s="10" t="str">
        <f t="shared" ca="1" si="80"/>
        <v>-</v>
      </c>
      <c r="S24" s="10"/>
      <c r="T24" s="10" t="str">
        <f t="shared" ca="1" si="81"/>
        <v>-</v>
      </c>
      <c r="U24" s="10" t="str">
        <f t="shared" ca="1" si="82"/>
        <v>-</v>
      </c>
      <c r="V24" s="20"/>
      <c r="W24" s="692"/>
      <c r="X24" s="27">
        <f ca="1">Horarios!C24</f>
        <v>46198</v>
      </c>
      <c r="Y24" s="28">
        <f ca="1">Horarios!C24</f>
        <v>46198</v>
      </c>
      <c r="Z24" s="29" t="str">
        <f>$Z$8</f>
        <v>J3</v>
      </c>
      <c r="AA24" s="30" t="str">
        <f ca="1">A24</f>
        <v>Escocia</v>
      </c>
      <c r="AB24" s="55" t="str">
        <f ca="1">+INDEX(Equipos!$L$2:$L$49,MATCH(WORLDCUP!AA24,Equipos!$K$2:$K$49,0))</f>
        <v>🏴󠁧󠁢󠁳󠁣󠁴󠁿</v>
      </c>
      <c r="AC24" s="56">
        <v>0</v>
      </c>
      <c r="AD24" s="57">
        <v>1</v>
      </c>
      <c r="AE24" s="58" t="str">
        <f ca="1">+INDEX(Equipos!$L$2:$L$49,MATCH(WORLDCUP!AF24,Equipos!$K$2:$K$49,0))</f>
        <v>🇧🇷</v>
      </c>
      <c r="AF24" s="35" t="str">
        <f ca="1">A21</f>
        <v>Brasil</v>
      </c>
      <c r="AG24" s="335">
        <f t="shared" si="83"/>
        <v>1</v>
      </c>
      <c r="AH24" s="204">
        <v>49</v>
      </c>
      <c r="AI24" s="190" t="str">
        <f t="shared" si="87"/>
        <v>3C</v>
      </c>
      <c r="AJ24" s="46">
        <v>3</v>
      </c>
      <c r="AK24" s="40" t="str">
        <f ca="1">+INDEX(Equipos!$L$2:$L$49,MATCH(WORLDCUP!AL24,Equipos!$K$2:$K$49,0))</f>
        <v>🏴󠁧󠁢󠁳󠁣󠁴󠁿</v>
      </c>
      <c r="AL24" s="40" t="str">
        <f ca="1">IFERROR(INDEX($BD$6:$BD$53,MATCH(AI24,$BN$6:$BN$53,0)),"")</f>
        <v>Escocia</v>
      </c>
      <c r="AM24" s="41">
        <f t="shared" ca="1" si="86"/>
        <v>3</v>
      </c>
      <c r="AN24" s="42">
        <f t="shared" ca="1" si="86"/>
        <v>3</v>
      </c>
      <c r="AO24" s="42">
        <f t="shared" ca="1" si="86"/>
        <v>1</v>
      </c>
      <c r="AP24" s="42">
        <f t="shared" ca="1" si="86"/>
        <v>0</v>
      </c>
      <c r="AQ24" s="42">
        <f t="shared" ca="1" si="86"/>
        <v>2</v>
      </c>
      <c r="AR24" s="42">
        <f t="shared" ca="1" si="86"/>
        <v>2</v>
      </c>
      <c r="AS24" s="42">
        <f t="shared" ca="1" si="86"/>
        <v>2</v>
      </c>
      <c r="AT24" s="48">
        <f t="shared" ca="1" si="86"/>
        <v>0</v>
      </c>
      <c r="AU24" s="342">
        <f ca="1">INDEX($DJ$6:$DJ$53,MATCH(AI24,$DN$6:$DN$53,0))</f>
        <v>1</v>
      </c>
      <c r="AV24" s="191" t="str">
        <f ca="1">INDEX($BD$6:$BD$53,MATCH(AI24,$BM$6:$BM$53,0))</f>
        <v>Escocia</v>
      </c>
      <c r="AW24" s="219">
        <v>1</v>
      </c>
      <c r="AX24" s="179"/>
      <c r="AY24" s="210" t="str">
        <f ca="1">+A23</f>
        <v>Haití</v>
      </c>
      <c r="AZ24" s="211"/>
      <c r="BA24" s="155"/>
      <c r="BC24" s="630" t="str">
        <f ca="1">+INDEX(T_Equipos[Grupo],MATCH(WORLDCUP!BD24,T_Equipos[NombreEquipo],0))</f>
        <v>E</v>
      </c>
      <c r="BD24" s="10" t="str">
        <f ca="1">+Equipos!B20</f>
        <v>Costa de Marfil</v>
      </c>
      <c r="BE24" s="424">
        <f t="shared" ca="1" si="16"/>
        <v>1</v>
      </c>
      <c r="BF24" s="424">
        <f t="shared" ca="1" si="25"/>
        <v>3</v>
      </c>
      <c r="BG24" s="424">
        <f t="shared" ca="1" si="17"/>
        <v>0</v>
      </c>
      <c r="BH24" s="424">
        <f t="shared" ca="1" si="18"/>
        <v>1</v>
      </c>
      <c r="BI24" s="424">
        <f t="shared" ca="1" si="19"/>
        <v>2</v>
      </c>
      <c r="BJ24" s="424">
        <f t="shared" ca="1" si="20"/>
        <v>0</v>
      </c>
      <c r="BK24" s="424">
        <f t="shared" ca="1" si="21"/>
        <v>5</v>
      </c>
      <c r="BL24" s="424">
        <f t="shared" ca="1" si="26"/>
        <v>-5</v>
      </c>
      <c r="BM24" s="424" t="str">
        <f t="shared" ca="1" si="22"/>
        <v>4E</v>
      </c>
      <c r="BN24" s="424" t="str">
        <f t="shared" ca="1" si="23"/>
        <v>4E</v>
      </c>
      <c r="BO24" s="630"/>
      <c r="BP24" s="631">
        <f t="shared" ca="1" si="27"/>
        <v>1</v>
      </c>
      <c r="BQ24" s="631">
        <f ca="1">COUNTIFS($BE$6:$BE$53,"&gt;"&amp;BE24,$BC$6:$BC$53,INDEX(T_Equipos[Grupo],MATCH(BD24,T_Equipos[NombreEquipo],0)))+1</f>
        <v>3</v>
      </c>
      <c r="BR24" s="631" t="str">
        <f ca="1">IF(COUNTIFS($BQ$6:$BQ$53,BQ24,$BC$6:$BC$53,INDEX(T_Equipos[Grupo],MATCH(BD24,T_Equipos[NombreEquipo],0)))=1,"-","P."&amp;BQ24&amp;" ("&amp;COUNTIFS($BQ$6:$BQ$53,BQ24,$BC$6:$BC$53,INDEX(T_Equipos[Grupo],MATCH(BD24,T_Equipos[NombreEquipo],0)))&amp;")")</f>
        <v>P.3 (2)</v>
      </c>
      <c r="BS24" s="632">
        <f t="shared" ca="1" si="34"/>
        <v>0</v>
      </c>
      <c r="BT24" s="632">
        <f t="shared" ca="1" si="35"/>
        <v>1</v>
      </c>
      <c r="BU24" s="632">
        <f t="shared" ca="1" si="36"/>
        <v>0</v>
      </c>
      <c r="BV24" s="632">
        <f t="shared" ca="1" si="37"/>
        <v>1</v>
      </c>
      <c r="BW24" s="632">
        <f ca="1">BQ24+COUNTIFS($BR$6:$BR$53,BR24,$BV$6:BV$53,"&gt;"&amp;BV24,$BC$6:$BC$53,INDEX(T_Equipos[Grupo],MATCH(BD24,T_Equipos[NombreEquipo],0)))</f>
        <v>3</v>
      </c>
      <c r="BX24" s="631" t="str">
        <f ca="1">IF(COUNTIFS($BW$6:$BW$53,BW24,$BC$6:$BC$53,INDEX(T_Equipos[Grupo],MATCH(BD24,T_Equipos[NombreEquipo],0)))=1,"-","P."&amp;BW24&amp;" ("&amp;COUNTIFS($BW$6:$BW$53,BW24,$BC$6:$BC$53,INDEX(T_Equipos[Grupo],MATCH(BD24,T_Equipos[NombreEquipo],0)))&amp;")")</f>
        <v>P.3 (2)</v>
      </c>
      <c r="BY24" s="632">
        <f t="shared" ca="1" si="38"/>
        <v>0</v>
      </c>
      <c r="BZ24" s="632">
        <f t="shared" ca="1" si="39"/>
        <v>0</v>
      </c>
      <c r="CA24" s="632">
        <f t="shared" ca="1" si="40"/>
        <v>0</v>
      </c>
      <c r="CB24" s="632">
        <f ca="1">BW24+COUNTIFS($BX$6:$BX$53,BX24,$CA$6:CA$53,"&gt;"&amp;CA24,$BC$6:$BC$53,INDEX(T_Equipos[Grupo],MATCH(BD24,T_Equipos[NombreEquipo],0)))</f>
        <v>3</v>
      </c>
      <c r="CC24" s="631" t="str">
        <f ca="1">IF(COUNTIFS($CB$6:$CB$53,CB24,$BC$6:$BC$53,INDEX(T_Equipos[Grupo],MATCH(BD24,T_Equipos[NombreEquipo],0)))=1,"-","P."&amp;CB24&amp;" ("&amp;COUNTIFS($CB$6:$CB$53,CB24,$BC$6:$BC$53,INDEX(T_Equipos[Grupo],MATCH(BD24,T_Equipos[NombreEquipo],0)))&amp;")")</f>
        <v>P.3 (2)</v>
      </c>
      <c r="CD24" s="632">
        <f t="shared" ca="1" si="41"/>
        <v>0</v>
      </c>
      <c r="CE24" s="632">
        <f ca="1">CB24+COUNTIFS($CC$6:$CC$53,CC24,$CD$6:CD$53,"&gt;"&amp;CD24,$BC$6:$BC$53,INDEX(T_Equipos[Grupo],MATCH(BD24,T_Equipos[NombreEquipo],0)))</f>
        <v>3</v>
      </c>
      <c r="CF24" s="631" t="str">
        <f ca="1">IF(COUNTIFS($CE$6:$CE$53,CE24,$BC$6:$BC$53,INDEX(T_Equipos[Grupo],MATCH(BD24,T_Equipos[NombreEquipo],0)))=1,"-","P."&amp;CE24&amp;" ("&amp;COUNTIFS($CE$6:$CE$53,CE24,$BC$6:$BC$53,INDEX(T_Equipos[Grupo],MATCH(BD24,T_Equipos[NombreEquipo],0)))&amp;")")</f>
        <v>P.3 (2)</v>
      </c>
      <c r="CG24" s="632">
        <f t="shared" ca="1" si="42"/>
        <v>0</v>
      </c>
      <c r="CH24" s="632">
        <f t="shared" ca="1" si="43"/>
        <v>1</v>
      </c>
      <c r="CI24" s="632">
        <f t="shared" ca="1" si="44"/>
        <v>0</v>
      </c>
      <c r="CJ24" s="632">
        <f t="shared" ca="1" si="45"/>
        <v>1</v>
      </c>
      <c r="CK24" s="632">
        <f ca="1">CE24+COUNTIFS($CF$6:$CF$53,CF24,$CJ$6:CJ$53,"&gt;"&amp;CJ24,$BC$6:$BC$53,INDEX(T_Equipos[Grupo],MATCH(BD24,T_Equipos[NombreEquipo],0)))</f>
        <v>3</v>
      </c>
      <c r="CL24" s="631" t="str">
        <f ca="1">IF(COUNTIFS($CK$6:$CK$53,CK24,$BC$6:$BC$53,INDEX(T_Equipos[Grupo],MATCH(BD24,T_Equipos[NombreEquipo],0)))=1,"-","P."&amp;CK24&amp;" ("&amp;COUNTIFS($CK$6:$CK$53,CK24,$BC$6:$BC$53,INDEX(T_Equipos[Grupo],MATCH(BD24,T_Equipos[NombreEquipo],0)))&amp;")")</f>
        <v>P.3 (2)</v>
      </c>
      <c r="CM24" s="632">
        <f t="shared" ca="1" si="46"/>
        <v>0</v>
      </c>
      <c r="CN24" s="632">
        <f t="shared" ca="1" si="47"/>
        <v>0</v>
      </c>
      <c r="CO24" s="632">
        <f t="shared" ca="1" si="48"/>
        <v>0</v>
      </c>
      <c r="CP24" s="632">
        <f ca="1">CK24+COUNTIFS($CL$6:$CL$53,CL24,$CO$6:CO$53,"&gt;"&amp;CO24,$BC$6:$BC$53,INDEX(T_Equipos[Grupo],MATCH(BD24,T_Equipos[NombreEquipo],0)))</f>
        <v>3</v>
      </c>
      <c r="CQ24" s="631" t="str">
        <f ca="1">IF(COUNTIFS($CP$6:$CP$53,CP24,$BC$6:$BC$53,INDEX(T_Equipos[Grupo],MATCH(BD24,T_Equipos[NombreEquipo],0)))=1,"-","P."&amp;CP24&amp;" ("&amp;COUNTIFS($CP$6:$CP$53,CP24,$BC$6:$BC$53,INDEX(T_Equipos[Grupo],MATCH(BD24,T_Equipos[NombreEquipo],0)))&amp;")")</f>
        <v>P.3 (2)</v>
      </c>
      <c r="CR24" s="632">
        <f t="shared" ca="1" si="49"/>
        <v>0</v>
      </c>
      <c r="CS24" s="632">
        <f ca="1">CP24+COUNTIFS($CQ$6:$CQ$53,CQ24,$CR$6:CR$53,"&gt;"&amp;CR24,$BC$6:$BC$53,INDEX(T_Equipos[Grupo],MATCH(BD24,T_Equipos[NombreEquipo],0)))</f>
        <v>3</v>
      </c>
      <c r="CT24" s="631" t="str">
        <f ca="1">IF(COUNTIFS($CS$6:$CS$53,CS24,$BC$6:$BC$53,INDEX(T_Equipos[Grupo],MATCH(BD24,T_Equipos[NombreEquipo],0)))=1,"-","P."&amp;CS24&amp;" ("&amp;COUNTIFS($CS$6:$CS$53,CS24,$BC$6:$BC$53,INDEX(T_Equipos[Grupo],MATCH(BD24,T_Equipos[NombreEquipo],0)))&amp;")")</f>
        <v>P.3 (2)</v>
      </c>
      <c r="CU24" s="631">
        <f t="shared" ca="1" si="28"/>
        <v>-5</v>
      </c>
      <c r="CV24" s="631">
        <f ca="1">CS24+COUNTIFS($CT$6:$CT$53,CT24,$CU$6:CU$53,"&gt;"&amp;CU24,$BC$6:$BC$53,INDEX(T_Equipos[Grupo],MATCH(BD24,T_Equipos[NombreEquipo],0)))</f>
        <v>3</v>
      </c>
      <c r="CW24" s="631" t="str">
        <f ca="1">IF(COUNTIFS($CV$6:$CV$53,CV24,$BC$6:$BC$53,INDEX(T_Equipos[Grupo],MATCH(BD24,T_Equipos[NombreEquipo],0)))=1,"-","P."&amp;CV24&amp;" ("&amp;COUNTIFS($CV$6:$CV$53,CV24,$BC$6:$BC$53,INDEX(T_Equipos[Grupo],MATCH(BD24,T_Equipos[NombreEquipo],0)))&amp;")")</f>
        <v>P.3 (2)</v>
      </c>
      <c r="CX24" s="631">
        <f t="shared" ca="1" si="29"/>
        <v>0</v>
      </c>
      <c r="CY24" s="632">
        <f ca="1">CV24+COUNTIFS($CW$6:$CW$53,CW24,$CX$6:CX$53,"&gt;"&amp;CX24,$BC$6:$BC$53,INDEX(T_Equipos[Grupo],MATCH(BD24,T_Equipos[NombreEquipo],0)))</f>
        <v>3</v>
      </c>
      <c r="CZ24" s="631" t="str">
        <f ca="1">IF(COUNTIFS($CY$6:$CY$53,CY24,$BC$6:$BC$53,INDEX(T_Equipos[Grupo],MATCH(BD24,T_Equipos[NombreEquipo],0)))=1,"-","P."&amp;CY24&amp;" ("&amp;COUNTIFS($CY$6:$CY$53,CY24,$BC$6:$BC$53,INDEX(T_Equipos[Grupo],MATCH(BD24,T_Equipos[NombreEquipo],0)))&amp;")")</f>
        <v>P.3 (2)</v>
      </c>
      <c r="DA24" s="633">
        <f ca="1">IF(CZ24="-","-",COUNTIFS(T_Equipos[Rank],"&lt;"&amp;INDEX(T_Equipos[Rank],MATCH(BD24,T_Equipos[NombreEquipo],0)),$BC$6:$BC$53,INDEX(T_Equipos[Grupo],MATCH(BD24,T_Equipos[NombreEquipo],0)))+1)</f>
        <v>3</v>
      </c>
      <c r="DB24" s="630">
        <f ca="1">CY24+COUNTIFS($CZ$6:$CZ$53,CZ24,$DA$6:DA$53,"&lt;"&amp;DA24,$BC$6:$BC$53,INDEX(T_Equipos[Grupo],MATCH(BD24,T_Equipos[NombreEquipo],0)))</f>
        <v>4</v>
      </c>
      <c r="DC24" s="630"/>
      <c r="DD24" s="630">
        <f t="shared" ca="1" si="50"/>
        <v>4</v>
      </c>
      <c r="DE24" s="630">
        <f ca="1">IF(CZ24="-","-",COUNTIFS(DD$6:DD$53,"&lt;"&amp;DD24,$BC$6:$BC$53,INDEX(T_Equipos[Grupo],MATCH(BD24,T_Equipos[NombreEquipo],0))))</f>
        <v>3</v>
      </c>
      <c r="DF24" s="630">
        <f ca="1">CY24+COUNTIFS(CZ$6:CZ$53,CZ24,DE$6:DE$53,"&lt;"&amp;DE24,$BC$6:$BC$53,INDEX(T_Equipos[Grupo],MATCH(BD24,T_Equipos[NombreEquipo],0)))</f>
        <v>4</v>
      </c>
      <c r="DH24" s="10">
        <f t="shared" ca="1" si="51"/>
        <v>3</v>
      </c>
      <c r="DI24" s="10">
        <f t="shared" ca="1" si="24"/>
        <v>12</v>
      </c>
      <c r="DJ24" s="10">
        <f t="shared" ca="1" si="31"/>
        <v>2</v>
      </c>
      <c r="DK24" s="19" t="str">
        <f t="shared" ca="1" si="32"/>
        <v>3.2</v>
      </c>
      <c r="DL24" s="10" t="e" cm="1" vm="1">
        <f t="array" aca="1" ref="DL24" ca="1">OFFSET(Horarios!$P$3,DH24-1,0,DJ24,1)</f>
        <v>#VALUE!</v>
      </c>
      <c r="DN24" s="10" t="s">
        <v>95</v>
      </c>
      <c r="DO24" s="10" t="str">
        <f t="shared" ca="1" si="33"/>
        <v>Curazao</v>
      </c>
    </row>
    <row r="25" spans="1:119" ht="16.95" customHeight="1" thickBot="1">
      <c r="A25" s="643"/>
      <c r="B25" s="643"/>
      <c r="C25" s="643"/>
      <c r="D25" s="10" t="str">
        <f t="shared" si="70"/>
        <v>Local</v>
      </c>
      <c r="E25" s="10" t="str">
        <f t="shared" ca="1" si="71"/>
        <v>-</v>
      </c>
      <c r="F25" s="10" t="str">
        <f t="shared" ca="1" si="72"/>
        <v>-</v>
      </c>
      <c r="G25" s="10"/>
      <c r="H25" s="10" t="str">
        <f t="shared" ca="1" si="73"/>
        <v>-</v>
      </c>
      <c r="I25" s="10" t="str">
        <f t="shared" ca="1" si="74"/>
        <v>-</v>
      </c>
      <c r="J25" s="10"/>
      <c r="K25" s="10" t="str">
        <f t="shared" ca="1" si="75"/>
        <v>-</v>
      </c>
      <c r="L25" s="10" t="str">
        <f t="shared" ca="1" si="76"/>
        <v>-</v>
      </c>
      <c r="M25" s="10"/>
      <c r="N25" s="10" t="str">
        <f t="shared" ca="1" si="77"/>
        <v>-</v>
      </c>
      <c r="O25" s="10" t="str">
        <f t="shared" ca="1" si="78"/>
        <v>-</v>
      </c>
      <c r="P25" s="10"/>
      <c r="Q25" s="10" t="str">
        <f t="shared" ca="1" si="79"/>
        <v>-</v>
      </c>
      <c r="R25" s="10" t="str">
        <f t="shared" ca="1" si="80"/>
        <v>-</v>
      </c>
      <c r="S25" s="10"/>
      <c r="T25" s="10" t="str">
        <f t="shared" ca="1" si="81"/>
        <v>-</v>
      </c>
      <c r="U25" s="10" t="str">
        <f t="shared" ca="1" si="82"/>
        <v>-</v>
      </c>
      <c r="V25" s="20"/>
      <c r="W25" s="693"/>
      <c r="X25" s="31">
        <f ca="1">Horarios!C25</f>
        <v>46198</v>
      </c>
      <c r="Y25" s="32">
        <f ca="1">Horarios!C25</f>
        <v>46198</v>
      </c>
      <c r="Z25" s="33" t="str">
        <f>$Z$8</f>
        <v>J3</v>
      </c>
      <c r="AA25" s="34" t="str">
        <f ca="1">A22</f>
        <v>Marruecos</v>
      </c>
      <c r="AB25" s="59" t="str">
        <f ca="1">+INDEX(Equipos!$L$2:$L$49,MATCH(WORLDCUP!AA25,Equipos!$K$2:$K$49,0))</f>
        <v>🇲🇦</v>
      </c>
      <c r="AC25" s="60">
        <v>1</v>
      </c>
      <c r="AD25" s="61">
        <v>0</v>
      </c>
      <c r="AE25" s="62" t="str">
        <f ca="1">+INDEX(Equipos!$L$2:$L$49,MATCH(WORLDCUP!AF25,Equipos!$K$2:$K$49,0))</f>
        <v>🇭🇹</v>
      </c>
      <c r="AF25" s="36" t="str">
        <f ca="1">A23</f>
        <v>Haití</v>
      </c>
      <c r="AG25" s="335">
        <f t="shared" si="83"/>
        <v>1</v>
      </c>
      <c r="AH25" s="204">
        <v>50</v>
      </c>
      <c r="AI25" s="190" t="str">
        <f t="shared" si="87"/>
        <v>4C</v>
      </c>
      <c r="AJ25" s="49">
        <v>4</v>
      </c>
      <c r="AK25" s="51" t="str">
        <f ca="1">+INDEX(Equipos!$L$2:$L$49,MATCH(WORLDCUP!AL25,Equipos!$K$2:$K$49,0))</f>
        <v>🇭🇹</v>
      </c>
      <c r="AL25" s="51" t="str">
        <f ca="1">IFERROR(INDEX($BD$6:$BD$53,MATCH(AI25,$BN$6:$BN$53,0)),"")</f>
        <v>Haití</v>
      </c>
      <c r="AM25" s="52">
        <f t="shared" ca="1" si="86"/>
        <v>0</v>
      </c>
      <c r="AN25" s="53">
        <f t="shared" ca="1" si="86"/>
        <v>3</v>
      </c>
      <c r="AO25" s="53">
        <f t="shared" ca="1" si="86"/>
        <v>0</v>
      </c>
      <c r="AP25" s="53">
        <f t="shared" ca="1" si="86"/>
        <v>0</v>
      </c>
      <c r="AQ25" s="53">
        <f t="shared" ca="1" si="86"/>
        <v>3</v>
      </c>
      <c r="AR25" s="53">
        <f t="shared" ca="1" si="86"/>
        <v>1</v>
      </c>
      <c r="AS25" s="53">
        <f t="shared" ca="1" si="86"/>
        <v>6</v>
      </c>
      <c r="AT25" s="54">
        <f t="shared" ca="1" si="86"/>
        <v>-5</v>
      </c>
      <c r="AU25" s="342">
        <f ca="1">INDEX($DJ$6:$DJ$53,MATCH(AI25,$DN$6:$DN$53,0))</f>
        <v>1</v>
      </c>
      <c r="AV25" s="191" t="str">
        <f ca="1">INDEX($BD$6:$BD$53,MATCH(AI25,$BM$6:$BM$53,0))</f>
        <v>Haití</v>
      </c>
      <c r="AW25" s="219">
        <v>2</v>
      </c>
      <c r="AX25" s="179"/>
      <c r="AY25" s="214" t="str">
        <f ca="1">+A24</f>
        <v>Escocia</v>
      </c>
      <c r="AZ25" s="215"/>
      <c r="BA25" s="155"/>
      <c r="BC25" s="630" t="str">
        <f ca="1">+INDEX(T_Equipos[Grupo],MATCH(WORLDCUP!BD25,T_Equipos[NombreEquipo],0))</f>
        <v>E</v>
      </c>
      <c r="BD25" s="10" t="str">
        <f ca="1">+Equipos!B21</f>
        <v>Ecuador</v>
      </c>
      <c r="BE25" s="424">
        <f t="shared" ca="1" si="16"/>
        <v>6</v>
      </c>
      <c r="BF25" s="424">
        <f t="shared" ca="1" si="25"/>
        <v>3</v>
      </c>
      <c r="BG25" s="424">
        <f t="shared" ca="1" si="17"/>
        <v>2</v>
      </c>
      <c r="BH25" s="424">
        <f t="shared" ca="1" si="18"/>
        <v>0</v>
      </c>
      <c r="BI25" s="424">
        <f t="shared" ca="1" si="19"/>
        <v>1</v>
      </c>
      <c r="BJ25" s="424">
        <f t="shared" ca="1" si="20"/>
        <v>5</v>
      </c>
      <c r="BK25" s="424">
        <f t="shared" ca="1" si="21"/>
        <v>2</v>
      </c>
      <c r="BL25" s="424">
        <f t="shared" ca="1" si="26"/>
        <v>3</v>
      </c>
      <c r="BM25" s="424" t="str">
        <f t="shared" ca="1" si="22"/>
        <v>2E</v>
      </c>
      <c r="BN25" s="424" t="str">
        <f t="shared" ca="1" si="23"/>
        <v>2E</v>
      </c>
      <c r="BO25" s="630"/>
      <c r="BP25" s="631">
        <f t="shared" ca="1" si="27"/>
        <v>6</v>
      </c>
      <c r="BQ25" s="631">
        <f ca="1">COUNTIFS($BE$6:$BE$53,"&gt;"&amp;BE25,$BC$6:$BC$53,INDEX(T_Equipos[Grupo],MATCH(BD25,T_Equipos[NombreEquipo],0)))+1</f>
        <v>2</v>
      </c>
      <c r="BR25" s="631" t="str">
        <f ca="1">IF(COUNTIFS($BQ$6:$BQ$53,BQ25,$BC$6:$BC$53,INDEX(T_Equipos[Grupo],MATCH(BD25,T_Equipos[NombreEquipo],0)))=1,"-","P."&amp;BQ25&amp;" ("&amp;COUNTIFS($BQ$6:$BQ$53,BQ25,$BC$6:$BC$53,INDEX(T_Equipos[Grupo],MATCH(BD25,T_Equipos[NombreEquipo],0)))&amp;")")</f>
        <v>-</v>
      </c>
      <c r="BS25" s="632" t="str">
        <f t="shared" ca="1" si="34"/>
        <v>-</v>
      </c>
      <c r="BT25" s="632" t="str">
        <f t="shared" ca="1" si="35"/>
        <v>-</v>
      </c>
      <c r="BU25" s="632" t="str">
        <f t="shared" ca="1" si="36"/>
        <v>-</v>
      </c>
      <c r="BV25" s="632" t="str">
        <f t="shared" ca="1" si="37"/>
        <v>-</v>
      </c>
      <c r="BW25" s="632">
        <f ca="1">BQ25+COUNTIFS($BR$6:$BR$53,BR25,$BV$6:BV$53,"&gt;"&amp;BV25,$BC$6:$BC$53,INDEX(T_Equipos[Grupo],MATCH(BD25,T_Equipos[NombreEquipo],0)))</f>
        <v>2</v>
      </c>
      <c r="BX25" s="631" t="str">
        <f ca="1">IF(COUNTIFS($BW$6:$BW$53,BW25,$BC$6:$BC$53,INDEX(T_Equipos[Grupo],MATCH(BD25,T_Equipos[NombreEquipo],0)))=1,"-","P."&amp;BW25&amp;" ("&amp;COUNTIFS($BW$6:$BW$53,BW25,$BC$6:$BC$53,INDEX(T_Equipos[Grupo],MATCH(BD25,T_Equipos[NombreEquipo],0)))&amp;")")</f>
        <v>-</v>
      </c>
      <c r="BY25" s="632" t="str">
        <f t="shared" ca="1" si="38"/>
        <v>-</v>
      </c>
      <c r="BZ25" s="632" t="str">
        <f t="shared" ca="1" si="39"/>
        <v>-</v>
      </c>
      <c r="CA25" s="632" t="str">
        <f t="shared" ca="1" si="40"/>
        <v>-</v>
      </c>
      <c r="CB25" s="632">
        <f ca="1">BW25+COUNTIFS($BX$6:$BX$53,BX25,$CA$6:CA$53,"&gt;"&amp;CA25,$BC$6:$BC$53,INDEX(T_Equipos[Grupo],MATCH(BD25,T_Equipos[NombreEquipo],0)))</f>
        <v>2</v>
      </c>
      <c r="CC25" s="631" t="str">
        <f ca="1">IF(COUNTIFS($CB$6:$CB$53,CB25,$BC$6:$BC$53,INDEX(T_Equipos[Grupo],MATCH(BD25,T_Equipos[NombreEquipo],0)))=1,"-","P."&amp;CB25&amp;" ("&amp;COUNTIFS($CB$6:$CB$53,CB25,$BC$6:$BC$53,INDEX(T_Equipos[Grupo],MATCH(BD25,T_Equipos[NombreEquipo],0)))&amp;")")</f>
        <v>-</v>
      </c>
      <c r="CD25" s="632" t="str">
        <f t="shared" ca="1" si="41"/>
        <v>-</v>
      </c>
      <c r="CE25" s="632">
        <f ca="1">CB25+COUNTIFS($CC$6:$CC$53,CC25,$CD$6:CD$53,"&gt;"&amp;CD25,$BC$6:$BC$53,INDEX(T_Equipos[Grupo],MATCH(BD25,T_Equipos[NombreEquipo],0)))</f>
        <v>2</v>
      </c>
      <c r="CF25" s="631" t="str">
        <f ca="1">IF(COUNTIFS($CE$6:$CE$53,CE25,$BC$6:$BC$53,INDEX(T_Equipos[Grupo],MATCH(BD25,T_Equipos[NombreEquipo],0)))=1,"-","P."&amp;CE25&amp;" ("&amp;COUNTIFS($CE$6:$CE$53,CE25,$BC$6:$BC$53,INDEX(T_Equipos[Grupo],MATCH(BD25,T_Equipos[NombreEquipo],0)))&amp;")")</f>
        <v>-</v>
      </c>
      <c r="CG25" s="632" t="str">
        <f t="shared" ca="1" si="42"/>
        <v>-</v>
      </c>
      <c r="CH25" s="632" t="str">
        <f t="shared" ca="1" si="43"/>
        <v>-</v>
      </c>
      <c r="CI25" s="632" t="str">
        <f t="shared" ca="1" si="44"/>
        <v>-</v>
      </c>
      <c r="CJ25" s="632" t="str">
        <f t="shared" ca="1" si="45"/>
        <v>-</v>
      </c>
      <c r="CK25" s="632">
        <f ca="1">CE25+COUNTIFS($CF$6:$CF$53,CF25,$CJ$6:CJ$53,"&gt;"&amp;CJ25,$BC$6:$BC$53,INDEX(T_Equipos[Grupo],MATCH(BD25,T_Equipos[NombreEquipo],0)))</f>
        <v>2</v>
      </c>
      <c r="CL25" s="631" t="str">
        <f ca="1">IF(COUNTIFS($CK$6:$CK$53,CK25,$BC$6:$BC$53,INDEX(T_Equipos[Grupo],MATCH(BD25,T_Equipos[NombreEquipo],0)))=1,"-","P."&amp;CK25&amp;" ("&amp;COUNTIFS($CK$6:$CK$53,CK25,$BC$6:$BC$53,INDEX(T_Equipos[Grupo],MATCH(BD25,T_Equipos[NombreEquipo],0)))&amp;")")</f>
        <v>-</v>
      </c>
      <c r="CM25" s="632" t="str">
        <f t="shared" ca="1" si="46"/>
        <v>-</v>
      </c>
      <c r="CN25" s="632" t="str">
        <f t="shared" ca="1" si="47"/>
        <v>-</v>
      </c>
      <c r="CO25" s="632" t="str">
        <f t="shared" ca="1" si="48"/>
        <v>-</v>
      </c>
      <c r="CP25" s="632">
        <f ca="1">CK25+COUNTIFS($CL$6:$CL$53,CL25,$CO$6:CO$53,"&gt;"&amp;CO25,$BC$6:$BC$53,INDEX(T_Equipos[Grupo],MATCH(BD25,T_Equipos[NombreEquipo],0)))</f>
        <v>2</v>
      </c>
      <c r="CQ25" s="631" t="str">
        <f ca="1">IF(COUNTIFS($CP$6:$CP$53,CP25,$BC$6:$BC$53,INDEX(T_Equipos[Grupo],MATCH(BD25,T_Equipos[NombreEquipo],0)))=1,"-","P."&amp;CP25&amp;" ("&amp;COUNTIFS($CP$6:$CP$53,CP25,$BC$6:$BC$53,INDEX(T_Equipos[Grupo],MATCH(BD25,T_Equipos[NombreEquipo],0)))&amp;")")</f>
        <v>-</v>
      </c>
      <c r="CR25" s="632" t="str">
        <f t="shared" ca="1" si="49"/>
        <v>-</v>
      </c>
      <c r="CS25" s="632">
        <f ca="1">CP25+COUNTIFS($CQ$6:$CQ$53,CQ25,$CR$6:CR$53,"&gt;"&amp;CR25,$BC$6:$BC$53,INDEX(T_Equipos[Grupo],MATCH(BD25,T_Equipos[NombreEquipo],0)))</f>
        <v>2</v>
      </c>
      <c r="CT25" s="631" t="str">
        <f ca="1">IF(COUNTIFS($CS$6:$CS$53,CS25,$BC$6:$BC$53,INDEX(T_Equipos[Grupo],MATCH(BD25,T_Equipos[NombreEquipo],0)))=1,"-","P."&amp;CS25&amp;" ("&amp;COUNTIFS($CS$6:$CS$53,CS25,$BC$6:$BC$53,INDEX(T_Equipos[Grupo],MATCH(BD25,T_Equipos[NombreEquipo],0)))&amp;")")</f>
        <v>-</v>
      </c>
      <c r="CU25" s="631" t="str">
        <f t="shared" ca="1" si="28"/>
        <v>-</v>
      </c>
      <c r="CV25" s="631">
        <f ca="1">CS25+COUNTIFS($CT$6:$CT$53,CT25,$CU$6:CU$53,"&gt;"&amp;CU25,$BC$6:$BC$53,INDEX(T_Equipos[Grupo],MATCH(BD25,T_Equipos[NombreEquipo],0)))</f>
        <v>2</v>
      </c>
      <c r="CW25" s="631" t="str">
        <f ca="1">IF(COUNTIFS($CV$6:$CV$53,CV25,$BC$6:$BC$53,INDEX(T_Equipos[Grupo],MATCH(BD25,T_Equipos[NombreEquipo],0)))=1,"-","P."&amp;CV25&amp;" ("&amp;COUNTIFS($CV$6:$CV$53,CV25,$BC$6:$BC$53,INDEX(T_Equipos[Grupo],MATCH(BD25,T_Equipos[NombreEquipo],0)))&amp;")")</f>
        <v>-</v>
      </c>
      <c r="CX25" s="631" t="str">
        <f t="shared" ca="1" si="29"/>
        <v>-</v>
      </c>
      <c r="CY25" s="632">
        <f ca="1">CV25+COUNTIFS($CW$6:$CW$53,CW25,$CX$6:CX$53,"&gt;"&amp;CX25,$BC$6:$BC$53,INDEX(T_Equipos[Grupo],MATCH(BD25,T_Equipos[NombreEquipo],0)))</f>
        <v>2</v>
      </c>
      <c r="CZ25" s="631" t="str">
        <f ca="1">IF(COUNTIFS($CY$6:$CY$53,CY25,$BC$6:$BC$53,INDEX(T_Equipos[Grupo],MATCH(BD25,T_Equipos[NombreEquipo],0)))=1,"-","P."&amp;CY25&amp;" ("&amp;COUNTIFS($CY$6:$CY$53,CY25,$BC$6:$BC$53,INDEX(T_Equipos[Grupo],MATCH(BD25,T_Equipos[NombreEquipo],0)))&amp;")")</f>
        <v>-</v>
      </c>
      <c r="DA25" s="633" t="str">
        <f ca="1">IF(CZ25="-","-",COUNTIFS(T_Equipos[Rank],"&lt;"&amp;INDEX(T_Equipos[Rank],MATCH(BD25,T_Equipos[NombreEquipo],0)),$BC$6:$BC$53,INDEX(T_Equipos[Grupo],MATCH(BD25,T_Equipos[NombreEquipo],0)))+1)</f>
        <v>-</v>
      </c>
      <c r="DB25" s="630">
        <f ca="1">CY25+COUNTIFS($CZ$6:$CZ$53,CZ25,$DA$6:DA$53,"&lt;"&amp;DA25,$BC$6:$BC$53,INDEX(T_Equipos[Grupo],MATCH(BD25,T_Equipos[NombreEquipo],0)))</f>
        <v>2</v>
      </c>
      <c r="DC25" s="630"/>
      <c r="DD25" s="630">
        <f t="shared" ca="1" si="50"/>
        <v>2</v>
      </c>
      <c r="DE25" s="630" t="str">
        <f ca="1">IF(CZ25="-","-",COUNTIFS(DD$6:DD$53,"&lt;"&amp;DD25,$BC$6:$BC$53,INDEX(T_Equipos[Grupo],MATCH(BD25,T_Equipos[NombreEquipo],0))))</f>
        <v>-</v>
      </c>
      <c r="DF25" s="630">
        <f ca="1">CY25+COUNTIFS(CZ$6:CZ$53,CZ25,DE$6:DE$53,"&lt;"&amp;DE25,$BC$6:$BC$53,INDEX(T_Equipos[Grupo],MATCH(BD25,T_Equipos[NombreEquipo],0)))</f>
        <v>2</v>
      </c>
      <c r="DH25" s="10">
        <f t="shared" ca="1" si="51"/>
        <v>3</v>
      </c>
      <c r="DI25" s="10">
        <f t="shared" ca="1" si="24"/>
        <v>12</v>
      </c>
      <c r="DJ25" s="10">
        <f t="shared" ca="1" si="31"/>
        <v>2</v>
      </c>
      <c r="DK25" s="19" t="str">
        <f t="shared" ca="1" si="32"/>
        <v>3.2</v>
      </c>
      <c r="DL25" s="10" t="e" cm="1" vm="1">
        <f t="array" aca="1" ref="DL25" ca="1">OFFSET(Horarios!$P$3,DH25-1,0,DJ25,1)</f>
        <v>#VALUE!</v>
      </c>
      <c r="DN25" s="10" t="s">
        <v>682</v>
      </c>
      <c r="DO25" s="10" t="str">
        <f t="shared" ca="1" si="33"/>
        <v>Costa de Marfil</v>
      </c>
    </row>
    <row r="26" spans="1:119" ht="15" thickBot="1">
      <c r="A26" s="643"/>
      <c r="B26" s="643"/>
      <c r="C26" s="643"/>
      <c r="D26" s="10"/>
      <c r="E26" s="10"/>
      <c r="F26" s="10"/>
      <c r="G26" s="10"/>
      <c r="H26" s="10"/>
      <c r="I26" s="10"/>
      <c r="J26" s="10"/>
      <c r="K26" s="10"/>
      <c r="L26" s="10"/>
      <c r="M26" s="10"/>
      <c r="N26" s="10"/>
      <c r="O26" s="10"/>
      <c r="P26" s="10"/>
      <c r="Q26" s="10"/>
      <c r="R26" s="10"/>
      <c r="S26" s="10"/>
      <c r="T26" s="10"/>
      <c r="U26" s="10"/>
      <c r="V26" s="20"/>
      <c r="W26" s="162"/>
      <c r="X26" s="163"/>
      <c r="Y26" s="162"/>
      <c r="Z26" s="164"/>
      <c r="AA26" s="165"/>
      <c r="AB26" s="166"/>
      <c r="AC26" s="159"/>
      <c r="AD26" s="159"/>
      <c r="AE26" s="166"/>
      <c r="AF26" s="167"/>
      <c r="AG26" s="337"/>
      <c r="AH26" s="204"/>
      <c r="AI26" s="189"/>
      <c r="AJ26" s="168"/>
      <c r="AK26" s="169"/>
      <c r="AL26" s="170"/>
      <c r="AM26" s="171"/>
      <c r="AN26" s="168"/>
      <c r="AO26" s="168"/>
      <c r="AP26" s="168"/>
      <c r="AQ26" s="168"/>
      <c r="AR26" s="168"/>
      <c r="AS26" s="168"/>
      <c r="AT26" s="168"/>
      <c r="AU26" s="342"/>
      <c r="AV26" s="198"/>
      <c r="AW26" s="220"/>
      <c r="AX26" s="179"/>
      <c r="AY26" s="162"/>
      <c r="AZ26" s="163"/>
      <c r="BA26" s="155"/>
      <c r="BC26" s="630" t="str">
        <f ca="1">+INDEX(T_Equipos[Grupo],MATCH(WORLDCUP!BD26,T_Equipos[NombreEquipo],0))</f>
        <v>F</v>
      </c>
      <c r="BD26" s="10" t="str">
        <f ca="1">+Equipos!B22</f>
        <v>Países Bajos</v>
      </c>
      <c r="BE26" s="424">
        <f t="shared" ca="1" si="16"/>
        <v>6</v>
      </c>
      <c r="BF26" s="424">
        <f t="shared" ca="1" si="25"/>
        <v>3</v>
      </c>
      <c r="BG26" s="424">
        <f t="shared" ca="1" si="17"/>
        <v>2</v>
      </c>
      <c r="BH26" s="424">
        <f t="shared" ca="1" si="18"/>
        <v>0</v>
      </c>
      <c r="BI26" s="424">
        <f t="shared" ca="1" si="19"/>
        <v>1</v>
      </c>
      <c r="BJ26" s="424">
        <f t="shared" ca="1" si="20"/>
        <v>2</v>
      </c>
      <c r="BK26" s="424">
        <f t="shared" ca="1" si="21"/>
        <v>2</v>
      </c>
      <c r="BL26" s="424">
        <f t="shared" ca="1" si="26"/>
        <v>0</v>
      </c>
      <c r="BM26" s="424" t="str">
        <f t="shared" ca="1" si="22"/>
        <v>2F</v>
      </c>
      <c r="BN26" s="424" t="str">
        <f t="shared" ca="1" si="23"/>
        <v>2F</v>
      </c>
      <c r="BO26" s="630"/>
      <c r="BP26" s="632">
        <f t="shared" ca="1" si="27"/>
        <v>6</v>
      </c>
      <c r="BQ26" s="631">
        <f ca="1">COUNTIFS($BE$6:$BE$53,"&gt;"&amp;BE26,$BC$6:$BC$53,INDEX(T_Equipos[Grupo],MATCH(BD26,T_Equipos[NombreEquipo],0)))+1</f>
        <v>1</v>
      </c>
      <c r="BR26" s="631" t="str">
        <f ca="1">IF(COUNTIFS($BQ$6:$BQ$53,BQ26,$BC$6:$BC$53,INDEX(T_Equipos[Grupo],MATCH(BD26,T_Equipos[NombreEquipo],0)))=1,"-","P."&amp;BQ26&amp;" ("&amp;COUNTIFS($BQ$6:$BQ$53,BQ26,$BC$6:$BC$53,INDEX(T_Equipos[Grupo],MATCH(BD26,T_Equipos[NombreEquipo],0)))&amp;")")</f>
        <v>P.1 (2)</v>
      </c>
      <c r="BS26" s="632">
        <f t="shared" ca="1" si="34"/>
        <v>0</v>
      </c>
      <c r="BT26" s="632">
        <f t="shared" ca="1" si="35"/>
        <v>0</v>
      </c>
      <c r="BU26" s="632">
        <f t="shared" ca="1" si="36"/>
        <v>1</v>
      </c>
      <c r="BV26" s="632">
        <f t="shared" ca="1" si="37"/>
        <v>0</v>
      </c>
      <c r="BW26" s="632">
        <f ca="1">BQ26+COUNTIFS($BR$6:$BR$53,BR26,$BV$6:BV$53,"&gt;"&amp;BV26,$BC$6:$BC$53,INDEX(T_Equipos[Grupo],MATCH(BD26,T_Equipos[NombreEquipo],0)))</f>
        <v>2</v>
      </c>
      <c r="BX26" s="631" t="str">
        <f ca="1">IF(COUNTIFS($BW$6:$BW$53,BW26,$BC$6:$BC$53,INDEX(T_Equipos[Grupo],MATCH(BD26,T_Equipos[NombreEquipo],0)))=1,"-","P."&amp;BW26&amp;" ("&amp;COUNTIFS($BW$6:$BW$53,BW26,$BC$6:$BC$53,INDEX(T_Equipos[Grupo],MATCH(BD26,T_Equipos[NombreEquipo],0)))&amp;")")</f>
        <v>-</v>
      </c>
      <c r="BY26" s="632" t="str">
        <f t="shared" ca="1" si="38"/>
        <v>-</v>
      </c>
      <c r="BZ26" s="632" t="str">
        <f t="shared" ca="1" si="39"/>
        <v>-</v>
      </c>
      <c r="CA26" s="632" t="str">
        <f t="shared" ca="1" si="40"/>
        <v>-</v>
      </c>
      <c r="CB26" s="632">
        <f ca="1">BW26+COUNTIFS($BX$6:$BX$53,BX26,$CA$6:CA$53,"&gt;"&amp;CA26,$BC$6:$BC$53,INDEX(T_Equipos[Grupo],MATCH(BD26,T_Equipos[NombreEquipo],0)))</f>
        <v>2</v>
      </c>
      <c r="CC26" s="631" t="str">
        <f ca="1">IF(COUNTIFS($CB$6:$CB$53,CB26,$BC$6:$BC$53,INDEX(T_Equipos[Grupo],MATCH(BD26,T_Equipos[NombreEquipo],0)))=1,"-","P."&amp;CB26&amp;" ("&amp;COUNTIFS($CB$6:$CB$53,CB26,$BC$6:$BC$53,INDEX(T_Equipos[Grupo],MATCH(BD26,T_Equipos[NombreEquipo],0)))&amp;")")</f>
        <v>-</v>
      </c>
      <c r="CD26" s="632" t="str">
        <f t="shared" ca="1" si="41"/>
        <v>-</v>
      </c>
      <c r="CE26" s="632">
        <f ca="1">CB26+COUNTIFS($CC$6:$CC$53,CC26,$CD$6:CD$53,"&gt;"&amp;CD26,$BC$6:$BC$53,INDEX(T_Equipos[Grupo],MATCH(BD26,T_Equipos[NombreEquipo],0)))</f>
        <v>2</v>
      </c>
      <c r="CF26" s="631" t="str">
        <f ca="1">IF(COUNTIFS($CE$6:$CE$53,CE26,$BC$6:$BC$53,INDEX(T_Equipos[Grupo],MATCH(BD26,T_Equipos[NombreEquipo],0)))=1,"-","P."&amp;CE26&amp;" ("&amp;COUNTIFS($CE$6:$CE$53,CE26,$BC$6:$BC$53,INDEX(T_Equipos[Grupo],MATCH(BD26,T_Equipos[NombreEquipo],0)))&amp;")")</f>
        <v>-</v>
      </c>
      <c r="CG26" s="632" t="str">
        <f t="shared" ca="1" si="42"/>
        <v>-</v>
      </c>
      <c r="CH26" s="632" t="str">
        <f t="shared" ca="1" si="43"/>
        <v>-</v>
      </c>
      <c r="CI26" s="632" t="str">
        <f t="shared" ca="1" si="44"/>
        <v>-</v>
      </c>
      <c r="CJ26" s="632" t="str">
        <f t="shared" ca="1" si="45"/>
        <v>-</v>
      </c>
      <c r="CK26" s="632">
        <f ca="1">CE26+COUNTIFS($CF$6:$CF$53,CF26,$CJ$6:CJ$53,"&gt;"&amp;CJ26,$BC$6:$BC$53,INDEX(T_Equipos[Grupo],MATCH(BD26,T_Equipos[NombreEquipo],0)))</f>
        <v>2</v>
      </c>
      <c r="CL26" s="631" t="str">
        <f ca="1">IF(COUNTIFS($CK$6:$CK$53,CK26,$BC$6:$BC$53,INDEX(T_Equipos[Grupo],MATCH(BD26,T_Equipos[NombreEquipo],0)))=1,"-","P."&amp;CK26&amp;" ("&amp;COUNTIFS($CK$6:$CK$53,CK26,$BC$6:$BC$53,INDEX(T_Equipos[Grupo],MATCH(BD26,T_Equipos[NombreEquipo],0)))&amp;")")</f>
        <v>-</v>
      </c>
      <c r="CM26" s="632" t="str">
        <f t="shared" ca="1" si="46"/>
        <v>-</v>
      </c>
      <c r="CN26" s="632" t="str">
        <f t="shared" ca="1" si="47"/>
        <v>-</v>
      </c>
      <c r="CO26" s="632" t="str">
        <f t="shared" ca="1" si="48"/>
        <v>-</v>
      </c>
      <c r="CP26" s="632">
        <f ca="1">CK26+COUNTIFS($CL$6:$CL$53,CL26,$CO$6:CO$53,"&gt;"&amp;CO26,$BC$6:$BC$53,INDEX(T_Equipos[Grupo],MATCH(BD26,T_Equipos[NombreEquipo],0)))</f>
        <v>2</v>
      </c>
      <c r="CQ26" s="631" t="str">
        <f ca="1">IF(COUNTIFS($CP$6:$CP$53,CP26,$BC$6:$BC$53,INDEX(T_Equipos[Grupo],MATCH(BD26,T_Equipos[NombreEquipo],0)))=1,"-","P."&amp;CP26&amp;" ("&amp;COUNTIFS($CP$6:$CP$53,CP26,$BC$6:$BC$53,INDEX(T_Equipos[Grupo],MATCH(BD26,T_Equipos[NombreEquipo],0)))&amp;")")</f>
        <v>-</v>
      </c>
      <c r="CR26" s="632" t="str">
        <f t="shared" ca="1" si="49"/>
        <v>-</v>
      </c>
      <c r="CS26" s="632">
        <f ca="1">CP26+COUNTIFS($CQ$6:$CQ$53,CQ26,$CR$6:CR$53,"&gt;"&amp;CR26,$BC$6:$BC$53,INDEX(T_Equipos[Grupo],MATCH(BD26,T_Equipos[NombreEquipo],0)))</f>
        <v>2</v>
      </c>
      <c r="CT26" s="631" t="str">
        <f ca="1">IF(COUNTIFS($CS$6:$CS$53,CS26,$BC$6:$BC$53,INDEX(T_Equipos[Grupo],MATCH(BD26,T_Equipos[NombreEquipo],0)))=1,"-","P."&amp;CS26&amp;" ("&amp;COUNTIFS($CS$6:$CS$53,CS26,$BC$6:$BC$53,INDEX(T_Equipos[Grupo],MATCH(BD26,T_Equipos[NombreEquipo],0)))&amp;")")</f>
        <v>-</v>
      </c>
      <c r="CU26" s="631" t="str">
        <f t="shared" ca="1" si="28"/>
        <v>-</v>
      </c>
      <c r="CV26" s="631">
        <f ca="1">CS26+COUNTIFS($CT$6:$CT$53,CT26,$CU$6:CU$53,"&gt;"&amp;CU26,$BC$6:$BC$53,INDEX(T_Equipos[Grupo],MATCH(BD26,T_Equipos[NombreEquipo],0)))</f>
        <v>2</v>
      </c>
      <c r="CW26" s="631" t="str">
        <f ca="1">IF(COUNTIFS($CV$6:$CV$53,CV26,$BC$6:$BC$53,INDEX(T_Equipos[Grupo],MATCH(BD26,T_Equipos[NombreEquipo],0)))=1,"-","P."&amp;CV26&amp;" ("&amp;COUNTIFS($CV$6:$CV$53,CV26,$BC$6:$BC$53,INDEX(T_Equipos[Grupo],MATCH(BD26,T_Equipos[NombreEquipo],0)))&amp;")")</f>
        <v>-</v>
      </c>
      <c r="CX26" s="631" t="str">
        <f t="shared" ca="1" si="29"/>
        <v>-</v>
      </c>
      <c r="CY26" s="632">
        <f ca="1">CV26+COUNTIFS($CW$6:$CW$53,CW26,$CX$6:CX$53,"&gt;"&amp;CX26,$BC$6:$BC$53,INDEX(T_Equipos[Grupo],MATCH(BD26,T_Equipos[NombreEquipo],0)))</f>
        <v>2</v>
      </c>
      <c r="CZ26" s="631" t="str">
        <f ca="1">IF(COUNTIFS($CY$6:$CY$53,CY26,$BC$6:$BC$53,INDEX(T_Equipos[Grupo],MATCH(BD26,T_Equipos[NombreEquipo],0)))=1,"-","P."&amp;CY26&amp;" ("&amp;COUNTIFS($CY$6:$CY$53,CY26,$BC$6:$BC$53,INDEX(T_Equipos[Grupo],MATCH(BD26,T_Equipos[NombreEquipo],0)))&amp;")")</f>
        <v>-</v>
      </c>
      <c r="DA26" s="633" t="str">
        <f ca="1">IF(CZ26="-","-",COUNTIFS(T_Equipos[Rank],"&lt;"&amp;INDEX(T_Equipos[Rank],MATCH(BD26,T_Equipos[NombreEquipo],0)),$BC$6:$BC$53,INDEX(T_Equipos[Grupo],MATCH(BD26,T_Equipos[NombreEquipo],0)))+1)</f>
        <v>-</v>
      </c>
      <c r="DB26" s="630">
        <f ca="1">CY26+COUNTIFS($CZ$6:$CZ$53,CZ26,$DA$6:DA$53,"&lt;"&amp;DA26,$BC$6:$BC$53,INDEX(T_Equipos[Grupo],MATCH(BD26,T_Equipos[NombreEquipo],0)))</f>
        <v>2</v>
      </c>
      <c r="DC26" s="630"/>
      <c r="DD26" s="630">
        <f t="shared" ca="1" si="50"/>
        <v>2</v>
      </c>
      <c r="DE26" s="630" t="str">
        <f ca="1">IF(CZ26="-","-",COUNTIFS(DD$6:DD$53,"&lt;"&amp;DD26,$BC$6:$BC$53,INDEX(T_Equipos[Grupo],MATCH(BD26,T_Equipos[NombreEquipo],0))))</f>
        <v>-</v>
      </c>
      <c r="DF26" s="630">
        <f ca="1">CY26+COUNTIFS(CZ$6:CZ$53,CZ26,DE$6:DE$53,"&lt;"&amp;DE26,$BC$6:$BC$53,INDEX(T_Equipos[Grupo],MATCH(BD26,T_Equipos[NombreEquipo],0)))</f>
        <v>2</v>
      </c>
      <c r="DH26" s="10">
        <f t="shared" ca="1" si="51"/>
        <v>1</v>
      </c>
      <c r="DI26" s="10">
        <f t="shared" ca="1" si="24"/>
        <v>12</v>
      </c>
      <c r="DJ26" s="10">
        <f t="shared" ca="1" si="31"/>
        <v>1</v>
      </c>
      <c r="DK26" s="19" t="str">
        <f t="shared" ca="1" si="32"/>
        <v>1.1</v>
      </c>
      <c r="DL26" s="10" cm="1">
        <f t="array" aca="1" ref="DL26" ca="1">OFFSET(Horarios!$P$3,DH26-1,0,DJ26,1)</f>
        <v>1</v>
      </c>
      <c r="DN26" s="10" t="s">
        <v>683</v>
      </c>
      <c r="DO26" s="10" t="str">
        <f t="shared" ca="1" si="33"/>
        <v>Túnez</v>
      </c>
    </row>
    <row r="27" spans="1:119" ht="15" thickBot="1">
      <c r="A27" s="643"/>
      <c r="B27" s="11"/>
      <c r="C27" s="643"/>
      <c r="D27" s="643"/>
      <c r="E27" s="643"/>
      <c r="F27" s="643"/>
      <c r="G27" s="643"/>
      <c r="H27" s="643"/>
      <c r="I27" s="643"/>
      <c r="J27" s="643"/>
      <c r="K27" s="643"/>
      <c r="L27" s="643"/>
      <c r="M27" s="643"/>
      <c r="N27" s="10"/>
      <c r="O27" s="10"/>
      <c r="P27" s="10"/>
      <c r="Q27" s="10"/>
      <c r="R27" s="10"/>
      <c r="S27" s="10"/>
      <c r="T27" s="10"/>
      <c r="U27" s="10"/>
      <c r="V27" s="20"/>
      <c r="W27" s="9"/>
      <c r="X27" s="77" t="str">
        <f>X11</f>
        <v>Fecha</v>
      </c>
      <c r="Y27" s="77" t="str">
        <f>Y11</f>
        <v>Hora</v>
      </c>
      <c r="Z27" s="63" t="str">
        <f t="shared" ref="Z27:AA27" si="88">Z11</f>
        <v>Jor.</v>
      </c>
      <c r="AA27" s="65" t="str">
        <f t="shared" si="88"/>
        <v>Casa</v>
      </c>
      <c r="AB27" s="64"/>
      <c r="AC27" s="63" t="str">
        <f>AC3</f>
        <v>Gol</v>
      </c>
      <c r="AD27" s="63" t="str">
        <f>AD3</f>
        <v>Gol</v>
      </c>
      <c r="AE27" s="64"/>
      <c r="AF27" s="66" t="str">
        <f t="shared" ref="AF27" si="89">AF11</f>
        <v>Fuera</v>
      </c>
      <c r="AG27" s="336"/>
      <c r="AH27" s="204"/>
      <c r="AI27" s="188"/>
      <c r="AJ27" s="170"/>
      <c r="AK27" s="172"/>
      <c r="AL27" s="170"/>
      <c r="AM27" s="170"/>
      <c r="AN27" s="170"/>
      <c r="AO27" s="170"/>
      <c r="AP27" s="170"/>
      <c r="AQ27" s="170"/>
      <c r="AR27" s="170"/>
      <c r="AS27" s="170"/>
      <c r="AT27" s="170"/>
      <c r="AU27" s="343"/>
      <c r="AV27" s="197"/>
      <c r="AW27" s="221"/>
      <c r="AX27" s="180"/>
      <c r="AY27" s="162"/>
      <c r="AZ27" s="163"/>
      <c r="BA27" s="155"/>
      <c r="BC27" s="630" t="str">
        <f ca="1">+INDEX(T_Equipos[Grupo],MATCH(WORLDCUP!BD27,T_Equipos[NombreEquipo],0))</f>
        <v>F</v>
      </c>
      <c r="BD27" s="10" t="str">
        <f ca="1">+Equipos!B23</f>
        <v>Japón</v>
      </c>
      <c r="BE27" s="424">
        <f t="shared" ca="1" si="16"/>
        <v>3</v>
      </c>
      <c r="BF27" s="424">
        <f t="shared" ca="1" si="25"/>
        <v>3</v>
      </c>
      <c r="BG27" s="424">
        <f t="shared" ca="1" si="17"/>
        <v>1</v>
      </c>
      <c r="BH27" s="424">
        <f t="shared" ca="1" si="18"/>
        <v>0</v>
      </c>
      <c r="BI27" s="424">
        <f t="shared" ca="1" si="19"/>
        <v>2</v>
      </c>
      <c r="BJ27" s="424">
        <f t="shared" ca="1" si="20"/>
        <v>1</v>
      </c>
      <c r="BK27" s="424">
        <f t="shared" ca="1" si="21"/>
        <v>2</v>
      </c>
      <c r="BL27" s="424">
        <f t="shared" ca="1" si="26"/>
        <v>-1</v>
      </c>
      <c r="BM27" s="424" t="str">
        <f t="shared" ca="1" si="22"/>
        <v>3F</v>
      </c>
      <c r="BN27" s="424" t="str">
        <f t="shared" ca="1" si="23"/>
        <v>3F</v>
      </c>
      <c r="BO27" s="630"/>
      <c r="BP27" s="632">
        <f t="shared" ca="1" si="27"/>
        <v>3</v>
      </c>
      <c r="BQ27" s="631">
        <f ca="1">COUNTIFS($BE$6:$BE$53,"&gt;"&amp;BE27,$BC$6:$BC$53,INDEX(T_Equipos[Grupo],MATCH(BD27,T_Equipos[NombreEquipo],0)))+1</f>
        <v>3</v>
      </c>
      <c r="BR27" s="631" t="str">
        <f ca="1">IF(COUNTIFS($BQ$6:$BQ$53,BQ27,$BC$6:$BC$53,INDEX(T_Equipos[Grupo],MATCH(BD27,T_Equipos[NombreEquipo],0)))=1,"-","P."&amp;BQ27&amp;" ("&amp;COUNTIFS($BQ$6:$BQ$53,BQ27,$BC$6:$BC$53,INDEX(T_Equipos[Grupo],MATCH(BD27,T_Equipos[NombreEquipo],0)))&amp;")")</f>
        <v>P.3 (2)</v>
      </c>
      <c r="BS27" s="632">
        <f t="shared" ca="1" si="34"/>
        <v>1</v>
      </c>
      <c r="BT27" s="632">
        <f t="shared" ca="1" si="35"/>
        <v>0</v>
      </c>
      <c r="BU27" s="632">
        <f t="shared" ca="1" si="36"/>
        <v>0</v>
      </c>
      <c r="BV27" s="632">
        <f t="shared" ca="1" si="37"/>
        <v>3</v>
      </c>
      <c r="BW27" s="632">
        <f ca="1">BQ27+COUNTIFS($BR$6:$BR$53,BR27,$BV$6:BV$53,"&gt;"&amp;BV27,$BC$6:$BC$53,INDEX(T_Equipos[Grupo],MATCH(BD27,T_Equipos[NombreEquipo],0)))</f>
        <v>3</v>
      </c>
      <c r="BX27" s="631" t="str">
        <f ca="1">IF(COUNTIFS($BW$6:$BW$53,BW27,$BC$6:$BC$53,INDEX(T_Equipos[Grupo],MATCH(BD27,T_Equipos[NombreEquipo],0)))=1,"-","P."&amp;BW27&amp;" ("&amp;COUNTIFS($BW$6:$BW$53,BW27,$BC$6:$BC$53,INDEX(T_Equipos[Grupo],MATCH(BD27,T_Equipos[NombreEquipo],0)))&amp;")")</f>
        <v>-</v>
      </c>
      <c r="BY27" s="632" t="str">
        <f t="shared" ca="1" si="38"/>
        <v>-</v>
      </c>
      <c r="BZ27" s="632" t="str">
        <f t="shared" ca="1" si="39"/>
        <v>-</v>
      </c>
      <c r="CA27" s="632" t="str">
        <f t="shared" ca="1" si="40"/>
        <v>-</v>
      </c>
      <c r="CB27" s="632">
        <f ca="1">BW27+COUNTIFS($BX$6:$BX$53,BX27,$CA$6:CA$53,"&gt;"&amp;CA27,$BC$6:$BC$53,INDEX(T_Equipos[Grupo],MATCH(BD27,T_Equipos[NombreEquipo],0)))</f>
        <v>3</v>
      </c>
      <c r="CC27" s="631" t="str">
        <f ca="1">IF(COUNTIFS($CB$6:$CB$53,CB27,$BC$6:$BC$53,INDEX(T_Equipos[Grupo],MATCH(BD27,T_Equipos[NombreEquipo],0)))=1,"-","P."&amp;CB27&amp;" ("&amp;COUNTIFS($CB$6:$CB$53,CB27,$BC$6:$BC$53,INDEX(T_Equipos[Grupo],MATCH(BD27,T_Equipos[NombreEquipo],0)))&amp;")")</f>
        <v>-</v>
      </c>
      <c r="CD27" s="632" t="str">
        <f t="shared" ca="1" si="41"/>
        <v>-</v>
      </c>
      <c r="CE27" s="632">
        <f ca="1">CB27+COUNTIFS($CC$6:$CC$53,CC27,$CD$6:CD$53,"&gt;"&amp;CD27,$BC$6:$BC$53,INDEX(T_Equipos[Grupo],MATCH(BD27,T_Equipos[NombreEquipo],0)))</f>
        <v>3</v>
      </c>
      <c r="CF27" s="631" t="str">
        <f ca="1">IF(COUNTIFS($CE$6:$CE$53,CE27,$BC$6:$BC$53,INDEX(T_Equipos[Grupo],MATCH(BD27,T_Equipos[NombreEquipo],0)))=1,"-","P."&amp;CE27&amp;" ("&amp;COUNTIFS($CE$6:$CE$53,CE27,$BC$6:$BC$53,INDEX(T_Equipos[Grupo],MATCH(BD27,T_Equipos[NombreEquipo],0)))&amp;")")</f>
        <v>-</v>
      </c>
      <c r="CG27" s="632" t="str">
        <f t="shared" ca="1" si="42"/>
        <v>-</v>
      </c>
      <c r="CH27" s="632" t="str">
        <f t="shared" ca="1" si="43"/>
        <v>-</v>
      </c>
      <c r="CI27" s="632" t="str">
        <f t="shared" ca="1" si="44"/>
        <v>-</v>
      </c>
      <c r="CJ27" s="632" t="str">
        <f t="shared" ca="1" si="45"/>
        <v>-</v>
      </c>
      <c r="CK27" s="632">
        <f ca="1">CE27+COUNTIFS($CF$6:$CF$53,CF27,$CJ$6:CJ$53,"&gt;"&amp;CJ27,$BC$6:$BC$53,INDEX(T_Equipos[Grupo],MATCH(BD27,T_Equipos[NombreEquipo],0)))</f>
        <v>3</v>
      </c>
      <c r="CL27" s="631" t="str">
        <f ca="1">IF(COUNTIFS($CK$6:$CK$53,CK27,$BC$6:$BC$53,INDEX(T_Equipos[Grupo],MATCH(BD27,T_Equipos[NombreEquipo],0)))=1,"-","P."&amp;CK27&amp;" ("&amp;COUNTIFS($CK$6:$CK$53,CK27,$BC$6:$BC$53,INDEX(T_Equipos[Grupo],MATCH(BD27,T_Equipos[NombreEquipo],0)))&amp;")")</f>
        <v>-</v>
      </c>
      <c r="CM27" s="632" t="str">
        <f t="shared" ca="1" si="46"/>
        <v>-</v>
      </c>
      <c r="CN27" s="632" t="str">
        <f t="shared" ca="1" si="47"/>
        <v>-</v>
      </c>
      <c r="CO27" s="632" t="str">
        <f t="shared" ca="1" si="48"/>
        <v>-</v>
      </c>
      <c r="CP27" s="632">
        <f ca="1">CK27+COUNTIFS($CL$6:$CL$53,CL27,$CO$6:CO$53,"&gt;"&amp;CO27,$BC$6:$BC$53,INDEX(T_Equipos[Grupo],MATCH(BD27,T_Equipos[NombreEquipo],0)))</f>
        <v>3</v>
      </c>
      <c r="CQ27" s="631" t="str">
        <f ca="1">IF(COUNTIFS($CP$6:$CP$53,CP27,$BC$6:$BC$53,INDEX(T_Equipos[Grupo],MATCH(BD27,T_Equipos[NombreEquipo],0)))=1,"-","P."&amp;CP27&amp;" ("&amp;COUNTIFS($CP$6:$CP$53,CP27,$BC$6:$BC$53,INDEX(T_Equipos[Grupo],MATCH(BD27,T_Equipos[NombreEquipo],0)))&amp;")")</f>
        <v>-</v>
      </c>
      <c r="CR27" s="632" t="str">
        <f t="shared" ca="1" si="49"/>
        <v>-</v>
      </c>
      <c r="CS27" s="632">
        <f ca="1">CP27+COUNTIFS($CQ$6:$CQ$53,CQ27,$CR$6:CR$53,"&gt;"&amp;CR27,$BC$6:$BC$53,INDEX(T_Equipos[Grupo],MATCH(BD27,T_Equipos[NombreEquipo],0)))</f>
        <v>3</v>
      </c>
      <c r="CT27" s="631" t="str">
        <f ca="1">IF(COUNTIFS($CS$6:$CS$53,CS27,$BC$6:$BC$53,INDEX(T_Equipos[Grupo],MATCH(BD27,T_Equipos[NombreEquipo],0)))=1,"-","P."&amp;CS27&amp;" ("&amp;COUNTIFS($CS$6:$CS$53,CS27,$BC$6:$BC$53,INDEX(T_Equipos[Grupo],MATCH(BD27,T_Equipos[NombreEquipo],0)))&amp;")")</f>
        <v>-</v>
      </c>
      <c r="CU27" s="631" t="str">
        <f t="shared" ca="1" si="28"/>
        <v>-</v>
      </c>
      <c r="CV27" s="631">
        <f ca="1">CS27+COUNTIFS($CT$6:$CT$53,CT27,$CU$6:CU$53,"&gt;"&amp;CU27,$BC$6:$BC$53,INDEX(T_Equipos[Grupo],MATCH(BD27,T_Equipos[NombreEquipo],0)))</f>
        <v>3</v>
      </c>
      <c r="CW27" s="631" t="str">
        <f ca="1">IF(COUNTIFS($CV$6:$CV$53,CV27,$BC$6:$BC$53,INDEX(T_Equipos[Grupo],MATCH(BD27,T_Equipos[NombreEquipo],0)))=1,"-","P."&amp;CV27&amp;" ("&amp;COUNTIFS($CV$6:$CV$53,CV27,$BC$6:$BC$53,INDEX(T_Equipos[Grupo],MATCH(BD27,T_Equipos[NombreEquipo],0)))&amp;")")</f>
        <v>-</v>
      </c>
      <c r="CX27" s="631" t="str">
        <f t="shared" ca="1" si="29"/>
        <v>-</v>
      </c>
      <c r="CY27" s="632">
        <f ca="1">CV27+COUNTIFS($CW$6:$CW$53,CW27,$CX$6:CX$53,"&gt;"&amp;CX27,$BC$6:$BC$53,INDEX(T_Equipos[Grupo],MATCH(BD27,T_Equipos[NombreEquipo],0)))</f>
        <v>3</v>
      </c>
      <c r="CZ27" s="631" t="str">
        <f ca="1">IF(COUNTIFS($CY$6:$CY$53,CY27,$BC$6:$BC$53,INDEX(T_Equipos[Grupo],MATCH(BD27,T_Equipos[NombreEquipo],0)))=1,"-","P."&amp;CY27&amp;" ("&amp;COUNTIFS($CY$6:$CY$53,CY27,$BC$6:$BC$53,INDEX(T_Equipos[Grupo],MATCH(BD27,T_Equipos[NombreEquipo],0)))&amp;")")</f>
        <v>-</v>
      </c>
      <c r="DA27" s="633" t="str">
        <f ca="1">IF(CZ27="-","-",COUNTIFS(T_Equipos[Rank],"&lt;"&amp;INDEX(T_Equipos[Rank],MATCH(BD27,T_Equipos[NombreEquipo],0)),$BC$6:$BC$53,INDEX(T_Equipos[Grupo],MATCH(BD27,T_Equipos[NombreEquipo],0)))+1)</f>
        <v>-</v>
      </c>
      <c r="DB27" s="630">
        <f ca="1">CY27+COUNTIFS($CZ$6:$CZ$53,CZ27,$DA$6:DA$53,"&lt;"&amp;DA27,$BC$6:$BC$53,INDEX(T_Equipos[Grupo],MATCH(BD27,T_Equipos[NombreEquipo],0)))</f>
        <v>3</v>
      </c>
      <c r="DC27" s="630"/>
      <c r="DD27" s="630">
        <f t="shared" ca="1" si="50"/>
        <v>3</v>
      </c>
      <c r="DE27" s="630" t="str">
        <f ca="1">IF(CZ27="-","-",COUNTIFS(DD$6:DD$53,"&lt;"&amp;DD27,$BC$6:$BC$53,INDEX(T_Equipos[Grupo],MATCH(BD27,T_Equipos[NombreEquipo],0))))</f>
        <v>-</v>
      </c>
      <c r="DF27" s="630">
        <f ca="1">CY27+COUNTIFS(CZ$6:CZ$53,CZ27,DE$6:DE$53,"&lt;"&amp;DE27,$BC$6:$BC$53,INDEX(T_Equipos[Grupo],MATCH(BD27,T_Equipos[NombreEquipo],0)))</f>
        <v>3</v>
      </c>
      <c r="DH27" s="10">
        <f t="shared" ca="1" si="51"/>
        <v>2</v>
      </c>
      <c r="DI27" s="10">
        <f t="shared" ca="1" si="24"/>
        <v>12</v>
      </c>
      <c r="DJ27" s="10">
        <f t="shared" ca="1" si="31"/>
        <v>1</v>
      </c>
      <c r="DK27" s="19" t="str">
        <f t="shared" ca="1" si="32"/>
        <v>2.1</v>
      </c>
      <c r="DL27" s="10" cm="1">
        <f t="array" aca="1" ref="DL27" ca="1">OFFSET(Horarios!$P$3,DH27-1,0,DJ27,1)</f>
        <v>2</v>
      </c>
      <c r="DN27" s="10" t="s">
        <v>684</v>
      </c>
      <c r="DO27" s="10" t="str">
        <f t="shared" ca="1" si="33"/>
        <v>Países Bajos</v>
      </c>
    </row>
    <row r="28" spans="1:119" ht="15" customHeight="1" thickBot="1">
      <c r="A28" s="645" t="s">
        <v>32</v>
      </c>
      <c r="B28" s="11" t="s">
        <v>75</v>
      </c>
      <c r="C28" s="441">
        <f>COUNTIF(Equipos!$C$2:$C$49,WORLDCUP!B28)</f>
        <v>4</v>
      </c>
      <c r="D28" s="10" t="str">
        <f t="shared" ref="D28:D33" si="90">IF(OR(AC28="",AD28=""),"Pendiente",IF(AC28&gt;AD28,"Local",IF(AC28&lt;AD28,"Visitante","Empate")))</f>
        <v>Local</v>
      </c>
      <c r="E28" s="10" t="str">
        <f t="shared" ref="E28:E33" ca="1" si="91">IF(D28="Pendiente","-",INDEX($BR$6:$BR$53,MATCH($AA28,$BD$6:$BD$53,0)))</f>
        <v>-</v>
      </c>
      <c r="F28" s="10" t="str">
        <f t="shared" ref="F28:F33" ca="1" si="92">IF(D28="Pendiente","-",INDEX($BR$6:$BR$53,MATCH($AF28,$BD$6:$BD$53,0)))</f>
        <v>-</v>
      </c>
      <c r="G28" s="10"/>
      <c r="H28" s="10" t="str">
        <f t="shared" ref="H28:H33" ca="1" si="93">IF(D28="Pendiente","-",INDEX($BX$6:$BX$53,MATCH($AA28,$BD$6:$BD$53,0)))</f>
        <v>-</v>
      </c>
      <c r="I28" s="10" t="str">
        <f t="shared" ref="I28:I33" ca="1" si="94">IF(D28="Pendiente","-",INDEX($BX$6:$BX$53,MATCH($AF28,$BD$6:$BD$53,0)))</f>
        <v>-</v>
      </c>
      <c r="J28" s="10"/>
      <c r="K28" s="10" t="str">
        <f t="shared" ref="K28:K33" ca="1" si="95">IF(D28="Pendiente","-",INDEX($CC$6:$CC$53,MATCH($AA28,$BD$6:$BD$53,0)))</f>
        <v>-</v>
      </c>
      <c r="L28" s="10" t="str">
        <f t="shared" ref="L28:L33" ca="1" si="96">IF(D28="Pendiente","-",INDEX($CC$6:$CC$53,MATCH($AF28,$BD$6:$BD$53,0)))</f>
        <v>-</v>
      </c>
      <c r="M28" s="10"/>
      <c r="N28" s="10" t="str">
        <f t="shared" ref="N28:N33" ca="1" si="97">IF(D28="Pendiente","-",INDEX($CF$6:$CF$53,MATCH($AA28,$BD$6:$BD$53,0)))</f>
        <v>-</v>
      </c>
      <c r="O28" s="10" t="str">
        <f t="shared" ref="O28:O33" ca="1" si="98">IF(D28="Pendiente","-",INDEX($CF$6:$CF$53,MATCH($AF28,$BD$6:$BD$53,0)))</f>
        <v>-</v>
      </c>
      <c r="P28" s="10"/>
      <c r="Q28" s="10" t="str">
        <f t="shared" ref="Q28:Q33" ca="1" si="99">IF(D28="Pendiente","-",INDEX($CL$6:$CL$53,MATCH($AA28,$BD$6:$BD$53,0)))</f>
        <v>-</v>
      </c>
      <c r="R28" s="10" t="str">
        <f t="shared" ref="R28:R33" ca="1" si="100">IF(D28="Pendiente","-",INDEX($CL$6:$CL$53,MATCH($AF28,$BD$6:$BD$53,0)))</f>
        <v>-</v>
      </c>
      <c r="S28" s="10"/>
      <c r="T28" s="10" t="str">
        <f t="shared" ref="T28:T33" ca="1" si="101">IF(D28="Pendiente","-",INDEX($CQ$6:$CQ$53,MATCH($AA28,$BD$6:$BD$53,0)))</f>
        <v>-</v>
      </c>
      <c r="U28" s="10" t="str">
        <f t="shared" ref="U28:U33" ca="1" si="102">IF(D28="Pendiente","-",INDEX($CQ$6:$CQ$53,MATCH($AF28,$BD$6:$BD$53,0)))</f>
        <v>-</v>
      </c>
      <c r="V28" s="20"/>
      <c r="W28" s="694" t="s">
        <v>75</v>
      </c>
      <c r="X28" s="27">
        <f ca="1">Horarios!C28</f>
        <v>46186.125</v>
      </c>
      <c r="Y28" s="28">
        <f ca="1">Horarios!C28</f>
        <v>46186.125</v>
      </c>
      <c r="Z28" s="29" t="str">
        <f>$Z$4</f>
        <v>J1</v>
      </c>
      <c r="AA28" s="30" t="str">
        <f ca="1">A29</f>
        <v>Estados Unidos</v>
      </c>
      <c r="AB28" s="55" t="str">
        <f ca="1">+INDEX(Equipos!$L$2:$L$49,MATCH(WORLDCUP!AA28,Equipos!$K$2:$K$49,0))</f>
        <v>🇺🇸</v>
      </c>
      <c r="AC28" s="56">
        <v>1</v>
      </c>
      <c r="AD28" s="57">
        <v>0</v>
      </c>
      <c r="AE28" s="58" t="str">
        <f ca="1">+INDEX(Equipos!$L$2:$L$49,MATCH(WORLDCUP!AF28,Equipos!$K$2:$K$49,0))</f>
        <v>🇵🇾</v>
      </c>
      <c r="AF28" s="35" t="str">
        <f ca="1">A30</f>
        <v>Paraguay</v>
      </c>
      <c r="AG28" s="335">
        <f t="shared" ref="AG28:AG33" si="103">IF(NOT(OR(ISBLANK(AC28),ISBLANK(AD28))),1,0)</f>
        <v>1</v>
      </c>
      <c r="AH28" s="204">
        <v>4</v>
      </c>
      <c r="AI28" s="190"/>
      <c r="AJ28" s="67" t="str">
        <f>CONCATENATE(AJ3," ",B28)</f>
        <v>Grupo D</v>
      </c>
      <c r="AK28" s="68"/>
      <c r="AL28" s="68"/>
      <c r="AM28" s="68"/>
      <c r="AN28" s="68"/>
      <c r="AO28" s="68"/>
      <c r="AP28" s="68"/>
      <c r="AQ28" s="68"/>
      <c r="AR28" s="68"/>
      <c r="AS28" s="68"/>
      <c r="AT28" s="69"/>
      <c r="AU28" s="343"/>
      <c r="AV28" s="295" t="str">
        <f ca="1">IF(AU29&gt;0,$AV$3,"")</f>
        <v/>
      </c>
      <c r="AW28" s="175"/>
      <c r="AX28" s="175"/>
      <c r="AY28" s="162"/>
      <c r="AZ28" s="163"/>
      <c r="BA28" s="155"/>
      <c r="BC28" s="630" t="str">
        <f ca="1">+INDEX(T_Equipos[Grupo],MATCH(WORLDCUP!BD28,T_Equipos[NombreEquipo],0))</f>
        <v>F</v>
      </c>
      <c r="BD28" s="10" t="str">
        <f ca="1">+Equipos!B24</f>
        <v>PO B: UKR/SWE/POL/ALB</v>
      </c>
      <c r="BE28" s="424">
        <f t="shared" ca="1" si="16"/>
        <v>3</v>
      </c>
      <c r="BF28" s="424">
        <f t="shared" ca="1" si="25"/>
        <v>3</v>
      </c>
      <c r="BG28" s="424">
        <f t="shared" ca="1" si="17"/>
        <v>1</v>
      </c>
      <c r="BH28" s="424">
        <f t="shared" ca="1" si="18"/>
        <v>0</v>
      </c>
      <c r="BI28" s="424">
        <f t="shared" ca="1" si="19"/>
        <v>2</v>
      </c>
      <c r="BJ28" s="424">
        <f t="shared" ca="1" si="20"/>
        <v>1</v>
      </c>
      <c r="BK28" s="424">
        <f t="shared" ca="1" si="21"/>
        <v>2</v>
      </c>
      <c r="BL28" s="424">
        <f t="shared" ca="1" si="26"/>
        <v>-1</v>
      </c>
      <c r="BM28" s="424" t="str">
        <f t="shared" ca="1" si="22"/>
        <v>4F</v>
      </c>
      <c r="BN28" s="424" t="str">
        <f t="shared" ca="1" si="23"/>
        <v>4F</v>
      </c>
      <c r="BO28" s="630"/>
      <c r="BP28" s="632">
        <f t="shared" ca="1" si="27"/>
        <v>3</v>
      </c>
      <c r="BQ28" s="631">
        <f ca="1">COUNTIFS($BE$6:$BE$53,"&gt;"&amp;BE28,$BC$6:$BC$53,INDEX(T_Equipos[Grupo],MATCH(BD28,T_Equipos[NombreEquipo],0)))+1</f>
        <v>3</v>
      </c>
      <c r="BR28" s="631" t="str">
        <f ca="1">IF(COUNTIFS($BQ$6:$BQ$53,BQ28,$BC$6:$BC$53,INDEX(T_Equipos[Grupo],MATCH(BD28,T_Equipos[NombreEquipo],0)))=1,"-","P."&amp;BQ28&amp;" ("&amp;COUNTIFS($BQ$6:$BQ$53,BQ28,$BC$6:$BC$53,INDEX(T_Equipos[Grupo],MATCH(BD28,T_Equipos[NombreEquipo],0)))&amp;")")</f>
        <v>P.3 (2)</v>
      </c>
      <c r="BS28" s="632">
        <f t="shared" ca="1" si="34"/>
        <v>0</v>
      </c>
      <c r="BT28" s="632">
        <f t="shared" ca="1" si="35"/>
        <v>0</v>
      </c>
      <c r="BU28" s="632">
        <f t="shared" ca="1" si="36"/>
        <v>1</v>
      </c>
      <c r="BV28" s="632">
        <f t="shared" ca="1" si="37"/>
        <v>0</v>
      </c>
      <c r="BW28" s="632">
        <f ca="1">BQ28+COUNTIFS($BR$6:$BR$53,BR28,$BV$6:BV$53,"&gt;"&amp;BV28,$BC$6:$BC$53,INDEX(T_Equipos[Grupo],MATCH(BD28,T_Equipos[NombreEquipo],0)))</f>
        <v>4</v>
      </c>
      <c r="BX28" s="631" t="str">
        <f ca="1">IF(COUNTIFS($BW$6:$BW$53,BW28,$BC$6:$BC$53,INDEX(T_Equipos[Grupo],MATCH(BD28,T_Equipos[NombreEquipo],0)))=1,"-","P."&amp;BW28&amp;" ("&amp;COUNTIFS($BW$6:$BW$53,BW28,$BC$6:$BC$53,INDEX(T_Equipos[Grupo],MATCH(BD28,T_Equipos[NombreEquipo],0)))&amp;")")</f>
        <v>-</v>
      </c>
      <c r="BY28" s="632" t="str">
        <f t="shared" ca="1" si="38"/>
        <v>-</v>
      </c>
      <c r="BZ28" s="632" t="str">
        <f t="shared" ca="1" si="39"/>
        <v>-</v>
      </c>
      <c r="CA28" s="632" t="str">
        <f t="shared" ca="1" si="40"/>
        <v>-</v>
      </c>
      <c r="CB28" s="632">
        <f ca="1">BW28+COUNTIFS($BX$6:$BX$53,BX28,$CA$6:CA$53,"&gt;"&amp;CA28,$BC$6:$BC$53,INDEX(T_Equipos[Grupo],MATCH(BD28,T_Equipos[NombreEquipo],0)))</f>
        <v>4</v>
      </c>
      <c r="CC28" s="631" t="str">
        <f ca="1">IF(COUNTIFS($CB$6:$CB$53,CB28,$BC$6:$BC$53,INDEX(T_Equipos[Grupo],MATCH(BD28,T_Equipos[NombreEquipo],0)))=1,"-","P."&amp;CB28&amp;" ("&amp;COUNTIFS($CB$6:$CB$53,CB28,$BC$6:$BC$53,INDEX(T_Equipos[Grupo],MATCH(BD28,T_Equipos[NombreEquipo],0)))&amp;")")</f>
        <v>-</v>
      </c>
      <c r="CD28" s="632" t="str">
        <f t="shared" ca="1" si="41"/>
        <v>-</v>
      </c>
      <c r="CE28" s="632">
        <f ca="1">CB28+COUNTIFS($CC$6:$CC$53,CC28,$CD$6:CD$53,"&gt;"&amp;CD28,$BC$6:$BC$53,INDEX(T_Equipos[Grupo],MATCH(BD28,T_Equipos[NombreEquipo],0)))</f>
        <v>4</v>
      </c>
      <c r="CF28" s="631" t="str">
        <f ca="1">IF(COUNTIFS($CE$6:$CE$53,CE28,$BC$6:$BC$53,INDEX(T_Equipos[Grupo],MATCH(BD28,T_Equipos[NombreEquipo],0)))=1,"-","P."&amp;CE28&amp;" ("&amp;COUNTIFS($CE$6:$CE$53,CE28,$BC$6:$BC$53,INDEX(T_Equipos[Grupo],MATCH(BD28,T_Equipos[NombreEquipo],0)))&amp;")")</f>
        <v>-</v>
      </c>
      <c r="CG28" s="632" t="str">
        <f t="shared" ca="1" si="42"/>
        <v>-</v>
      </c>
      <c r="CH28" s="632" t="str">
        <f t="shared" ca="1" si="43"/>
        <v>-</v>
      </c>
      <c r="CI28" s="632" t="str">
        <f t="shared" ca="1" si="44"/>
        <v>-</v>
      </c>
      <c r="CJ28" s="632" t="str">
        <f t="shared" ca="1" si="45"/>
        <v>-</v>
      </c>
      <c r="CK28" s="632">
        <f ca="1">CE28+COUNTIFS($CF$6:$CF$53,CF28,$CJ$6:CJ$53,"&gt;"&amp;CJ28,$BC$6:$BC$53,INDEX(T_Equipos[Grupo],MATCH(BD28,T_Equipos[NombreEquipo],0)))</f>
        <v>4</v>
      </c>
      <c r="CL28" s="631" t="str">
        <f ca="1">IF(COUNTIFS($CK$6:$CK$53,CK28,$BC$6:$BC$53,INDEX(T_Equipos[Grupo],MATCH(BD28,T_Equipos[NombreEquipo],0)))=1,"-","P."&amp;CK28&amp;" ("&amp;COUNTIFS($CK$6:$CK$53,CK28,$BC$6:$BC$53,INDEX(T_Equipos[Grupo],MATCH(BD28,T_Equipos[NombreEquipo],0)))&amp;")")</f>
        <v>-</v>
      </c>
      <c r="CM28" s="632" t="str">
        <f t="shared" ca="1" si="46"/>
        <v>-</v>
      </c>
      <c r="CN28" s="632" t="str">
        <f t="shared" ca="1" si="47"/>
        <v>-</v>
      </c>
      <c r="CO28" s="632" t="str">
        <f t="shared" ca="1" si="48"/>
        <v>-</v>
      </c>
      <c r="CP28" s="632">
        <f ca="1">CK28+COUNTIFS($CL$6:$CL$53,CL28,$CO$6:CO$53,"&gt;"&amp;CO28,$BC$6:$BC$53,INDEX(T_Equipos[Grupo],MATCH(BD28,T_Equipos[NombreEquipo],0)))</f>
        <v>4</v>
      </c>
      <c r="CQ28" s="631" t="str">
        <f ca="1">IF(COUNTIFS($CP$6:$CP$53,CP28,$BC$6:$BC$53,INDEX(T_Equipos[Grupo],MATCH(BD28,T_Equipos[NombreEquipo],0)))=1,"-","P."&amp;CP28&amp;" ("&amp;COUNTIFS($CP$6:$CP$53,CP28,$BC$6:$BC$53,INDEX(T_Equipos[Grupo],MATCH(BD28,T_Equipos[NombreEquipo],0)))&amp;")")</f>
        <v>-</v>
      </c>
      <c r="CR28" s="632" t="str">
        <f t="shared" ca="1" si="49"/>
        <v>-</v>
      </c>
      <c r="CS28" s="632">
        <f ca="1">CP28+COUNTIFS($CQ$6:$CQ$53,CQ28,$CR$6:CR$53,"&gt;"&amp;CR28,$BC$6:$BC$53,INDEX(T_Equipos[Grupo],MATCH(BD28,T_Equipos[NombreEquipo],0)))</f>
        <v>4</v>
      </c>
      <c r="CT28" s="631" t="str">
        <f ca="1">IF(COUNTIFS($CS$6:$CS$53,CS28,$BC$6:$BC$53,INDEX(T_Equipos[Grupo],MATCH(BD28,T_Equipos[NombreEquipo],0)))=1,"-","P."&amp;CS28&amp;" ("&amp;COUNTIFS($CS$6:$CS$53,CS28,$BC$6:$BC$53,INDEX(T_Equipos[Grupo],MATCH(BD28,T_Equipos[NombreEquipo],0)))&amp;")")</f>
        <v>-</v>
      </c>
      <c r="CU28" s="631" t="str">
        <f t="shared" ca="1" si="28"/>
        <v>-</v>
      </c>
      <c r="CV28" s="631">
        <f ca="1">CS28+COUNTIFS($CT$6:$CT$53,CT28,$CU$6:CU$53,"&gt;"&amp;CU28,$BC$6:$BC$53,INDEX(T_Equipos[Grupo],MATCH(BD28,T_Equipos[NombreEquipo],0)))</f>
        <v>4</v>
      </c>
      <c r="CW28" s="631" t="str">
        <f ca="1">IF(COUNTIFS($CV$6:$CV$53,CV28,$BC$6:$BC$53,INDEX(T_Equipos[Grupo],MATCH(BD28,T_Equipos[NombreEquipo],0)))=1,"-","P."&amp;CV28&amp;" ("&amp;COUNTIFS($CV$6:$CV$53,CV28,$BC$6:$BC$53,INDEX(T_Equipos[Grupo],MATCH(BD28,T_Equipos[NombreEquipo],0)))&amp;")")</f>
        <v>-</v>
      </c>
      <c r="CX28" s="631" t="str">
        <f t="shared" ca="1" si="29"/>
        <v>-</v>
      </c>
      <c r="CY28" s="632">
        <f ca="1">CV28+COUNTIFS($CW$6:$CW$53,CW28,$CX$6:CX$53,"&gt;"&amp;CX28,$BC$6:$BC$53,INDEX(T_Equipos[Grupo],MATCH(BD28,T_Equipos[NombreEquipo],0)))</f>
        <v>4</v>
      </c>
      <c r="CZ28" s="631" t="str">
        <f ca="1">IF(COUNTIFS($CY$6:$CY$53,CY28,$BC$6:$BC$53,INDEX(T_Equipos[Grupo],MATCH(BD28,T_Equipos[NombreEquipo],0)))=1,"-","P."&amp;CY28&amp;" ("&amp;COUNTIFS($CY$6:$CY$53,CY28,$BC$6:$BC$53,INDEX(T_Equipos[Grupo],MATCH(BD28,T_Equipos[NombreEquipo],0)))&amp;")")</f>
        <v>-</v>
      </c>
      <c r="DA28" s="633" t="str">
        <f ca="1">IF(CZ28="-","-",COUNTIFS(T_Equipos[Rank],"&lt;"&amp;INDEX(T_Equipos[Rank],MATCH(BD28,T_Equipos[NombreEquipo],0)),$BC$6:$BC$53,INDEX(T_Equipos[Grupo],MATCH(BD28,T_Equipos[NombreEquipo],0)))+1)</f>
        <v>-</v>
      </c>
      <c r="DB28" s="630">
        <f ca="1">CY28+COUNTIFS($CZ$6:$CZ$53,CZ28,$DA$6:DA$53,"&lt;"&amp;DA28,$BC$6:$BC$53,INDEX(T_Equipos[Grupo],MATCH(BD28,T_Equipos[NombreEquipo],0)))</f>
        <v>4</v>
      </c>
      <c r="DC28" s="630"/>
      <c r="DD28" s="630">
        <f t="shared" ca="1" si="50"/>
        <v>4</v>
      </c>
      <c r="DE28" s="630" t="str">
        <f ca="1">IF(CZ28="-","-",COUNTIFS(DD$6:DD$53,"&lt;"&amp;DD28,$BC$6:$BC$53,INDEX(T_Equipos[Grupo],MATCH(BD28,T_Equipos[NombreEquipo],0))))</f>
        <v>-</v>
      </c>
      <c r="DF28" s="630">
        <f ca="1">CY28+COUNTIFS(CZ$6:CZ$53,CZ28,DE$6:DE$53,"&lt;"&amp;DE28,$BC$6:$BC$53,INDEX(T_Equipos[Grupo],MATCH(BD28,T_Equipos[NombreEquipo],0)))</f>
        <v>4</v>
      </c>
      <c r="DH28" s="10">
        <f t="shared" ca="1" si="51"/>
        <v>3</v>
      </c>
      <c r="DI28" s="10">
        <f t="shared" ca="1" si="24"/>
        <v>12</v>
      </c>
      <c r="DJ28" s="10">
        <f t="shared" ca="1" si="31"/>
        <v>1</v>
      </c>
      <c r="DK28" s="19" t="str">
        <f t="shared" ca="1" si="32"/>
        <v>3.1</v>
      </c>
      <c r="DL28" s="10" cm="1">
        <f t="array" aca="1" ref="DL28" ca="1">OFFSET(Horarios!$P$3,DH28-1,0,DJ28,1)</f>
        <v>3</v>
      </c>
      <c r="DN28" s="10" t="s">
        <v>96</v>
      </c>
      <c r="DO28" s="10" t="str">
        <f t="shared" ca="1" si="33"/>
        <v>Japón</v>
      </c>
    </row>
    <row r="29" spans="1:119" ht="16.05" customHeight="1">
      <c r="A29" s="646" t="str">
        <f ca="1">+Equipos!B14</f>
        <v>Estados Unidos</v>
      </c>
      <c r="B29" s="11"/>
      <c r="C29" s="11"/>
      <c r="D29" s="10" t="str">
        <f t="shared" si="90"/>
        <v>Empate</v>
      </c>
      <c r="E29" s="10" t="str">
        <f t="shared" ca="1" si="91"/>
        <v>-</v>
      </c>
      <c r="F29" s="10" t="str">
        <f t="shared" ca="1" si="92"/>
        <v>-</v>
      </c>
      <c r="G29" s="10"/>
      <c r="H29" s="10" t="str">
        <f t="shared" ca="1" si="93"/>
        <v>-</v>
      </c>
      <c r="I29" s="10" t="str">
        <f t="shared" ca="1" si="94"/>
        <v>-</v>
      </c>
      <c r="J29" s="10"/>
      <c r="K29" s="10" t="str">
        <f t="shared" ca="1" si="95"/>
        <v>-</v>
      </c>
      <c r="L29" s="10" t="str">
        <f t="shared" ca="1" si="96"/>
        <v>-</v>
      </c>
      <c r="M29" s="10"/>
      <c r="N29" s="10" t="str">
        <f t="shared" ca="1" si="97"/>
        <v>-</v>
      </c>
      <c r="O29" s="10" t="str">
        <f t="shared" ca="1" si="98"/>
        <v>-</v>
      </c>
      <c r="P29" s="10"/>
      <c r="Q29" s="10" t="str">
        <f t="shared" ca="1" si="99"/>
        <v>-</v>
      </c>
      <c r="R29" s="10" t="str">
        <f t="shared" ca="1" si="100"/>
        <v>-</v>
      </c>
      <c r="S29" s="10"/>
      <c r="T29" s="10" t="str">
        <f t="shared" ca="1" si="101"/>
        <v>-</v>
      </c>
      <c r="U29" s="10" t="str">
        <f t="shared" ca="1" si="102"/>
        <v>-</v>
      </c>
      <c r="V29" s="20"/>
      <c r="W29" s="694"/>
      <c r="X29" s="27">
        <f ca="1">Horarios!C29</f>
        <v>46186.25</v>
      </c>
      <c r="Y29" s="28">
        <f ca="1">Horarios!C29</f>
        <v>46186.25</v>
      </c>
      <c r="Z29" s="29" t="str">
        <f>$Z$4</f>
        <v>J1</v>
      </c>
      <c r="AA29" s="30" t="str">
        <f ca="1">A31</f>
        <v>Australia</v>
      </c>
      <c r="AB29" s="55" t="str">
        <f ca="1">+INDEX(Equipos!$L$2:$L$49,MATCH(WORLDCUP!AA29,Equipos!$K$2:$K$49,0))</f>
        <v>🇦🇺</v>
      </c>
      <c r="AC29" s="56">
        <v>0</v>
      </c>
      <c r="AD29" s="57">
        <v>0</v>
      </c>
      <c r="AE29" s="58" t="str">
        <f ca="1">+INDEX(Equipos!$L$2:$L$49,MATCH(WORLDCUP!AF29,Equipos!$K$2:$K$49,0))</f>
        <v xml:space="preserve"> </v>
      </c>
      <c r="AF29" s="35" t="str">
        <f ca="1">A32</f>
        <v>PO C: TUR/ROU/SVK/KOS</v>
      </c>
      <c r="AG29" s="335">
        <f t="shared" si="103"/>
        <v>1</v>
      </c>
      <c r="AH29" s="204">
        <v>6</v>
      </c>
      <c r="AI29" s="190"/>
      <c r="AJ29" s="70" t="str">
        <f>AJ5</f>
        <v>Pos</v>
      </c>
      <c r="AK29" s="71"/>
      <c r="AL29" s="72" t="str">
        <f t="shared" ref="AL29:AT29" si="104">AL5</f>
        <v>Selección</v>
      </c>
      <c r="AM29" s="71" t="str">
        <f t="shared" si="104"/>
        <v>Pts</v>
      </c>
      <c r="AN29" s="71" t="str">
        <f t="shared" si="104"/>
        <v>J</v>
      </c>
      <c r="AO29" s="71" t="str">
        <f t="shared" si="104"/>
        <v>G</v>
      </c>
      <c r="AP29" s="71" t="str">
        <f t="shared" si="104"/>
        <v>E</v>
      </c>
      <c r="AQ29" s="71" t="str">
        <f t="shared" si="104"/>
        <v>P</v>
      </c>
      <c r="AR29" s="71" t="str">
        <f t="shared" si="104"/>
        <v>GF</v>
      </c>
      <c r="AS29" s="71" t="str">
        <f t="shared" si="104"/>
        <v>GC</v>
      </c>
      <c r="AT29" s="73" t="str">
        <f t="shared" si="104"/>
        <v>DG</v>
      </c>
      <c r="AU29" s="343">
        <f t="shared" ref="AU29" ca="1" si="105">COUNTIF(AU30:AU33,"&gt;1")</f>
        <v>0</v>
      </c>
      <c r="AV29" s="201"/>
      <c r="AW29" s="175"/>
      <c r="AX29" s="175"/>
      <c r="AY29" s="216" t="str">
        <f>AL29</f>
        <v>Selección</v>
      </c>
      <c r="AZ29" s="217" t="str">
        <f>+Idiomas!$D$67</f>
        <v>Puntos penalizados</v>
      </c>
      <c r="BA29" s="155"/>
      <c r="BC29" s="630" t="str">
        <f ca="1">+INDEX(T_Equipos[Grupo],MATCH(WORLDCUP!BD29,T_Equipos[NombreEquipo],0))</f>
        <v>F</v>
      </c>
      <c r="BD29" s="10" t="str">
        <f ca="1">+Equipos!B25</f>
        <v>Túnez</v>
      </c>
      <c r="BE29" s="424">
        <f t="shared" ca="1" si="16"/>
        <v>6</v>
      </c>
      <c r="BF29" s="424">
        <f t="shared" ca="1" si="25"/>
        <v>3</v>
      </c>
      <c r="BG29" s="424">
        <f t="shared" ca="1" si="17"/>
        <v>2</v>
      </c>
      <c r="BH29" s="424">
        <f t="shared" ca="1" si="18"/>
        <v>0</v>
      </c>
      <c r="BI29" s="424">
        <f t="shared" ca="1" si="19"/>
        <v>1</v>
      </c>
      <c r="BJ29" s="424">
        <f t="shared" ca="1" si="20"/>
        <v>3</v>
      </c>
      <c r="BK29" s="424">
        <f t="shared" ca="1" si="21"/>
        <v>1</v>
      </c>
      <c r="BL29" s="424">
        <f t="shared" ca="1" si="26"/>
        <v>2</v>
      </c>
      <c r="BM29" s="424" t="str">
        <f t="shared" ca="1" si="22"/>
        <v>1F</v>
      </c>
      <c r="BN29" s="424" t="str">
        <f t="shared" ca="1" si="23"/>
        <v>1F</v>
      </c>
      <c r="BO29" s="630"/>
      <c r="BP29" s="632">
        <f t="shared" ca="1" si="27"/>
        <v>6</v>
      </c>
      <c r="BQ29" s="631">
        <f ca="1">COUNTIFS($BE$6:$BE$53,"&gt;"&amp;BE29,$BC$6:$BC$53,INDEX(T_Equipos[Grupo],MATCH(BD29,T_Equipos[NombreEquipo],0)))+1</f>
        <v>1</v>
      </c>
      <c r="BR29" s="631" t="str">
        <f ca="1">IF(COUNTIFS($BQ$6:$BQ$53,BQ29,$BC$6:$BC$53,INDEX(T_Equipos[Grupo],MATCH(BD29,T_Equipos[NombreEquipo],0)))=1,"-","P."&amp;BQ29&amp;" ("&amp;COUNTIFS($BQ$6:$BQ$53,BQ29,$BC$6:$BC$53,INDEX(T_Equipos[Grupo],MATCH(BD29,T_Equipos[NombreEquipo],0)))&amp;")")</f>
        <v>P.1 (2)</v>
      </c>
      <c r="BS29" s="632">
        <f t="shared" ca="1" si="34"/>
        <v>1</v>
      </c>
      <c r="BT29" s="632">
        <f t="shared" ca="1" si="35"/>
        <v>0</v>
      </c>
      <c r="BU29" s="632">
        <f t="shared" ca="1" si="36"/>
        <v>0</v>
      </c>
      <c r="BV29" s="632">
        <f t="shared" ca="1" si="37"/>
        <v>3</v>
      </c>
      <c r="BW29" s="632">
        <f ca="1">BQ29+COUNTIFS($BR$6:$BR$53,BR29,$BV$6:BV$53,"&gt;"&amp;BV29,$BC$6:$BC$53,INDEX(T_Equipos[Grupo],MATCH(BD29,T_Equipos[NombreEquipo],0)))</f>
        <v>1</v>
      </c>
      <c r="BX29" s="631" t="str">
        <f ca="1">IF(COUNTIFS($BW$6:$BW$53,BW29,$BC$6:$BC$53,INDEX(T_Equipos[Grupo],MATCH(BD29,T_Equipos[NombreEquipo],0)))=1,"-","P."&amp;BW29&amp;" ("&amp;COUNTIFS($BW$6:$BW$53,BW29,$BC$6:$BC$53,INDEX(T_Equipos[Grupo],MATCH(BD29,T_Equipos[NombreEquipo],0)))&amp;")")</f>
        <v>-</v>
      </c>
      <c r="BY29" s="632" t="str">
        <f t="shared" ca="1" si="38"/>
        <v>-</v>
      </c>
      <c r="BZ29" s="632" t="str">
        <f t="shared" ca="1" si="39"/>
        <v>-</v>
      </c>
      <c r="CA29" s="632" t="str">
        <f t="shared" ca="1" si="40"/>
        <v>-</v>
      </c>
      <c r="CB29" s="632">
        <f ca="1">BW29+COUNTIFS($BX$6:$BX$53,BX29,$CA$6:CA$53,"&gt;"&amp;CA29,$BC$6:$BC$53,INDEX(T_Equipos[Grupo],MATCH(BD29,T_Equipos[NombreEquipo],0)))</f>
        <v>1</v>
      </c>
      <c r="CC29" s="631" t="str">
        <f ca="1">IF(COUNTIFS($CB$6:$CB$53,CB29,$BC$6:$BC$53,INDEX(T_Equipos[Grupo],MATCH(BD29,T_Equipos[NombreEquipo],0)))=1,"-","P."&amp;CB29&amp;" ("&amp;COUNTIFS($CB$6:$CB$53,CB29,$BC$6:$BC$53,INDEX(T_Equipos[Grupo],MATCH(BD29,T_Equipos[NombreEquipo],0)))&amp;")")</f>
        <v>-</v>
      </c>
      <c r="CD29" s="632" t="str">
        <f t="shared" ca="1" si="41"/>
        <v>-</v>
      </c>
      <c r="CE29" s="632">
        <f ca="1">CB29+COUNTIFS($CC$6:$CC$53,CC29,$CD$6:CD$53,"&gt;"&amp;CD29,$BC$6:$BC$53,INDEX(T_Equipos[Grupo],MATCH(BD29,T_Equipos[NombreEquipo],0)))</f>
        <v>1</v>
      </c>
      <c r="CF29" s="631" t="str">
        <f ca="1">IF(COUNTIFS($CE$6:$CE$53,CE29,$BC$6:$BC$53,INDEX(T_Equipos[Grupo],MATCH(BD29,T_Equipos[NombreEquipo],0)))=1,"-","P."&amp;CE29&amp;" ("&amp;COUNTIFS($CE$6:$CE$53,CE29,$BC$6:$BC$53,INDEX(T_Equipos[Grupo],MATCH(BD29,T_Equipos[NombreEquipo],0)))&amp;")")</f>
        <v>-</v>
      </c>
      <c r="CG29" s="632" t="str">
        <f t="shared" ca="1" si="42"/>
        <v>-</v>
      </c>
      <c r="CH29" s="632" t="str">
        <f t="shared" ca="1" si="43"/>
        <v>-</v>
      </c>
      <c r="CI29" s="632" t="str">
        <f t="shared" ca="1" si="44"/>
        <v>-</v>
      </c>
      <c r="CJ29" s="632" t="str">
        <f t="shared" ca="1" si="45"/>
        <v>-</v>
      </c>
      <c r="CK29" s="632">
        <f ca="1">CE29+COUNTIFS($CF$6:$CF$53,CF29,$CJ$6:CJ$53,"&gt;"&amp;CJ29,$BC$6:$BC$53,INDEX(T_Equipos[Grupo],MATCH(BD29,T_Equipos[NombreEquipo],0)))</f>
        <v>1</v>
      </c>
      <c r="CL29" s="631" t="str">
        <f ca="1">IF(COUNTIFS($CK$6:$CK$53,CK29,$BC$6:$BC$53,INDEX(T_Equipos[Grupo],MATCH(BD29,T_Equipos[NombreEquipo],0)))=1,"-","P."&amp;CK29&amp;" ("&amp;COUNTIFS($CK$6:$CK$53,CK29,$BC$6:$BC$53,INDEX(T_Equipos[Grupo],MATCH(BD29,T_Equipos[NombreEquipo],0)))&amp;")")</f>
        <v>-</v>
      </c>
      <c r="CM29" s="632" t="str">
        <f t="shared" ca="1" si="46"/>
        <v>-</v>
      </c>
      <c r="CN29" s="632" t="str">
        <f t="shared" ca="1" si="47"/>
        <v>-</v>
      </c>
      <c r="CO29" s="632" t="str">
        <f t="shared" ca="1" si="48"/>
        <v>-</v>
      </c>
      <c r="CP29" s="632">
        <f ca="1">CK29+COUNTIFS($CL$6:$CL$53,CL29,$CO$6:CO$53,"&gt;"&amp;CO29,$BC$6:$BC$53,INDEX(T_Equipos[Grupo],MATCH(BD29,T_Equipos[NombreEquipo],0)))</f>
        <v>1</v>
      </c>
      <c r="CQ29" s="631" t="str">
        <f ca="1">IF(COUNTIFS($CP$6:$CP$53,CP29,$BC$6:$BC$53,INDEX(T_Equipos[Grupo],MATCH(BD29,T_Equipos[NombreEquipo],0)))=1,"-","P."&amp;CP29&amp;" ("&amp;COUNTIFS($CP$6:$CP$53,CP29,$BC$6:$BC$53,INDEX(T_Equipos[Grupo],MATCH(BD29,T_Equipos[NombreEquipo],0)))&amp;")")</f>
        <v>-</v>
      </c>
      <c r="CR29" s="632" t="str">
        <f t="shared" ca="1" si="49"/>
        <v>-</v>
      </c>
      <c r="CS29" s="632">
        <f ca="1">CP29+COUNTIFS($CQ$6:$CQ$53,CQ29,$CR$6:CR$53,"&gt;"&amp;CR29,$BC$6:$BC$53,INDEX(T_Equipos[Grupo],MATCH(BD29,T_Equipos[NombreEquipo],0)))</f>
        <v>1</v>
      </c>
      <c r="CT29" s="631" t="str">
        <f ca="1">IF(COUNTIFS($CS$6:$CS$53,CS29,$BC$6:$BC$53,INDEX(T_Equipos[Grupo],MATCH(BD29,T_Equipos[NombreEquipo],0)))=1,"-","P."&amp;CS29&amp;" ("&amp;COUNTIFS($CS$6:$CS$53,CS29,$BC$6:$BC$53,INDEX(T_Equipos[Grupo],MATCH(BD29,T_Equipos[NombreEquipo],0)))&amp;")")</f>
        <v>-</v>
      </c>
      <c r="CU29" s="631" t="str">
        <f t="shared" ca="1" si="28"/>
        <v>-</v>
      </c>
      <c r="CV29" s="631">
        <f ca="1">CS29+COUNTIFS($CT$6:$CT$53,CT29,$CU$6:CU$53,"&gt;"&amp;CU29,$BC$6:$BC$53,INDEX(T_Equipos[Grupo],MATCH(BD29,T_Equipos[NombreEquipo],0)))</f>
        <v>1</v>
      </c>
      <c r="CW29" s="631" t="str">
        <f ca="1">IF(COUNTIFS($CV$6:$CV$53,CV29,$BC$6:$BC$53,INDEX(T_Equipos[Grupo],MATCH(BD29,T_Equipos[NombreEquipo],0)))=1,"-","P."&amp;CV29&amp;" ("&amp;COUNTIFS($CV$6:$CV$53,CV29,$BC$6:$BC$53,INDEX(T_Equipos[Grupo],MATCH(BD29,T_Equipos[NombreEquipo],0)))&amp;")")</f>
        <v>-</v>
      </c>
      <c r="CX29" s="631" t="str">
        <f t="shared" ca="1" si="29"/>
        <v>-</v>
      </c>
      <c r="CY29" s="632">
        <f ca="1">CV29+COUNTIFS($CW$6:$CW$53,CW29,$CX$6:CX$53,"&gt;"&amp;CX29,$BC$6:$BC$53,INDEX(T_Equipos[Grupo],MATCH(BD29,T_Equipos[NombreEquipo],0)))</f>
        <v>1</v>
      </c>
      <c r="CZ29" s="631" t="str">
        <f ca="1">IF(COUNTIFS($CY$6:$CY$53,CY29,$BC$6:$BC$53,INDEX(T_Equipos[Grupo],MATCH(BD29,T_Equipos[NombreEquipo],0)))=1,"-","P."&amp;CY29&amp;" ("&amp;COUNTIFS($CY$6:$CY$53,CY29,$BC$6:$BC$53,INDEX(T_Equipos[Grupo],MATCH(BD29,T_Equipos[NombreEquipo],0)))&amp;")")</f>
        <v>-</v>
      </c>
      <c r="DA29" s="633" t="str">
        <f ca="1">IF(CZ29="-","-",COUNTIFS(T_Equipos[Rank],"&lt;"&amp;INDEX(T_Equipos[Rank],MATCH(BD29,T_Equipos[NombreEquipo],0)),$BC$6:$BC$53,INDEX(T_Equipos[Grupo],MATCH(BD29,T_Equipos[NombreEquipo],0)))+1)</f>
        <v>-</v>
      </c>
      <c r="DB29" s="630">
        <f ca="1">CY29+COUNTIFS($CZ$6:$CZ$53,CZ29,$DA$6:DA$53,"&lt;"&amp;DA29,$BC$6:$BC$53,INDEX(T_Equipos[Grupo],MATCH(BD29,T_Equipos[NombreEquipo],0)))</f>
        <v>1</v>
      </c>
      <c r="DC29" s="630"/>
      <c r="DD29" s="630">
        <f t="shared" ca="1" si="50"/>
        <v>1</v>
      </c>
      <c r="DE29" s="630" t="str">
        <f ca="1">IF(CZ29="-","-",COUNTIFS(DD$6:DD$53,"&lt;"&amp;DD29,$BC$6:$BC$53,INDEX(T_Equipos[Grupo],MATCH(BD29,T_Equipos[NombreEquipo],0))))</f>
        <v>-</v>
      </c>
      <c r="DF29" s="630">
        <f ca="1">CY29+COUNTIFS(CZ$6:CZ$53,CZ29,DE$6:DE$53,"&lt;"&amp;DE29,$BC$6:$BC$53,INDEX(T_Equipos[Grupo],MATCH(BD29,T_Equipos[NombreEquipo],0)))</f>
        <v>1</v>
      </c>
      <c r="DH29" s="10">
        <f t="shared" ca="1" si="51"/>
        <v>4</v>
      </c>
      <c r="DI29" s="10">
        <f t="shared" ca="1" si="24"/>
        <v>12</v>
      </c>
      <c r="DJ29" s="10">
        <f t="shared" ca="1" si="31"/>
        <v>1</v>
      </c>
      <c r="DK29" s="19" t="str">
        <f t="shared" ca="1" si="32"/>
        <v>4.1</v>
      </c>
      <c r="DL29" s="10" cm="1">
        <f t="array" aca="1" ref="DL29" ca="1">OFFSET(Horarios!$P$3,DH29-1,0,DJ29,1)</f>
        <v>4</v>
      </c>
      <c r="DN29" s="10" t="s">
        <v>685</v>
      </c>
      <c r="DO29" s="10" t="str">
        <f t="shared" ca="1" si="33"/>
        <v>PO B: UKR/SWE/POL/ALB</v>
      </c>
    </row>
    <row r="30" spans="1:119" ht="16.05" customHeight="1">
      <c r="A30" s="646" t="str">
        <f ca="1">+Equipos!B15</f>
        <v>Paraguay</v>
      </c>
      <c r="B30" s="11"/>
      <c r="C30" s="429"/>
      <c r="D30" s="10" t="str">
        <f t="shared" si="90"/>
        <v>Visitante</v>
      </c>
      <c r="E30" s="10" t="str">
        <f t="shared" ca="1" si="91"/>
        <v>-</v>
      </c>
      <c r="F30" s="10" t="str">
        <f t="shared" ca="1" si="92"/>
        <v>-</v>
      </c>
      <c r="G30" s="10"/>
      <c r="H30" s="10" t="str">
        <f t="shared" ca="1" si="93"/>
        <v>-</v>
      </c>
      <c r="I30" s="10" t="str">
        <f t="shared" ca="1" si="94"/>
        <v>-</v>
      </c>
      <c r="J30" s="10"/>
      <c r="K30" s="10" t="str">
        <f t="shared" ca="1" si="95"/>
        <v>-</v>
      </c>
      <c r="L30" s="10" t="str">
        <f t="shared" ca="1" si="96"/>
        <v>-</v>
      </c>
      <c r="M30" s="10"/>
      <c r="N30" s="10" t="str">
        <f t="shared" ca="1" si="97"/>
        <v>-</v>
      </c>
      <c r="O30" s="10" t="str">
        <f t="shared" ca="1" si="98"/>
        <v>-</v>
      </c>
      <c r="P30" s="10"/>
      <c r="Q30" s="10" t="str">
        <f t="shared" ca="1" si="99"/>
        <v>-</v>
      </c>
      <c r="R30" s="10" t="str">
        <f t="shared" ca="1" si="100"/>
        <v>-</v>
      </c>
      <c r="S30" s="10"/>
      <c r="T30" s="10" t="str">
        <f t="shared" ca="1" si="101"/>
        <v>-</v>
      </c>
      <c r="U30" s="10" t="str">
        <f t="shared" ca="1" si="102"/>
        <v>-</v>
      </c>
      <c r="V30" s="20"/>
      <c r="W30" s="694"/>
      <c r="X30" s="27">
        <f ca="1">Horarios!C30</f>
        <v>46192.25</v>
      </c>
      <c r="Y30" s="28">
        <f ca="1">Horarios!C30</f>
        <v>46192.25</v>
      </c>
      <c r="Z30" s="29" t="str">
        <f>$Z$6</f>
        <v>J2</v>
      </c>
      <c r="AA30" s="30" t="str">
        <f ca="1">A32</f>
        <v>PO C: TUR/ROU/SVK/KOS</v>
      </c>
      <c r="AB30" s="55" t="str">
        <f ca="1">+INDEX(Equipos!$L$2:$L$49,MATCH(WORLDCUP!AA30,Equipos!$K$2:$K$49,0))</f>
        <v xml:space="preserve"> </v>
      </c>
      <c r="AC30" s="56">
        <v>0</v>
      </c>
      <c r="AD30" s="57">
        <v>1</v>
      </c>
      <c r="AE30" s="58" t="str">
        <f ca="1">+INDEX(Equipos!$L$2:$L$49,MATCH(WORLDCUP!AF30,Equipos!$K$2:$K$49,0))</f>
        <v>🇵🇾</v>
      </c>
      <c r="AF30" s="35" t="str">
        <f ca="1">A30</f>
        <v>Paraguay</v>
      </c>
      <c r="AG30" s="335">
        <f t="shared" si="103"/>
        <v>1</v>
      </c>
      <c r="AH30" s="204">
        <v>31</v>
      </c>
      <c r="AI30" s="190" t="str">
        <f>AJ30&amp;$B$28</f>
        <v>1D</v>
      </c>
      <c r="AJ30" s="43">
        <v>1</v>
      </c>
      <c r="AK30" s="37" t="str">
        <f ca="1">+INDEX(Equipos!$L$2:$L$49,MATCH(WORLDCUP!AL30,Equipos!$K$2:$K$49,0))</f>
        <v>🇺🇸</v>
      </c>
      <c r="AL30" s="37" t="str">
        <f ca="1">IFERROR(INDEX($BD$6:$BD$53,MATCH(AI30,$BN$6:$BN$53,0)),"")</f>
        <v>Estados Unidos</v>
      </c>
      <c r="AM30" s="38">
        <f t="shared" ref="AM30:AT33" ca="1" si="106">INDEX($BE$6:$BN$53,MATCH($AL30,$BD$6:$BD$53,0),MATCH(AM$5,$BE$5:$BN$5,0))</f>
        <v>9</v>
      </c>
      <c r="AN30" s="39">
        <f t="shared" ca="1" si="106"/>
        <v>3</v>
      </c>
      <c r="AO30" s="39">
        <f t="shared" ca="1" si="106"/>
        <v>3</v>
      </c>
      <c r="AP30" s="39">
        <f t="shared" ca="1" si="106"/>
        <v>0</v>
      </c>
      <c r="AQ30" s="39">
        <f t="shared" ca="1" si="106"/>
        <v>0</v>
      </c>
      <c r="AR30" s="39">
        <f t="shared" ca="1" si="106"/>
        <v>4</v>
      </c>
      <c r="AS30" s="39">
        <f t="shared" ca="1" si="106"/>
        <v>0</v>
      </c>
      <c r="AT30" s="45">
        <f t="shared" ca="1" si="106"/>
        <v>4</v>
      </c>
      <c r="AU30" s="342">
        <f ca="1">INDEX($DJ$6:$DJ$53,MATCH(AI30,$DN$6:$DN$53,0))</f>
        <v>1</v>
      </c>
      <c r="AV30" s="191" t="str">
        <f ca="1">INDEX($BD$6:$BD$53,MATCH(AI30,$BM$6:$BM$53,0))</f>
        <v>Estados Unidos</v>
      </c>
      <c r="AW30" s="219"/>
      <c r="AX30" s="179"/>
      <c r="AY30" s="210" t="str">
        <f ca="1">+A29</f>
        <v>Estados Unidos</v>
      </c>
      <c r="AZ30" s="211"/>
      <c r="BA30" s="155"/>
      <c r="BC30" s="630" t="str">
        <f ca="1">+INDEX(T_Equipos[Grupo],MATCH(WORLDCUP!BD30,T_Equipos[NombreEquipo],0))</f>
        <v>G</v>
      </c>
      <c r="BD30" s="10" t="str">
        <f ca="1">+Equipos!B26</f>
        <v>Bélgica</v>
      </c>
      <c r="BE30" s="424">
        <f t="shared" ca="1" si="16"/>
        <v>9</v>
      </c>
      <c r="BF30" s="424">
        <f t="shared" ca="1" si="25"/>
        <v>3</v>
      </c>
      <c r="BG30" s="424">
        <f t="shared" ca="1" si="17"/>
        <v>3</v>
      </c>
      <c r="BH30" s="424">
        <f t="shared" ca="1" si="18"/>
        <v>0</v>
      </c>
      <c r="BI30" s="424">
        <f t="shared" ca="1" si="19"/>
        <v>0</v>
      </c>
      <c r="BJ30" s="424">
        <f t="shared" ca="1" si="20"/>
        <v>4</v>
      </c>
      <c r="BK30" s="424">
        <f t="shared" ca="1" si="21"/>
        <v>0</v>
      </c>
      <c r="BL30" s="424">
        <f t="shared" ca="1" si="26"/>
        <v>4</v>
      </c>
      <c r="BM30" s="424" t="str">
        <f t="shared" ca="1" si="22"/>
        <v>1G</v>
      </c>
      <c r="BN30" s="424" t="str">
        <f t="shared" ca="1" si="23"/>
        <v>1G</v>
      </c>
      <c r="BO30" s="630"/>
      <c r="BP30" s="631">
        <f t="shared" ca="1" si="27"/>
        <v>9</v>
      </c>
      <c r="BQ30" s="631">
        <f ca="1">COUNTIFS($BE$6:$BE$53,"&gt;"&amp;BE30,$BC$6:$BC$53,INDEX(T_Equipos[Grupo],MATCH(BD30,T_Equipos[NombreEquipo],0)))+1</f>
        <v>1</v>
      </c>
      <c r="BR30" s="631" t="str">
        <f ca="1">IF(COUNTIFS($BQ$6:$BQ$53,BQ30,$BC$6:$BC$53,INDEX(T_Equipos[Grupo],MATCH(BD30,T_Equipos[NombreEquipo],0)))=1,"-","P."&amp;BQ30&amp;" ("&amp;COUNTIFS($BQ$6:$BQ$53,BQ30,$BC$6:$BC$53,INDEX(T_Equipos[Grupo],MATCH(BD30,T_Equipos[NombreEquipo],0)))&amp;")")</f>
        <v>-</v>
      </c>
      <c r="BS30" s="632" t="str">
        <f t="shared" ca="1" si="34"/>
        <v>-</v>
      </c>
      <c r="BT30" s="632" t="str">
        <f t="shared" ca="1" si="35"/>
        <v>-</v>
      </c>
      <c r="BU30" s="632" t="str">
        <f t="shared" ca="1" si="36"/>
        <v>-</v>
      </c>
      <c r="BV30" s="632" t="str">
        <f t="shared" ca="1" si="37"/>
        <v>-</v>
      </c>
      <c r="BW30" s="632">
        <f ca="1">BQ30+COUNTIFS($BR$6:$BR$53,BR30,$BV$6:BV$53,"&gt;"&amp;BV30,$BC$6:$BC$53,INDEX(T_Equipos[Grupo],MATCH(BD30,T_Equipos[NombreEquipo],0)))</f>
        <v>1</v>
      </c>
      <c r="BX30" s="631" t="str">
        <f ca="1">IF(COUNTIFS($BW$6:$BW$53,BW30,$BC$6:$BC$53,INDEX(T_Equipos[Grupo],MATCH(BD30,T_Equipos[NombreEquipo],0)))=1,"-","P."&amp;BW30&amp;" ("&amp;COUNTIFS($BW$6:$BW$53,BW30,$BC$6:$BC$53,INDEX(T_Equipos[Grupo],MATCH(BD30,T_Equipos[NombreEquipo],0)))&amp;")")</f>
        <v>-</v>
      </c>
      <c r="BY30" s="632" t="str">
        <f t="shared" ca="1" si="38"/>
        <v>-</v>
      </c>
      <c r="BZ30" s="632" t="str">
        <f t="shared" ca="1" si="39"/>
        <v>-</v>
      </c>
      <c r="CA30" s="632" t="str">
        <f t="shared" ca="1" si="40"/>
        <v>-</v>
      </c>
      <c r="CB30" s="632">
        <f ca="1">BW30+COUNTIFS($BX$6:$BX$53,BX30,$CA$6:CA$53,"&gt;"&amp;CA30,$BC$6:$BC$53,INDEX(T_Equipos[Grupo],MATCH(BD30,T_Equipos[NombreEquipo],0)))</f>
        <v>1</v>
      </c>
      <c r="CC30" s="631" t="str">
        <f ca="1">IF(COUNTIFS($CB$6:$CB$53,CB30,$BC$6:$BC$53,INDEX(T_Equipos[Grupo],MATCH(BD30,T_Equipos[NombreEquipo],0)))=1,"-","P."&amp;CB30&amp;" ("&amp;COUNTIFS($CB$6:$CB$53,CB30,$BC$6:$BC$53,INDEX(T_Equipos[Grupo],MATCH(BD30,T_Equipos[NombreEquipo],0)))&amp;")")</f>
        <v>-</v>
      </c>
      <c r="CD30" s="632" t="str">
        <f t="shared" ca="1" si="41"/>
        <v>-</v>
      </c>
      <c r="CE30" s="632">
        <f ca="1">CB30+COUNTIFS($CC$6:$CC$53,CC30,$CD$6:CD$53,"&gt;"&amp;CD30,$BC$6:$BC$53,INDEX(T_Equipos[Grupo],MATCH(BD30,T_Equipos[NombreEquipo],0)))</f>
        <v>1</v>
      </c>
      <c r="CF30" s="631" t="str">
        <f ca="1">IF(COUNTIFS($CE$6:$CE$53,CE30,$BC$6:$BC$53,INDEX(T_Equipos[Grupo],MATCH(BD30,T_Equipos[NombreEquipo],0)))=1,"-","P."&amp;CE30&amp;" ("&amp;COUNTIFS($CE$6:$CE$53,CE30,$BC$6:$BC$53,INDEX(T_Equipos[Grupo],MATCH(BD30,T_Equipos[NombreEquipo],0)))&amp;")")</f>
        <v>-</v>
      </c>
      <c r="CG30" s="632" t="str">
        <f t="shared" ca="1" si="42"/>
        <v>-</v>
      </c>
      <c r="CH30" s="632" t="str">
        <f t="shared" ca="1" si="43"/>
        <v>-</v>
      </c>
      <c r="CI30" s="632" t="str">
        <f t="shared" ca="1" si="44"/>
        <v>-</v>
      </c>
      <c r="CJ30" s="632" t="str">
        <f t="shared" ca="1" si="45"/>
        <v>-</v>
      </c>
      <c r="CK30" s="632">
        <f ca="1">CE30+COUNTIFS($CF$6:$CF$53,CF30,$CJ$6:CJ$53,"&gt;"&amp;CJ30,$BC$6:$BC$53,INDEX(T_Equipos[Grupo],MATCH(BD30,T_Equipos[NombreEquipo],0)))</f>
        <v>1</v>
      </c>
      <c r="CL30" s="631" t="str">
        <f ca="1">IF(COUNTIFS($CK$6:$CK$53,CK30,$BC$6:$BC$53,INDEX(T_Equipos[Grupo],MATCH(BD30,T_Equipos[NombreEquipo],0)))=1,"-","P."&amp;CK30&amp;" ("&amp;COUNTIFS($CK$6:$CK$53,CK30,$BC$6:$BC$53,INDEX(T_Equipos[Grupo],MATCH(BD30,T_Equipos[NombreEquipo],0)))&amp;")")</f>
        <v>-</v>
      </c>
      <c r="CM30" s="632" t="str">
        <f t="shared" ca="1" si="46"/>
        <v>-</v>
      </c>
      <c r="CN30" s="632" t="str">
        <f t="shared" ca="1" si="47"/>
        <v>-</v>
      </c>
      <c r="CO30" s="632" t="str">
        <f t="shared" ca="1" si="48"/>
        <v>-</v>
      </c>
      <c r="CP30" s="632">
        <f ca="1">CK30+COUNTIFS($CL$6:$CL$53,CL30,$CO$6:CO$53,"&gt;"&amp;CO30,$BC$6:$BC$53,INDEX(T_Equipos[Grupo],MATCH(BD30,T_Equipos[NombreEquipo],0)))</f>
        <v>1</v>
      </c>
      <c r="CQ30" s="631" t="str">
        <f ca="1">IF(COUNTIFS($CP$6:$CP$53,CP30,$BC$6:$BC$53,INDEX(T_Equipos[Grupo],MATCH(BD30,T_Equipos[NombreEquipo],0)))=1,"-","P."&amp;CP30&amp;" ("&amp;COUNTIFS($CP$6:$CP$53,CP30,$BC$6:$BC$53,INDEX(T_Equipos[Grupo],MATCH(BD30,T_Equipos[NombreEquipo],0)))&amp;")")</f>
        <v>-</v>
      </c>
      <c r="CR30" s="632" t="str">
        <f t="shared" ca="1" si="49"/>
        <v>-</v>
      </c>
      <c r="CS30" s="632">
        <f ca="1">CP30+COUNTIFS($CQ$6:$CQ$53,CQ30,$CR$6:CR$53,"&gt;"&amp;CR30,$BC$6:$BC$53,INDEX(T_Equipos[Grupo],MATCH(BD30,T_Equipos[NombreEquipo],0)))</f>
        <v>1</v>
      </c>
      <c r="CT30" s="631" t="str">
        <f ca="1">IF(COUNTIFS($CS$6:$CS$53,CS30,$BC$6:$BC$53,INDEX(T_Equipos[Grupo],MATCH(BD30,T_Equipos[NombreEquipo],0)))=1,"-","P."&amp;CS30&amp;" ("&amp;COUNTIFS($CS$6:$CS$53,CS30,$BC$6:$BC$53,INDEX(T_Equipos[Grupo],MATCH(BD30,T_Equipos[NombreEquipo],0)))&amp;")")</f>
        <v>-</v>
      </c>
      <c r="CU30" s="631" t="str">
        <f t="shared" ca="1" si="28"/>
        <v>-</v>
      </c>
      <c r="CV30" s="631">
        <f ca="1">CS30+COUNTIFS($CT$6:$CT$53,CT30,$CU$6:CU$53,"&gt;"&amp;CU30,$BC$6:$BC$53,INDEX(T_Equipos[Grupo],MATCH(BD30,T_Equipos[NombreEquipo],0)))</f>
        <v>1</v>
      </c>
      <c r="CW30" s="631" t="str">
        <f ca="1">IF(COUNTIFS($CV$6:$CV$53,CV30,$BC$6:$BC$53,INDEX(T_Equipos[Grupo],MATCH(BD30,T_Equipos[NombreEquipo],0)))=1,"-","P."&amp;CV30&amp;" ("&amp;COUNTIFS($CV$6:$CV$53,CV30,$BC$6:$BC$53,INDEX(T_Equipos[Grupo],MATCH(BD30,T_Equipos[NombreEquipo],0)))&amp;")")</f>
        <v>-</v>
      </c>
      <c r="CX30" s="631" t="str">
        <f t="shared" ca="1" si="29"/>
        <v>-</v>
      </c>
      <c r="CY30" s="632">
        <f ca="1">CV30+COUNTIFS($CW$6:$CW$53,CW30,$CX$6:CX$53,"&gt;"&amp;CX30,$BC$6:$BC$53,INDEX(T_Equipos[Grupo],MATCH(BD30,T_Equipos[NombreEquipo],0)))</f>
        <v>1</v>
      </c>
      <c r="CZ30" s="631" t="str">
        <f ca="1">IF(COUNTIFS($CY$6:$CY$53,CY30,$BC$6:$BC$53,INDEX(T_Equipos[Grupo],MATCH(BD30,T_Equipos[NombreEquipo],0)))=1,"-","P."&amp;CY30&amp;" ("&amp;COUNTIFS($CY$6:$CY$53,CY30,$BC$6:$BC$53,INDEX(T_Equipos[Grupo],MATCH(BD30,T_Equipos[NombreEquipo],0)))&amp;")")</f>
        <v>-</v>
      </c>
      <c r="DA30" s="633" t="str">
        <f ca="1">IF(CZ30="-","-",COUNTIFS(T_Equipos[Rank],"&lt;"&amp;INDEX(T_Equipos[Rank],MATCH(BD30,T_Equipos[NombreEquipo],0)),$BC$6:$BC$53,INDEX(T_Equipos[Grupo],MATCH(BD30,T_Equipos[NombreEquipo],0)))+1)</f>
        <v>-</v>
      </c>
      <c r="DB30" s="630">
        <f ca="1">CY30+COUNTIFS($CZ$6:$CZ$53,CZ30,$DA$6:DA$53,"&lt;"&amp;DA30,$BC$6:$BC$53,INDEX(T_Equipos[Grupo],MATCH(BD30,T_Equipos[NombreEquipo],0)))</f>
        <v>1</v>
      </c>
      <c r="DC30" s="630"/>
      <c r="DD30" s="630">
        <f t="shared" ca="1" si="50"/>
        <v>1</v>
      </c>
      <c r="DE30" s="630" t="str">
        <f ca="1">IF(CZ30="-","-",COUNTIFS(DD$6:DD$53,"&lt;"&amp;DD30,$BC$6:$BC$53,INDEX(T_Equipos[Grupo],MATCH(BD30,T_Equipos[NombreEquipo],0))))</f>
        <v>-</v>
      </c>
      <c r="DF30" s="630">
        <f ca="1">CY30+COUNTIFS(CZ$6:CZ$53,CZ30,DE$6:DE$53,"&lt;"&amp;DE30,$BC$6:$BC$53,INDEX(T_Equipos[Grupo],MATCH(BD30,T_Equipos[NombreEquipo],0)))</f>
        <v>1</v>
      </c>
      <c r="DH30" s="10">
        <f t="shared" ca="1" si="51"/>
        <v>1</v>
      </c>
      <c r="DI30" s="10">
        <f t="shared" ca="1" si="24"/>
        <v>12</v>
      </c>
      <c r="DJ30" s="10">
        <f t="shared" ca="1" si="31"/>
        <v>1</v>
      </c>
      <c r="DK30" s="19" t="str">
        <f t="shared" ca="1" si="32"/>
        <v>1.1</v>
      </c>
      <c r="DL30" s="10" cm="1">
        <f t="array" aca="1" ref="DL30" ca="1">OFFSET(Horarios!$P$3,DH30-1,0,DJ30,1)</f>
        <v>1</v>
      </c>
      <c r="DN30" s="10" t="s">
        <v>686</v>
      </c>
      <c r="DO30" s="10" t="str">
        <f t="shared" ca="1" si="33"/>
        <v>Bélgica</v>
      </c>
    </row>
    <row r="31" spans="1:119" ht="16.05" customHeight="1">
      <c r="A31" s="646" t="str">
        <f ca="1">+Equipos!B16</f>
        <v>Australia</v>
      </c>
      <c r="B31" s="11"/>
      <c r="C31" s="10"/>
      <c r="D31" s="10" t="str">
        <f t="shared" si="90"/>
        <v>Local</v>
      </c>
      <c r="E31" s="10" t="str">
        <f t="shared" ca="1" si="91"/>
        <v>-</v>
      </c>
      <c r="F31" s="10" t="str">
        <f t="shared" ca="1" si="92"/>
        <v>-</v>
      </c>
      <c r="G31" s="10"/>
      <c r="H31" s="10" t="str">
        <f t="shared" ca="1" si="93"/>
        <v>-</v>
      </c>
      <c r="I31" s="10" t="str">
        <f t="shared" ca="1" si="94"/>
        <v>-</v>
      </c>
      <c r="J31" s="10"/>
      <c r="K31" s="10" t="str">
        <f t="shared" ca="1" si="95"/>
        <v>-</v>
      </c>
      <c r="L31" s="10" t="str">
        <f t="shared" ca="1" si="96"/>
        <v>-</v>
      </c>
      <c r="M31" s="10"/>
      <c r="N31" s="10" t="str">
        <f t="shared" ca="1" si="97"/>
        <v>-</v>
      </c>
      <c r="O31" s="10" t="str">
        <f t="shared" ca="1" si="98"/>
        <v>-</v>
      </c>
      <c r="P31" s="10"/>
      <c r="Q31" s="10" t="str">
        <f t="shared" ca="1" si="99"/>
        <v>-</v>
      </c>
      <c r="R31" s="10" t="str">
        <f t="shared" ca="1" si="100"/>
        <v>-</v>
      </c>
      <c r="S31" s="10"/>
      <c r="T31" s="10" t="str">
        <f t="shared" ca="1" si="101"/>
        <v>-</v>
      </c>
      <c r="U31" s="10" t="str">
        <f t="shared" ca="1" si="102"/>
        <v>-</v>
      </c>
      <c r="V31" s="20"/>
      <c r="W31" s="694"/>
      <c r="X31" s="27">
        <f ca="1">Horarios!C31</f>
        <v>46192.875</v>
      </c>
      <c r="Y31" s="28">
        <f ca="1">Horarios!C31</f>
        <v>46192.875</v>
      </c>
      <c r="Z31" s="29" t="str">
        <f>$Z$6</f>
        <v>J2</v>
      </c>
      <c r="AA31" s="30" t="str">
        <f ca="1">A29</f>
        <v>Estados Unidos</v>
      </c>
      <c r="AB31" s="55" t="str">
        <f ca="1">+INDEX(Equipos!$L$2:$L$49,MATCH(WORLDCUP!AA31,Equipos!$K$2:$K$49,0))</f>
        <v>🇺🇸</v>
      </c>
      <c r="AC31" s="56">
        <v>2</v>
      </c>
      <c r="AD31" s="57">
        <v>0</v>
      </c>
      <c r="AE31" s="58" t="str">
        <f ca="1">+INDEX(Equipos!$L$2:$L$49,MATCH(WORLDCUP!AF31,Equipos!$K$2:$K$49,0))</f>
        <v>🇦🇺</v>
      </c>
      <c r="AF31" s="35" t="str">
        <f ca="1">A31</f>
        <v>Australia</v>
      </c>
      <c r="AG31" s="335">
        <f t="shared" si="103"/>
        <v>1</v>
      </c>
      <c r="AH31" s="204">
        <v>32</v>
      </c>
      <c r="AI31" s="190" t="str">
        <f t="shared" ref="AI31:AI33" si="107">AJ31&amp;$B$28</f>
        <v>2D</v>
      </c>
      <c r="AJ31" s="46">
        <v>2</v>
      </c>
      <c r="AK31" s="40" t="str">
        <f ca="1">+INDEX(Equipos!$L$2:$L$49,MATCH(WORLDCUP!AL31,Equipos!$K$2:$K$49,0))</f>
        <v>🇵🇾</v>
      </c>
      <c r="AL31" s="40" t="str">
        <f ca="1">IFERROR(INDEX($BD$6:$BD$53,MATCH(AI31,$BN$6:$BN$53,0)),"")</f>
        <v>Paraguay</v>
      </c>
      <c r="AM31" s="41">
        <f t="shared" ca="1" si="106"/>
        <v>4</v>
      </c>
      <c r="AN31" s="42">
        <f t="shared" ca="1" si="106"/>
        <v>3</v>
      </c>
      <c r="AO31" s="42">
        <f t="shared" ca="1" si="106"/>
        <v>1</v>
      </c>
      <c r="AP31" s="42">
        <f t="shared" ca="1" si="106"/>
        <v>1</v>
      </c>
      <c r="AQ31" s="42">
        <f t="shared" ca="1" si="106"/>
        <v>1</v>
      </c>
      <c r="AR31" s="42">
        <f t="shared" ca="1" si="106"/>
        <v>2</v>
      </c>
      <c r="AS31" s="42">
        <f t="shared" ca="1" si="106"/>
        <v>2</v>
      </c>
      <c r="AT31" s="48">
        <f t="shared" ca="1" si="106"/>
        <v>0</v>
      </c>
      <c r="AU31" s="342">
        <f ca="1">INDEX($DJ$6:$DJ$53,MATCH(AI31,$DN$6:$DN$53,0))</f>
        <v>1</v>
      </c>
      <c r="AV31" s="191" t="str">
        <f ca="1">INDEX($BD$6:$BD$53,MATCH(AI31,$BM$6:$BM$53,0))</f>
        <v>Paraguay</v>
      </c>
      <c r="AW31" s="219"/>
      <c r="AX31" s="179"/>
      <c r="AY31" s="212" t="str">
        <f ca="1">+A30</f>
        <v>Paraguay</v>
      </c>
      <c r="AZ31" s="213"/>
      <c r="BA31" s="155"/>
      <c r="BC31" s="630" t="str">
        <f ca="1">+INDEX(T_Equipos[Grupo],MATCH(WORLDCUP!BD31,T_Equipos[NombreEquipo],0))</f>
        <v>G</v>
      </c>
      <c r="BD31" s="10" t="str">
        <f ca="1">+Equipos!B27</f>
        <v>Egipto</v>
      </c>
      <c r="BE31" s="424">
        <f t="shared" ca="1" si="16"/>
        <v>2</v>
      </c>
      <c r="BF31" s="424">
        <f t="shared" ca="1" si="25"/>
        <v>3</v>
      </c>
      <c r="BG31" s="424">
        <f t="shared" ca="1" si="17"/>
        <v>0</v>
      </c>
      <c r="BH31" s="424">
        <f t="shared" ca="1" si="18"/>
        <v>2</v>
      </c>
      <c r="BI31" s="424">
        <f t="shared" ca="1" si="19"/>
        <v>1</v>
      </c>
      <c r="BJ31" s="424">
        <f t="shared" ca="1" si="20"/>
        <v>0</v>
      </c>
      <c r="BK31" s="424">
        <f t="shared" ca="1" si="21"/>
        <v>1</v>
      </c>
      <c r="BL31" s="424">
        <f t="shared" ca="1" si="26"/>
        <v>-1</v>
      </c>
      <c r="BM31" s="424" t="str">
        <f t="shared" ca="1" si="22"/>
        <v>3G</v>
      </c>
      <c r="BN31" s="424" t="str">
        <f t="shared" ca="1" si="23"/>
        <v>3G</v>
      </c>
      <c r="BO31" s="630"/>
      <c r="BP31" s="631">
        <f t="shared" ca="1" si="27"/>
        <v>2</v>
      </c>
      <c r="BQ31" s="631">
        <f ca="1">COUNTIFS($BE$6:$BE$53,"&gt;"&amp;BE31,$BC$6:$BC$53,INDEX(T_Equipos[Grupo],MATCH(BD31,T_Equipos[NombreEquipo],0)))+1</f>
        <v>3</v>
      </c>
      <c r="BR31" s="631" t="str">
        <f ca="1">IF(COUNTIFS($BQ$6:$BQ$53,BQ31,$BC$6:$BC$53,INDEX(T_Equipos[Grupo],MATCH(BD31,T_Equipos[NombreEquipo],0)))=1,"-","P."&amp;BQ31&amp;" ("&amp;COUNTIFS($BQ$6:$BQ$53,BQ31,$BC$6:$BC$53,INDEX(T_Equipos[Grupo],MATCH(BD31,T_Equipos[NombreEquipo],0)))&amp;")")</f>
        <v>-</v>
      </c>
      <c r="BS31" s="632" t="str">
        <f t="shared" ca="1" si="34"/>
        <v>-</v>
      </c>
      <c r="BT31" s="632" t="str">
        <f t="shared" ca="1" si="35"/>
        <v>-</v>
      </c>
      <c r="BU31" s="632" t="str">
        <f t="shared" ca="1" si="36"/>
        <v>-</v>
      </c>
      <c r="BV31" s="632" t="str">
        <f t="shared" ca="1" si="37"/>
        <v>-</v>
      </c>
      <c r="BW31" s="632">
        <f ca="1">BQ31+COUNTIFS($BR$6:$BR$53,BR31,$BV$6:BV$53,"&gt;"&amp;BV31,$BC$6:$BC$53,INDEX(T_Equipos[Grupo],MATCH(BD31,T_Equipos[NombreEquipo],0)))</f>
        <v>3</v>
      </c>
      <c r="BX31" s="631" t="str">
        <f ca="1">IF(COUNTIFS($BW$6:$BW$53,BW31,$BC$6:$BC$53,INDEX(T_Equipos[Grupo],MATCH(BD31,T_Equipos[NombreEquipo],0)))=1,"-","P."&amp;BW31&amp;" ("&amp;COUNTIFS($BW$6:$BW$53,BW31,$BC$6:$BC$53,INDEX(T_Equipos[Grupo],MATCH(BD31,T_Equipos[NombreEquipo],0)))&amp;")")</f>
        <v>-</v>
      </c>
      <c r="BY31" s="632" t="str">
        <f t="shared" ca="1" si="38"/>
        <v>-</v>
      </c>
      <c r="BZ31" s="632" t="str">
        <f t="shared" ca="1" si="39"/>
        <v>-</v>
      </c>
      <c r="CA31" s="632" t="str">
        <f t="shared" ca="1" si="40"/>
        <v>-</v>
      </c>
      <c r="CB31" s="632">
        <f ca="1">BW31+COUNTIFS($BX$6:$BX$53,BX31,$CA$6:CA$53,"&gt;"&amp;CA31,$BC$6:$BC$53,INDEX(T_Equipos[Grupo],MATCH(BD31,T_Equipos[NombreEquipo],0)))</f>
        <v>3</v>
      </c>
      <c r="CC31" s="631" t="str">
        <f ca="1">IF(COUNTIFS($CB$6:$CB$53,CB31,$BC$6:$BC$53,INDEX(T_Equipos[Grupo],MATCH(BD31,T_Equipos[NombreEquipo],0)))=1,"-","P."&amp;CB31&amp;" ("&amp;COUNTIFS($CB$6:$CB$53,CB31,$BC$6:$BC$53,INDEX(T_Equipos[Grupo],MATCH(BD31,T_Equipos[NombreEquipo],0)))&amp;")")</f>
        <v>-</v>
      </c>
      <c r="CD31" s="632" t="str">
        <f t="shared" ca="1" si="41"/>
        <v>-</v>
      </c>
      <c r="CE31" s="632">
        <f ca="1">CB31+COUNTIFS($CC$6:$CC$53,CC31,$CD$6:CD$53,"&gt;"&amp;CD31,$BC$6:$BC$53,INDEX(T_Equipos[Grupo],MATCH(BD31,T_Equipos[NombreEquipo],0)))</f>
        <v>3</v>
      </c>
      <c r="CF31" s="631" t="str">
        <f ca="1">IF(COUNTIFS($CE$6:$CE$53,CE31,$BC$6:$BC$53,INDEX(T_Equipos[Grupo],MATCH(BD31,T_Equipos[NombreEquipo],0)))=1,"-","P."&amp;CE31&amp;" ("&amp;COUNTIFS($CE$6:$CE$53,CE31,$BC$6:$BC$53,INDEX(T_Equipos[Grupo],MATCH(BD31,T_Equipos[NombreEquipo],0)))&amp;")")</f>
        <v>-</v>
      </c>
      <c r="CG31" s="632" t="str">
        <f t="shared" ca="1" si="42"/>
        <v>-</v>
      </c>
      <c r="CH31" s="632" t="str">
        <f t="shared" ca="1" si="43"/>
        <v>-</v>
      </c>
      <c r="CI31" s="632" t="str">
        <f t="shared" ca="1" si="44"/>
        <v>-</v>
      </c>
      <c r="CJ31" s="632" t="str">
        <f t="shared" ca="1" si="45"/>
        <v>-</v>
      </c>
      <c r="CK31" s="632">
        <f ca="1">CE31+COUNTIFS($CF$6:$CF$53,CF31,$CJ$6:CJ$53,"&gt;"&amp;CJ31,$BC$6:$BC$53,INDEX(T_Equipos[Grupo],MATCH(BD31,T_Equipos[NombreEquipo],0)))</f>
        <v>3</v>
      </c>
      <c r="CL31" s="631" t="str">
        <f ca="1">IF(COUNTIFS($CK$6:$CK$53,CK31,$BC$6:$BC$53,INDEX(T_Equipos[Grupo],MATCH(BD31,T_Equipos[NombreEquipo],0)))=1,"-","P."&amp;CK31&amp;" ("&amp;COUNTIFS($CK$6:$CK$53,CK31,$BC$6:$BC$53,INDEX(T_Equipos[Grupo],MATCH(BD31,T_Equipos[NombreEquipo],0)))&amp;")")</f>
        <v>-</v>
      </c>
      <c r="CM31" s="632" t="str">
        <f t="shared" ca="1" si="46"/>
        <v>-</v>
      </c>
      <c r="CN31" s="632" t="str">
        <f t="shared" ca="1" si="47"/>
        <v>-</v>
      </c>
      <c r="CO31" s="632" t="str">
        <f t="shared" ca="1" si="48"/>
        <v>-</v>
      </c>
      <c r="CP31" s="632">
        <f ca="1">CK31+COUNTIFS($CL$6:$CL$53,CL31,$CO$6:CO$53,"&gt;"&amp;CO31,$BC$6:$BC$53,INDEX(T_Equipos[Grupo],MATCH(BD31,T_Equipos[NombreEquipo],0)))</f>
        <v>3</v>
      </c>
      <c r="CQ31" s="631" t="str">
        <f ca="1">IF(COUNTIFS($CP$6:$CP$53,CP31,$BC$6:$BC$53,INDEX(T_Equipos[Grupo],MATCH(BD31,T_Equipos[NombreEquipo],0)))=1,"-","P."&amp;CP31&amp;" ("&amp;COUNTIFS($CP$6:$CP$53,CP31,$BC$6:$BC$53,INDEX(T_Equipos[Grupo],MATCH(BD31,T_Equipos[NombreEquipo],0)))&amp;")")</f>
        <v>-</v>
      </c>
      <c r="CR31" s="632" t="str">
        <f t="shared" ca="1" si="49"/>
        <v>-</v>
      </c>
      <c r="CS31" s="632">
        <f ca="1">CP31+COUNTIFS($CQ$6:$CQ$53,CQ31,$CR$6:CR$53,"&gt;"&amp;CR31,$BC$6:$BC$53,INDEX(T_Equipos[Grupo],MATCH(BD31,T_Equipos[NombreEquipo],0)))</f>
        <v>3</v>
      </c>
      <c r="CT31" s="631" t="str">
        <f ca="1">IF(COUNTIFS($CS$6:$CS$53,CS31,$BC$6:$BC$53,INDEX(T_Equipos[Grupo],MATCH(BD31,T_Equipos[NombreEquipo],0)))=1,"-","P."&amp;CS31&amp;" ("&amp;COUNTIFS($CS$6:$CS$53,CS31,$BC$6:$BC$53,INDEX(T_Equipos[Grupo],MATCH(BD31,T_Equipos[NombreEquipo],0)))&amp;")")</f>
        <v>-</v>
      </c>
      <c r="CU31" s="631" t="str">
        <f t="shared" ca="1" si="28"/>
        <v>-</v>
      </c>
      <c r="CV31" s="631">
        <f ca="1">CS31+COUNTIFS($CT$6:$CT$53,CT31,$CU$6:CU$53,"&gt;"&amp;CU31,$BC$6:$BC$53,INDEX(T_Equipos[Grupo],MATCH(BD31,T_Equipos[NombreEquipo],0)))</f>
        <v>3</v>
      </c>
      <c r="CW31" s="631" t="str">
        <f ca="1">IF(COUNTIFS($CV$6:$CV$53,CV31,$BC$6:$BC$53,INDEX(T_Equipos[Grupo],MATCH(BD31,T_Equipos[NombreEquipo],0)))=1,"-","P."&amp;CV31&amp;" ("&amp;COUNTIFS($CV$6:$CV$53,CV31,$BC$6:$BC$53,INDEX(T_Equipos[Grupo],MATCH(BD31,T_Equipos[NombreEquipo],0)))&amp;")")</f>
        <v>-</v>
      </c>
      <c r="CX31" s="631" t="str">
        <f t="shared" ca="1" si="29"/>
        <v>-</v>
      </c>
      <c r="CY31" s="632">
        <f ca="1">CV31+COUNTIFS($CW$6:$CW$53,CW31,$CX$6:CX$53,"&gt;"&amp;CX31,$BC$6:$BC$53,INDEX(T_Equipos[Grupo],MATCH(BD31,T_Equipos[NombreEquipo],0)))</f>
        <v>3</v>
      </c>
      <c r="CZ31" s="631" t="str">
        <f ca="1">IF(COUNTIFS($CY$6:$CY$53,CY31,$BC$6:$BC$53,INDEX(T_Equipos[Grupo],MATCH(BD31,T_Equipos[NombreEquipo],0)))=1,"-","P."&amp;CY31&amp;" ("&amp;COUNTIFS($CY$6:$CY$53,CY31,$BC$6:$BC$53,INDEX(T_Equipos[Grupo],MATCH(BD31,T_Equipos[NombreEquipo],0)))&amp;")")</f>
        <v>-</v>
      </c>
      <c r="DA31" s="633" t="str">
        <f ca="1">IF(CZ31="-","-",COUNTIFS(T_Equipos[Rank],"&lt;"&amp;INDEX(T_Equipos[Rank],MATCH(BD31,T_Equipos[NombreEquipo],0)),$BC$6:$BC$53,INDEX(T_Equipos[Grupo],MATCH(BD31,T_Equipos[NombreEquipo],0)))+1)</f>
        <v>-</v>
      </c>
      <c r="DB31" s="630">
        <f ca="1">CY31+COUNTIFS($CZ$6:$CZ$53,CZ31,$DA$6:DA$53,"&lt;"&amp;DA31,$BC$6:$BC$53,INDEX(T_Equipos[Grupo],MATCH(BD31,T_Equipos[NombreEquipo],0)))</f>
        <v>3</v>
      </c>
      <c r="DC31" s="630"/>
      <c r="DD31" s="630">
        <f t="shared" ca="1" si="50"/>
        <v>3</v>
      </c>
      <c r="DE31" s="630" t="str">
        <f ca="1">IF(CZ31="-","-",COUNTIFS(DD$6:DD$53,"&lt;"&amp;DD31,$BC$6:$BC$53,INDEX(T_Equipos[Grupo],MATCH(BD31,T_Equipos[NombreEquipo],0))))</f>
        <v>-</v>
      </c>
      <c r="DF31" s="630">
        <f ca="1">CY31+COUNTIFS(CZ$6:CZ$53,CZ31,DE$6:DE$53,"&lt;"&amp;DE31,$BC$6:$BC$53,INDEX(T_Equipos[Grupo],MATCH(BD31,T_Equipos[NombreEquipo],0)))</f>
        <v>3</v>
      </c>
      <c r="DH31" s="10">
        <f t="shared" ca="1" si="51"/>
        <v>2</v>
      </c>
      <c r="DI31" s="10">
        <f t="shared" ca="1" si="24"/>
        <v>12</v>
      </c>
      <c r="DJ31" s="10">
        <f t="shared" ca="1" si="31"/>
        <v>1</v>
      </c>
      <c r="DK31" s="19" t="str">
        <f t="shared" ca="1" si="32"/>
        <v>2.1</v>
      </c>
      <c r="DL31" s="10" cm="1">
        <f t="array" aca="1" ref="DL31" ca="1">OFFSET(Horarios!$P$3,DH31-1,0,DJ31,1)</f>
        <v>2</v>
      </c>
      <c r="DN31" s="10" t="s">
        <v>687</v>
      </c>
      <c r="DO31" s="10" t="str">
        <f t="shared" ca="1" si="33"/>
        <v>Nueva Zelanda</v>
      </c>
    </row>
    <row r="32" spans="1:119" ht="16.05" customHeight="1">
      <c r="A32" s="646" t="str">
        <f ca="1">+Equipos!B17</f>
        <v>PO C: TUR/ROU/SVK/KOS</v>
      </c>
      <c r="B32" s="11"/>
      <c r="C32" s="10"/>
      <c r="D32" s="10" t="str">
        <f t="shared" si="90"/>
        <v>Visitante</v>
      </c>
      <c r="E32" s="10" t="str">
        <f t="shared" ca="1" si="91"/>
        <v>-</v>
      </c>
      <c r="F32" s="10" t="str">
        <f t="shared" ca="1" si="92"/>
        <v>-</v>
      </c>
      <c r="G32" s="10"/>
      <c r="H32" s="10" t="str">
        <f t="shared" ca="1" si="93"/>
        <v>-</v>
      </c>
      <c r="I32" s="10" t="str">
        <f t="shared" ca="1" si="94"/>
        <v>-</v>
      </c>
      <c r="J32" s="10"/>
      <c r="K32" s="10" t="str">
        <f t="shared" ca="1" si="95"/>
        <v>-</v>
      </c>
      <c r="L32" s="10" t="str">
        <f t="shared" ca="1" si="96"/>
        <v>-</v>
      </c>
      <c r="M32" s="10"/>
      <c r="N32" s="10" t="str">
        <f t="shared" ca="1" si="97"/>
        <v>-</v>
      </c>
      <c r="O32" s="10" t="str">
        <f t="shared" ca="1" si="98"/>
        <v>-</v>
      </c>
      <c r="P32" s="10"/>
      <c r="Q32" s="10" t="str">
        <f t="shared" ca="1" si="99"/>
        <v>-</v>
      </c>
      <c r="R32" s="10" t="str">
        <f t="shared" ca="1" si="100"/>
        <v>-</v>
      </c>
      <c r="S32" s="10"/>
      <c r="T32" s="10" t="str">
        <f t="shared" ca="1" si="101"/>
        <v>-</v>
      </c>
      <c r="U32" s="10" t="str">
        <f t="shared" ca="1" si="102"/>
        <v>-</v>
      </c>
      <c r="V32" s="20"/>
      <c r="W32" s="694"/>
      <c r="X32" s="27">
        <f ca="1">Horarios!C32</f>
        <v>46199.166666666664</v>
      </c>
      <c r="Y32" s="28">
        <f ca="1">Horarios!C32</f>
        <v>46199.166666666664</v>
      </c>
      <c r="Z32" s="29" t="str">
        <f>$Z$8</f>
        <v>J3</v>
      </c>
      <c r="AA32" s="30" t="str">
        <f ca="1">A32</f>
        <v>PO C: TUR/ROU/SVK/KOS</v>
      </c>
      <c r="AB32" s="55" t="str">
        <f ca="1">+INDEX(Equipos!$L$2:$L$49,MATCH(WORLDCUP!AA32,Equipos!$K$2:$K$49,0))</f>
        <v xml:space="preserve"> </v>
      </c>
      <c r="AC32" s="56">
        <v>0</v>
      </c>
      <c r="AD32" s="57">
        <v>1</v>
      </c>
      <c r="AE32" s="58" t="str">
        <f ca="1">+INDEX(Equipos!$L$2:$L$49,MATCH(WORLDCUP!AF32,Equipos!$K$2:$K$49,0))</f>
        <v>🇺🇸</v>
      </c>
      <c r="AF32" s="35" t="str">
        <f ca="1">A29</f>
        <v>Estados Unidos</v>
      </c>
      <c r="AG32" s="335">
        <f t="shared" si="103"/>
        <v>1</v>
      </c>
      <c r="AH32" s="204">
        <v>59</v>
      </c>
      <c r="AI32" s="190" t="str">
        <f t="shared" si="107"/>
        <v>3D</v>
      </c>
      <c r="AJ32" s="46">
        <v>3</v>
      </c>
      <c r="AK32" s="40" t="str">
        <f ca="1">+INDEX(Equipos!$L$2:$L$49,MATCH(WORLDCUP!AL32,Equipos!$K$2:$K$49,0))</f>
        <v>🇦🇺</v>
      </c>
      <c r="AL32" s="40" t="str">
        <f ca="1">IFERROR(INDEX($BD$6:$BD$53,MATCH(AI32,$BN$6:$BN$53,0)),"")</f>
        <v>Australia</v>
      </c>
      <c r="AM32" s="41">
        <f t="shared" ca="1" si="106"/>
        <v>2</v>
      </c>
      <c r="AN32" s="42">
        <f t="shared" ca="1" si="106"/>
        <v>3</v>
      </c>
      <c r="AO32" s="42">
        <f t="shared" ca="1" si="106"/>
        <v>0</v>
      </c>
      <c r="AP32" s="42">
        <f t="shared" ca="1" si="106"/>
        <v>2</v>
      </c>
      <c r="AQ32" s="42">
        <f t="shared" ca="1" si="106"/>
        <v>1</v>
      </c>
      <c r="AR32" s="42">
        <f t="shared" ca="1" si="106"/>
        <v>1</v>
      </c>
      <c r="AS32" s="42">
        <f t="shared" ca="1" si="106"/>
        <v>3</v>
      </c>
      <c r="AT32" s="48">
        <f t="shared" ca="1" si="106"/>
        <v>-2</v>
      </c>
      <c r="AU32" s="342">
        <f ca="1">INDEX($DJ$6:$DJ$53,MATCH(AI32,$DN$6:$DN$53,0))</f>
        <v>1</v>
      </c>
      <c r="AV32" s="191" t="str">
        <f ca="1">INDEX($BD$6:$BD$53,MATCH(AI32,$BM$6:$BM$53,0))</f>
        <v>Australia</v>
      </c>
      <c r="AW32" s="219"/>
      <c r="AX32" s="179"/>
      <c r="AY32" s="210" t="str">
        <f ca="1">+A31</f>
        <v>Australia</v>
      </c>
      <c r="AZ32" s="211"/>
      <c r="BA32" s="155"/>
      <c r="BC32" s="630" t="str">
        <f ca="1">+INDEX(T_Equipos[Grupo],MATCH(WORLDCUP!BD32,T_Equipos[NombreEquipo],0))</f>
        <v>G</v>
      </c>
      <c r="BD32" s="10" t="str">
        <f ca="1">+Equipos!B28</f>
        <v>Irán</v>
      </c>
      <c r="BE32" s="424">
        <f t="shared" ca="1" si="16"/>
        <v>1</v>
      </c>
      <c r="BF32" s="424">
        <f t="shared" ca="1" si="25"/>
        <v>3</v>
      </c>
      <c r="BG32" s="424">
        <f t="shared" ca="1" si="17"/>
        <v>0</v>
      </c>
      <c r="BH32" s="424">
        <f t="shared" ca="1" si="18"/>
        <v>1</v>
      </c>
      <c r="BI32" s="424">
        <f t="shared" ca="1" si="19"/>
        <v>2</v>
      </c>
      <c r="BJ32" s="424">
        <f t="shared" ca="1" si="20"/>
        <v>0</v>
      </c>
      <c r="BK32" s="424">
        <f t="shared" ca="1" si="21"/>
        <v>2</v>
      </c>
      <c r="BL32" s="424">
        <f t="shared" ca="1" si="26"/>
        <v>-2</v>
      </c>
      <c r="BM32" s="424" t="str">
        <f t="shared" ca="1" si="22"/>
        <v>4G</v>
      </c>
      <c r="BN32" s="424" t="str">
        <f t="shared" ca="1" si="23"/>
        <v>4G</v>
      </c>
      <c r="BO32" s="630"/>
      <c r="BP32" s="631">
        <f t="shared" ca="1" si="27"/>
        <v>1</v>
      </c>
      <c r="BQ32" s="631">
        <f ca="1">COUNTIFS($BE$6:$BE$53,"&gt;"&amp;BE32,$BC$6:$BC$53,INDEX(T_Equipos[Grupo],MATCH(BD32,T_Equipos[NombreEquipo],0)))+1</f>
        <v>4</v>
      </c>
      <c r="BR32" s="631" t="str">
        <f ca="1">IF(COUNTIFS($BQ$6:$BQ$53,BQ32,$BC$6:$BC$53,INDEX(T_Equipos[Grupo],MATCH(BD32,T_Equipos[NombreEquipo],0)))=1,"-","P."&amp;BQ32&amp;" ("&amp;COUNTIFS($BQ$6:$BQ$53,BQ32,$BC$6:$BC$53,INDEX(T_Equipos[Grupo],MATCH(BD32,T_Equipos[NombreEquipo],0)))&amp;")")</f>
        <v>-</v>
      </c>
      <c r="BS32" s="632" t="str">
        <f t="shared" ca="1" si="34"/>
        <v>-</v>
      </c>
      <c r="BT32" s="632" t="str">
        <f t="shared" ca="1" si="35"/>
        <v>-</v>
      </c>
      <c r="BU32" s="632" t="str">
        <f t="shared" ca="1" si="36"/>
        <v>-</v>
      </c>
      <c r="BV32" s="632" t="str">
        <f t="shared" ca="1" si="37"/>
        <v>-</v>
      </c>
      <c r="BW32" s="632">
        <f ca="1">BQ32+COUNTIFS($BR$6:$BR$53,BR32,$BV$6:BV$53,"&gt;"&amp;BV32,$BC$6:$BC$53,INDEX(T_Equipos[Grupo],MATCH(BD32,T_Equipos[NombreEquipo],0)))</f>
        <v>4</v>
      </c>
      <c r="BX32" s="631" t="str">
        <f ca="1">IF(COUNTIFS($BW$6:$BW$53,BW32,$BC$6:$BC$53,INDEX(T_Equipos[Grupo],MATCH(BD32,T_Equipos[NombreEquipo],0)))=1,"-","P."&amp;BW32&amp;" ("&amp;COUNTIFS($BW$6:$BW$53,BW32,$BC$6:$BC$53,INDEX(T_Equipos[Grupo],MATCH(BD32,T_Equipos[NombreEquipo],0)))&amp;")")</f>
        <v>-</v>
      </c>
      <c r="BY32" s="632" t="str">
        <f t="shared" ca="1" si="38"/>
        <v>-</v>
      </c>
      <c r="BZ32" s="632" t="str">
        <f t="shared" ca="1" si="39"/>
        <v>-</v>
      </c>
      <c r="CA32" s="632" t="str">
        <f t="shared" ca="1" si="40"/>
        <v>-</v>
      </c>
      <c r="CB32" s="632">
        <f ca="1">BW32+COUNTIFS($BX$6:$BX$53,BX32,$CA$6:CA$53,"&gt;"&amp;CA32,$BC$6:$BC$53,INDEX(T_Equipos[Grupo],MATCH(BD32,T_Equipos[NombreEquipo],0)))</f>
        <v>4</v>
      </c>
      <c r="CC32" s="631" t="str">
        <f ca="1">IF(COUNTIFS($CB$6:$CB$53,CB32,$BC$6:$BC$53,INDEX(T_Equipos[Grupo],MATCH(BD32,T_Equipos[NombreEquipo],0)))=1,"-","P."&amp;CB32&amp;" ("&amp;COUNTIFS($CB$6:$CB$53,CB32,$BC$6:$BC$53,INDEX(T_Equipos[Grupo],MATCH(BD32,T_Equipos[NombreEquipo],0)))&amp;")")</f>
        <v>-</v>
      </c>
      <c r="CD32" s="632" t="str">
        <f t="shared" ca="1" si="41"/>
        <v>-</v>
      </c>
      <c r="CE32" s="632">
        <f ca="1">CB32+COUNTIFS($CC$6:$CC$53,CC32,$CD$6:CD$53,"&gt;"&amp;CD32,$BC$6:$BC$53,INDEX(T_Equipos[Grupo],MATCH(BD32,T_Equipos[NombreEquipo],0)))</f>
        <v>4</v>
      </c>
      <c r="CF32" s="631" t="str">
        <f ca="1">IF(COUNTIFS($CE$6:$CE$53,CE32,$BC$6:$BC$53,INDEX(T_Equipos[Grupo],MATCH(BD32,T_Equipos[NombreEquipo],0)))=1,"-","P."&amp;CE32&amp;" ("&amp;COUNTIFS($CE$6:$CE$53,CE32,$BC$6:$BC$53,INDEX(T_Equipos[Grupo],MATCH(BD32,T_Equipos[NombreEquipo],0)))&amp;")")</f>
        <v>-</v>
      </c>
      <c r="CG32" s="632" t="str">
        <f t="shared" ca="1" si="42"/>
        <v>-</v>
      </c>
      <c r="CH32" s="632" t="str">
        <f t="shared" ca="1" si="43"/>
        <v>-</v>
      </c>
      <c r="CI32" s="632" t="str">
        <f t="shared" ca="1" si="44"/>
        <v>-</v>
      </c>
      <c r="CJ32" s="632" t="str">
        <f t="shared" ca="1" si="45"/>
        <v>-</v>
      </c>
      <c r="CK32" s="632">
        <f ca="1">CE32+COUNTIFS($CF$6:$CF$53,CF32,$CJ$6:CJ$53,"&gt;"&amp;CJ32,$BC$6:$BC$53,INDEX(T_Equipos[Grupo],MATCH(BD32,T_Equipos[NombreEquipo],0)))</f>
        <v>4</v>
      </c>
      <c r="CL32" s="631" t="str">
        <f ca="1">IF(COUNTIFS($CK$6:$CK$53,CK32,$BC$6:$BC$53,INDEX(T_Equipos[Grupo],MATCH(BD32,T_Equipos[NombreEquipo],0)))=1,"-","P."&amp;CK32&amp;" ("&amp;COUNTIFS($CK$6:$CK$53,CK32,$BC$6:$BC$53,INDEX(T_Equipos[Grupo],MATCH(BD32,T_Equipos[NombreEquipo],0)))&amp;")")</f>
        <v>-</v>
      </c>
      <c r="CM32" s="632" t="str">
        <f t="shared" ca="1" si="46"/>
        <v>-</v>
      </c>
      <c r="CN32" s="632" t="str">
        <f t="shared" ca="1" si="47"/>
        <v>-</v>
      </c>
      <c r="CO32" s="632" t="str">
        <f t="shared" ca="1" si="48"/>
        <v>-</v>
      </c>
      <c r="CP32" s="632">
        <f ca="1">CK32+COUNTIFS($CL$6:$CL$53,CL32,$CO$6:CO$53,"&gt;"&amp;CO32,$BC$6:$BC$53,INDEX(T_Equipos[Grupo],MATCH(BD32,T_Equipos[NombreEquipo],0)))</f>
        <v>4</v>
      </c>
      <c r="CQ32" s="631" t="str">
        <f ca="1">IF(COUNTIFS($CP$6:$CP$53,CP32,$BC$6:$BC$53,INDEX(T_Equipos[Grupo],MATCH(BD32,T_Equipos[NombreEquipo],0)))=1,"-","P."&amp;CP32&amp;" ("&amp;COUNTIFS($CP$6:$CP$53,CP32,$BC$6:$BC$53,INDEX(T_Equipos[Grupo],MATCH(BD32,T_Equipos[NombreEquipo],0)))&amp;")")</f>
        <v>-</v>
      </c>
      <c r="CR32" s="632" t="str">
        <f t="shared" ca="1" si="49"/>
        <v>-</v>
      </c>
      <c r="CS32" s="632">
        <f ca="1">CP32+COUNTIFS($CQ$6:$CQ$53,CQ32,$CR$6:CR$53,"&gt;"&amp;CR32,$BC$6:$BC$53,INDEX(T_Equipos[Grupo],MATCH(BD32,T_Equipos[NombreEquipo],0)))</f>
        <v>4</v>
      </c>
      <c r="CT32" s="631" t="str">
        <f ca="1">IF(COUNTIFS($CS$6:$CS$53,CS32,$BC$6:$BC$53,INDEX(T_Equipos[Grupo],MATCH(BD32,T_Equipos[NombreEquipo],0)))=1,"-","P."&amp;CS32&amp;" ("&amp;COUNTIFS($CS$6:$CS$53,CS32,$BC$6:$BC$53,INDEX(T_Equipos[Grupo],MATCH(BD32,T_Equipos[NombreEquipo],0)))&amp;")")</f>
        <v>-</v>
      </c>
      <c r="CU32" s="631" t="str">
        <f t="shared" ca="1" si="28"/>
        <v>-</v>
      </c>
      <c r="CV32" s="631">
        <f ca="1">CS32+COUNTIFS($CT$6:$CT$53,CT32,$CU$6:CU$53,"&gt;"&amp;CU32,$BC$6:$BC$53,INDEX(T_Equipos[Grupo],MATCH(BD32,T_Equipos[NombreEquipo],0)))</f>
        <v>4</v>
      </c>
      <c r="CW32" s="631" t="str">
        <f ca="1">IF(COUNTIFS($CV$6:$CV$53,CV32,$BC$6:$BC$53,INDEX(T_Equipos[Grupo],MATCH(BD32,T_Equipos[NombreEquipo],0)))=1,"-","P."&amp;CV32&amp;" ("&amp;COUNTIFS($CV$6:$CV$53,CV32,$BC$6:$BC$53,INDEX(T_Equipos[Grupo],MATCH(BD32,T_Equipos[NombreEquipo],0)))&amp;")")</f>
        <v>-</v>
      </c>
      <c r="CX32" s="631" t="str">
        <f t="shared" ca="1" si="29"/>
        <v>-</v>
      </c>
      <c r="CY32" s="632">
        <f ca="1">CV32+COUNTIFS($CW$6:$CW$53,CW32,$CX$6:CX$53,"&gt;"&amp;CX32,$BC$6:$BC$53,INDEX(T_Equipos[Grupo],MATCH(BD32,T_Equipos[NombreEquipo],0)))</f>
        <v>4</v>
      </c>
      <c r="CZ32" s="631" t="str">
        <f ca="1">IF(COUNTIFS($CY$6:$CY$53,CY32,$BC$6:$BC$53,INDEX(T_Equipos[Grupo],MATCH(BD32,T_Equipos[NombreEquipo],0)))=1,"-","P."&amp;CY32&amp;" ("&amp;COUNTIFS($CY$6:$CY$53,CY32,$BC$6:$BC$53,INDEX(T_Equipos[Grupo],MATCH(BD32,T_Equipos[NombreEquipo],0)))&amp;")")</f>
        <v>-</v>
      </c>
      <c r="DA32" s="633" t="str">
        <f ca="1">IF(CZ32="-","-",COUNTIFS(T_Equipos[Rank],"&lt;"&amp;INDEX(T_Equipos[Rank],MATCH(BD32,T_Equipos[NombreEquipo],0)),$BC$6:$BC$53,INDEX(T_Equipos[Grupo],MATCH(BD32,T_Equipos[NombreEquipo],0)))+1)</f>
        <v>-</v>
      </c>
      <c r="DB32" s="630">
        <f ca="1">CY32+COUNTIFS($CZ$6:$CZ$53,CZ32,$DA$6:DA$53,"&lt;"&amp;DA32,$BC$6:$BC$53,INDEX(T_Equipos[Grupo],MATCH(BD32,T_Equipos[NombreEquipo],0)))</f>
        <v>4</v>
      </c>
      <c r="DC32" s="630"/>
      <c r="DD32" s="630">
        <f t="shared" ca="1" si="50"/>
        <v>4</v>
      </c>
      <c r="DE32" s="630" t="str">
        <f ca="1">IF(CZ32="-","-",COUNTIFS(DD$6:DD$53,"&lt;"&amp;DD32,$BC$6:$BC$53,INDEX(T_Equipos[Grupo],MATCH(BD32,T_Equipos[NombreEquipo],0))))</f>
        <v>-</v>
      </c>
      <c r="DF32" s="630">
        <f ca="1">CY32+COUNTIFS(CZ$6:CZ$53,CZ32,DE$6:DE$53,"&lt;"&amp;DE32,$BC$6:$BC$53,INDEX(T_Equipos[Grupo],MATCH(BD32,T_Equipos[NombreEquipo],0)))</f>
        <v>4</v>
      </c>
      <c r="DH32" s="10">
        <f t="shared" ca="1" si="51"/>
        <v>3</v>
      </c>
      <c r="DI32" s="10">
        <f t="shared" ca="1" si="24"/>
        <v>12</v>
      </c>
      <c r="DJ32" s="10">
        <f t="shared" ca="1" si="31"/>
        <v>1</v>
      </c>
      <c r="DK32" s="19" t="str">
        <f t="shared" ca="1" si="32"/>
        <v>3.1</v>
      </c>
      <c r="DL32" s="10" cm="1">
        <f t="array" aca="1" ref="DL32" ca="1">OFFSET(Horarios!$P$3,DH32-1,0,DJ32,1)</f>
        <v>3</v>
      </c>
      <c r="DN32" s="10" t="s">
        <v>452</v>
      </c>
      <c r="DO32" s="10" t="str">
        <f t="shared" ca="1" si="33"/>
        <v>Egipto</v>
      </c>
    </row>
    <row r="33" spans="1:119" ht="16.95" customHeight="1" thickBot="1">
      <c r="A33" s="643"/>
      <c r="B33" s="643"/>
      <c r="C33" s="643"/>
      <c r="D33" s="10" t="str">
        <f t="shared" si="90"/>
        <v>Empate</v>
      </c>
      <c r="E33" s="10" t="str">
        <f t="shared" ca="1" si="91"/>
        <v>-</v>
      </c>
      <c r="F33" s="10" t="str">
        <f t="shared" ca="1" si="92"/>
        <v>-</v>
      </c>
      <c r="G33" s="10"/>
      <c r="H33" s="10" t="str">
        <f t="shared" ca="1" si="93"/>
        <v>-</v>
      </c>
      <c r="I33" s="10" t="str">
        <f t="shared" ca="1" si="94"/>
        <v>-</v>
      </c>
      <c r="J33" s="10"/>
      <c r="K33" s="10" t="str">
        <f t="shared" ca="1" si="95"/>
        <v>-</v>
      </c>
      <c r="L33" s="10" t="str">
        <f t="shared" ca="1" si="96"/>
        <v>-</v>
      </c>
      <c r="M33" s="10"/>
      <c r="N33" s="10" t="str">
        <f t="shared" ca="1" si="97"/>
        <v>-</v>
      </c>
      <c r="O33" s="10" t="str">
        <f t="shared" ca="1" si="98"/>
        <v>-</v>
      </c>
      <c r="P33" s="10"/>
      <c r="Q33" s="10" t="str">
        <f t="shared" ca="1" si="99"/>
        <v>-</v>
      </c>
      <c r="R33" s="10" t="str">
        <f t="shared" ca="1" si="100"/>
        <v>-</v>
      </c>
      <c r="S33" s="10"/>
      <c r="T33" s="10" t="str">
        <f t="shared" ca="1" si="101"/>
        <v>-</v>
      </c>
      <c r="U33" s="10" t="str">
        <f t="shared" ca="1" si="102"/>
        <v>-</v>
      </c>
      <c r="V33" s="20"/>
      <c r="W33" s="695"/>
      <c r="X33" s="31">
        <f ca="1">Horarios!C33</f>
        <v>46199.166666666664</v>
      </c>
      <c r="Y33" s="32">
        <f ca="1">Horarios!C33</f>
        <v>46199.166666666664</v>
      </c>
      <c r="Z33" s="33" t="str">
        <f>$Z$8</f>
        <v>J3</v>
      </c>
      <c r="AA33" s="34" t="str">
        <f ca="1">A30</f>
        <v>Paraguay</v>
      </c>
      <c r="AB33" s="59" t="str">
        <f ca="1">+INDEX(Equipos!$L$2:$L$49,MATCH(WORLDCUP!AA33,Equipos!$K$2:$K$49,0))</f>
        <v>🇵🇾</v>
      </c>
      <c r="AC33" s="60">
        <v>1</v>
      </c>
      <c r="AD33" s="61">
        <v>1</v>
      </c>
      <c r="AE33" s="62" t="str">
        <f ca="1">+INDEX(Equipos!$L$2:$L$49,MATCH(WORLDCUP!AF33,Equipos!$K$2:$K$49,0))</f>
        <v>🇦🇺</v>
      </c>
      <c r="AF33" s="36" t="str">
        <f ca="1">A31</f>
        <v>Australia</v>
      </c>
      <c r="AG33" s="335">
        <f t="shared" si="103"/>
        <v>1</v>
      </c>
      <c r="AH33" s="204">
        <v>60</v>
      </c>
      <c r="AI33" s="190" t="str">
        <f t="shared" si="107"/>
        <v>4D</v>
      </c>
      <c r="AJ33" s="49">
        <v>4</v>
      </c>
      <c r="AK33" s="51" t="str">
        <f ca="1">+INDEX(Equipos!$L$2:$L$49,MATCH(WORLDCUP!AL33,Equipos!$K$2:$K$49,0))</f>
        <v xml:space="preserve"> </v>
      </c>
      <c r="AL33" s="51" t="str">
        <f ca="1">IFERROR(INDEX($BD$6:$BD$53,MATCH(AI33,$BN$6:$BN$53,0)),"")</f>
        <v>PO C: TUR/ROU/SVK/KOS</v>
      </c>
      <c r="AM33" s="52">
        <f t="shared" ca="1" si="106"/>
        <v>1</v>
      </c>
      <c r="AN33" s="53">
        <f t="shared" ca="1" si="106"/>
        <v>3</v>
      </c>
      <c r="AO33" s="53">
        <f t="shared" ca="1" si="106"/>
        <v>0</v>
      </c>
      <c r="AP33" s="53">
        <f t="shared" ca="1" si="106"/>
        <v>1</v>
      </c>
      <c r="AQ33" s="53">
        <f t="shared" ca="1" si="106"/>
        <v>2</v>
      </c>
      <c r="AR33" s="53">
        <f t="shared" ca="1" si="106"/>
        <v>0</v>
      </c>
      <c r="AS33" s="53">
        <f t="shared" ca="1" si="106"/>
        <v>2</v>
      </c>
      <c r="AT33" s="54">
        <f t="shared" ca="1" si="106"/>
        <v>-2</v>
      </c>
      <c r="AU33" s="342">
        <f ca="1">INDEX($DJ$6:$DJ$53,MATCH(AI33,$DN$6:$DN$53,0))</f>
        <v>1</v>
      </c>
      <c r="AV33" s="191" t="str">
        <f ca="1">INDEX($BD$6:$BD$53,MATCH(AI33,$BM$6:$BM$53,0))</f>
        <v>PO C: TUR/ROU/SVK/KOS</v>
      </c>
      <c r="AW33" s="219"/>
      <c r="AX33" s="179"/>
      <c r="AY33" s="214" t="str">
        <f ca="1">+A32</f>
        <v>PO C: TUR/ROU/SVK/KOS</v>
      </c>
      <c r="AZ33" s="215"/>
      <c r="BA33" s="155"/>
      <c r="BC33" s="630" t="str">
        <f ca="1">+INDEX(T_Equipos[Grupo],MATCH(WORLDCUP!BD33,T_Equipos[NombreEquipo],0))</f>
        <v>G</v>
      </c>
      <c r="BD33" s="10" t="str">
        <f ca="1">+Equipos!B29</f>
        <v>Nueva Zelanda</v>
      </c>
      <c r="BE33" s="424">
        <f t="shared" ca="1" si="16"/>
        <v>4</v>
      </c>
      <c r="BF33" s="424">
        <f t="shared" ca="1" si="25"/>
        <v>3</v>
      </c>
      <c r="BG33" s="424">
        <f t="shared" ca="1" si="17"/>
        <v>1</v>
      </c>
      <c r="BH33" s="424">
        <f t="shared" ca="1" si="18"/>
        <v>1</v>
      </c>
      <c r="BI33" s="424">
        <f t="shared" ca="1" si="19"/>
        <v>1</v>
      </c>
      <c r="BJ33" s="424">
        <f t="shared" ca="1" si="20"/>
        <v>1</v>
      </c>
      <c r="BK33" s="424">
        <f t="shared" ca="1" si="21"/>
        <v>2</v>
      </c>
      <c r="BL33" s="424">
        <f t="shared" ca="1" si="26"/>
        <v>-1</v>
      </c>
      <c r="BM33" s="424" t="str">
        <f t="shared" ca="1" si="22"/>
        <v>2G</v>
      </c>
      <c r="BN33" s="424" t="str">
        <f t="shared" ca="1" si="23"/>
        <v>2G</v>
      </c>
      <c r="BO33" s="630"/>
      <c r="BP33" s="631">
        <f t="shared" ca="1" si="27"/>
        <v>4</v>
      </c>
      <c r="BQ33" s="631">
        <f ca="1">COUNTIFS($BE$6:$BE$53,"&gt;"&amp;BE33,$BC$6:$BC$53,INDEX(T_Equipos[Grupo],MATCH(BD33,T_Equipos[NombreEquipo],0)))+1</f>
        <v>2</v>
      </c>
      <c r="BR33" s="631" t="str">
        <f ca="1">IF(COUNTIFS($BQ$6:$BQ$53,BQ33,$BC$6:$BC$53,INDEX(T_Equipos[Grupo],MATCH(BD33,T_Equipos[NombreEquipo],0)))=1,"-","P."&amp;BQ33&amp;" ("&amp;COUNTIFS($BQ$6:$BQ$53,BQ33,$BC$6:$BC$53,INDEX(T_Equipos[Grupo],MATCH(BD33,T_Equipos[NombreEquipo],0)))&amp;")")</f>
        <v>-</v>
      </c>
      <c r="BS33" s="632" t="str">
        <f t="shared" ca="1" si="34"/>
        <v>-</v>
      </c>
      <c r="BT33" s="632" t="str">
        <f t="shared" ca="1" si="35"/>
        <v>-</v>
      </c>
      <c r="BU33" s="632" t="str">
        <f t="shared" ca="1" si="36"/>
        <v>-</v>
      </c>
      <c r="BV33" s="632" t="str">
        <f t="shared" ca="1" si="37"/>
        <v>-</v>
      </c>
      <c r="BW33" s="632">
        <f ca="1">BQ33+COUNTIFS($BR$6:$BR$53,BR33,$BV$6:BV$53,"&gt;"&amp;BV33,$BC$6:$BC$53,INDEX(T_Equipos[Grupo],MATCH(BD33,T_Equipos[NombreEquipo],0)))</f>
        <v>2</v>
      </c>
      <c r="BX33" s="631" t="str">
        <f ca="1">IF(COUNTIFS($BW$6:$BW$53,BW33,$BC$6:$BC$53,INDEX(T_Equipos[Grupo],MATCH(BD33,T_Equipos[NombreEquipo],0)))=1,"-","P."&amp;BW33&amp;" ("&amp;COUNTIFS($BW$6:$BW$53,BW33,$BC$6:$BC$53,INDEX(T_Equipos[Grupo],MATCH(BD33,T_Equipos[NombreEquipo],0)))&amp;")")</f>
        <v>-</v>
      </c>
      <c r="BY33" s="632" t="str">
        <f t="shared" ca="1" si="38"/>
        <v>-</v>
      </c>
      <c r="BZ33" s="632" t="str">
        <f t="shared" ca="1" si="39"/>
        <v>-</v>
      </c>
      <c r="CA33" s="632" t="str">
        <f t="shared" ca="1" si="40"/>
        <v>-</v>
      </c>
      <c r="CB33" s="632">
        <f ca="1">BW33+COUNTIFS($BX$6:$BX$53,BX33,$CA$6:CA$53,"&gt;"&amp;CA33,$BC$6:$BC$53,INDEX(T_Equipos[Grupo],MATCH(BD33,T_Equipos[NombreEquipo],0)))</f>
        <v>2</v>
      </c>
      <c r="CC33" s="631" t="str">
        <f ca="1">IF(COUNTIFS($CB$6:$CB$53,CB33,$BC$6:$BC$53,INDEX(T_Equipos[Grupo],MATCH(BD33,T_Equipos[NombreEquipo],0)))=1,"-","P."&amp;CB33&amp;" ("&amp;COUNTIFS($CB$6:$CB$53,CB33,$BC$6:$BC$53,INDEX(T_Equipos[Grupo],MATCH(BD33,T_Equipos[NombreEquipo],0)))&amp;")")</f>
        <v>-</v>
      </c>
      <c r="CD33" s="632" t="str">
        <f t="shared" ca="1" si="41"/>
        <v>-</v>
      </c>
      <c r="CE33" s="632">
        <f ca="1">CB33+COUNTIFS($CC$6:$CC$53,CC33,$CD$6:CD$53,"&gt;"&amp;CD33,$BC$6:$BC$53,INDEX(T_Equipos[Grupo],MATCH(BD33,T_Equipos[NombreEquipo],0)))</f>
        <v>2</v>
      </c>
      <c r="CF33" s="631" t="str">
        <f ca="1">IF(COUNTIFS($CE$6:$CE$53,CE33,$BC$6:$BC$53,INDEX(T_Equipos[Grupo],MATCH(BD33,T_Equipos[NombreEquipo],0)))=1,"-","P."&amp;CE33&amp;" ("&amp;COUNTIFS($CE$6:$CE$53,CE33,$BC$6:$BC$53,INDEX(T_Equipos[Grupo],MATCH(BD33,T_Equipos[NombreEquipo],0)))&amp;")")</f>
        <v>-</v>
      </c>
      <c r="CG33" s="632" t="str">
        <f t="shared" ca="1" si="42"/>
        <v>-</v>
      </c>
      <c r="CH33" s="632" t="str">
        <f t="shared" ca="1" si="43"/>
        <v>-</v>
      </c>
      <c r="CI33" s="632" t="str">
        <f t="shared" ca="1" si="44"/>
        <v>-</v>
      </c>
      <c r="CJ33" s="632" t="str">
        <f t="shared" ca="1" si="45"/>
        <v>-</v>
      </c>
      <c r="CK33" s="632">
        <f ca="1">CE33+COUNTIFS($CF$6:$CF$53,CF33,$CJ$6:CJ$53,"&gt;"&amp;CJ33,$BC$6:$BC$53,INDEX(T_Equipos[Grupo],MATCH(BD33,T_Equipos[NombreEquipo],0)))</f>
        <v>2</v>
      </c>
      <c r="CL33" s="631" t="str">
        <f ca="1">IF(COUNTIFS($CK$6:$CK$53,CK33,$BC$6:$BC$53,INDEX(T_Equipos[Grupo],MATCH(BD33,T_Equipos[NombreEquipo],0)))=1,"-","P."&amp;CK33&amp;" ("&amp;COUNTIFS($CK$6:$CK$53,CK33,$BC$6:$BC$53,INDEX(T_Equipos[Grupo],MATCH(BD33,T_Equipos[NombreEquipo],0)))&amp;")")</f>
        <v>-</v>
      </c>
      <c r="CM33" s="632" t="str">
        <f t="shared" ca="1" si="46"/>
        <v>-</v>
      </c>
      <c r="CN33" s="632" t="str">
        <f t="shared" ca="1" si="47"/>
        <v>-</v>
      </c>
      <c r="CO33" s="632" t="str">
        <f t="shared" ca="1" si="48"/>
        <v>-</v>
      </c>
      <c r="CP33" s="632">
        <f ca="1">CK33+COUNTIFS($CL$6:$CL$53,CL33,$CO$6:CO$53,"&gt;"&amp;CO33,$BC$6:$BC$53,INDEX(T_Equipos[Grupo],MATCH(BD33,T_Equipos[NombreEquipo],0)))</f>
        <v>2</v>
      </c>
      <c r="CQ33" s="631" t="str">
        <f ca="1">IF(COUNTIFS($CP$6:$CP$53,CP33,$BC$6:$BC$53,INDEX(T_Equipos[Grupo],MATCH(BD33,T_Equipos[NombreEquipo],0)))=1,"-","P."&amp;CP33&amp;" ("&amp;COUNTIFS($CP$6:$CP$53,CP33,$BC$6:$BC$53,INDEX(T_Equipos[Grupo],MATCH(BD33,T_Equipos[NombreEquipo],0)))&amp;")")</f>
        <v>-</v>
      </c>
      <c r="CR33" s="632" t="str">
        <f t="shared" ca="1" si="49"/>
        <v>-</v>
      </c>
      <c r="CS33" s="632">
        <f ca="1">CP33+COUNTIFS($CQ$6:$CQ$53,CQ33,$CR$6:CR$53,"&gt;"&amp;CR33,$BC$6:$BC$53,INDEX(T_Equipos[Grupo],MATCH(BD33,T_Equipos[NombreEquipo],0)))</f>
        <v>2</v>
      </c>
      <c r="CT33" s="631" t="str">
        <f ca="1">IF(COUNTIFS($CS$6:$CS$53,CS33,$BC$6:$BC$53,INDEX(T_Equipos[Grupo],MATCH(BD33,T_Equipos[NombreEquipo],0)))=1,"-","P."&amp;CS33&amp;" ("&amp;COUNTIFS($CS$6:$CS$53,CS33,$BC$6:$BC$53,INDEX(T_Equipos[Grupo],MATCH(BD33,T_Equipos[NombreEquipo],0)))&amp;")")</f>
        <v>-</v>
      </c>
      <c r="CU33" s="631" t="str">
        <f t="shared" ca="1" si="28"/>
        <v>-</v>
      </c>
      <c r="CV33" s="631">
        <f ca="1">CS33+COUNTIFS($CT$6:$CT$53,CT33,$CU$6:CU$53,"&gt;"&amp;CU33,$BC$6:$BC$53,INDEX(T_Equipos[Grupo],MATCH(BD33,T_Equipos[NombreEquipo],0)))</f>
        <v>2</v>
      </c>
      <c r="CW33" s="631" t="str">
        <f ca="1">IF(COUNTIFS($CV$6:$CV$53,CV33,$BC$6:$BC$53,INDEX(T_Equipos[Grupo],MATCH(BD33,T_Equipos[NombreEquipo],0)))=1,"-","P."&amp;CV33&amp;" ("&amp;COUNTIFS($CV$6:$CV$53,CV33,$BC$6:$BC$53,INDEX(T_Equipos[Grupo],MATCH(BD33,T_Equipos[NombreEquipo],0)))&amp;")")</f>
        <v>-</v>
      </c>
      <c r="CX33" s="631" t="str">
        <f t="shared" ca="1" si="29"/>
        <v>-</v>
      </c>
      <c r="CY33" s="632">
        <f ca="1">CV33+COUNTIFS($CW$6:$CW$53,CW33,$CX$6:CX$53,"&gt;"&amp;CX33,$BC$6:$BC$53,INDEX(T_Equipos[Grupo],MATCH(BD33,T_Equipos[NombreEquipo],0)))</f>
        <v>2</v>
      </c>
      <c r="CZ33" s="631" t="str">
        <f ca="1">IF(COUNTIFS($CY$6:$CY$53,CY33,$BC$6:$BC$53,INDEX(T_Equipos[Grupo],MATCH(BD33,T_Equipos[NombreEquipo],0)))=1,"-","P."&amp;CY33&amp;" ("&amp;COUNTIFS($CY$6:$CY$53,CY33,$BC$6:$BC$53,INDEX(T_Equipos[Grupo],MATCH(BD33,T_Equipos[NombreEquipo],0)))&amp;")")</f>
        <v>-</v>
      </c>
      <c r="DA33" s="633" t="str">
        <f ca="1">IF(CZ33="-","-",COUNTIFS(T_Equipos[Rank],"&lt;"&amp;INDEX(T_Equipos[Rank],MATCH(BD33,T_Equipos[NombreEquipo],0)),$BC$6:$BC$53,INDEX(T_Equipos[Grupo],MATCH(BD33,T_Equipos[NombreEquipo],0)))+1)</f>
        <v>-</v>
      </c>
      <c r="DB33" s="630">
        <f ca="1">CY33+COUNTIFS($CZ$6:$CZ$53,CZ33,$DA$6:DA$53,"&lt;"&amp;DA33,$BC$6:$BC$53,INDEX(T_Equipos[Grupo],MATCH(BD33,T_Equipos[NombreEquipo],0)))</f>
        <v>2</v>
      </c>
      <c r="DC33" s="630"/>
      <c r="DD33" s="630">
        <f t="shared" ca="1" si="50"/>
        <v>2</v>
      </c>
      <c r="DE33" s="630" t="str">
        <f ca="1">IF(CZ33="-","-",COUNTIFS(DD$6:DD$53,"&lt;"&amp;DD33,$BC$6:$BC$53,INDEX(T_Equipos[Grupo],MATCH(BD33,T_Equipos[NombreEquipo],0))))</f>
        <v>-</v>
      </c>
      <c r="DF33" s="630">
        <f ca="1">CY33+COUNTIFS(CZ$6:CZ$53,CZ33,DE$6:DE$53,"&lt;"&amp;DE33,$BC$6:$BC$53,INDEX(T_Equipos[Grupo],MATCH(BD33,T_Equipos[NombreEquipo],0)))</f>
        <v>2</v>
      </c>
      <c r="DH33" s="10">
        <f t="shared" ca="1" si="51"/>
        <v>4</v>
      </c>
      <c r="DI33" s="10">
        <f t="shared" ca="1" si="24"/>
        <v>12</v>
      </c>
      <c r="DJ33" s="10">
        <f t="shared" ca="1" si="31"/>
        <v>1</v>
      </c>
      <c r="DK33" s="19" t="str">
        <f t="shared" ca="1" si="32"/>
        <v>4.1</v>
      </c>
      <c r="DL33" s="10" cm="1">
        <f t="array" aca="1" ref="DL33" ca="1">OFFSET(Horarios!$P$3,DH33-1,0,DJ33,1)</f>
        <v>4</v>
      </c>
      <c r="DN33" s="10" t="s">
        <v>688</v>
      </c>
      <c r="DO33" s="10" t="str">
        <f t="shared" ca="1" si="33"/>
        <v>Irán</v>
      </c>
    </row>
    <row r="34" spans="1:119" ht="15" thickBot="1">
      <c r="A34" s="643"/>
      <c r="B34" s="643"/>
      <c r="C34" s="643"/>
      <c r="D34" s="10"/>
      <c r="E34" s="10"/>
      <c r="F34" s="10"/>
      <c r="G34" s="10"/>
      <c r="H34" s="10"/>
      <c r="I34" s="10"/>
      <c r="J34" s="10"/>
      <c r="K34" s="10"/>
      <c r="L34" s="10"/>
      <c r="M34" s="10"/>
      <c r="N34" s="10"/>
      <c r="O34" s="10"/>
      <c r="P34" s="10"/>
      <c r="Q34" s="10"/>
      <c r="R34" s="10"/>
      <c r="S34" s="10"/>
      <c r="T34" s="10"/>
      <c r="U34" s="10"/>
      <c r="V34" s="20"/>
      <c r="W34" s="162"/>
      <c r="X34" s="163"/>
      <c r="Y34" s="162"/>
      <c r="Z34" s="164"/>
      <c r="AA34" s="165"/>
      <c r="AB34" s="166"/>
      <c r="AC34" s="159"/>
      <c r="AD34" s="159"/>
      <c r="AE34" s="166"/>
      <c r="AF34" s="167"/>
      <c r="AG34" s="337"/>
      <c r="AH34" s="204"/>
      <c r="AI34" s="189"/>
      <c r="AJ34" s="168"/>
      <c r="AK34" s="169"/>
      <c r="AL34" s="170"/>
      <c r="AM34" s="171"/>
      <c r="AN34" s="168"/>
      <c r="AO34" s="168"/>
      <c r="AP34" s="168"/>
      <c r="AQ34" s="168"/>
      <c r="AR34" s="168"/>
      <c r="AS34" s="168"/>
      <c r="AT34" s="168"/>
      <c r="AU34" s="342"/>
      <c r="AV34" s="198"/>
      <c r="AW34" s="220"/>
      <c r="AX34" s="179"/>
      <c r="AY34" s="162"/>
      <c r="AZ34" s="163"/>
      <c r="BA34" s="155"/>
      <c r="BC34" s="630" t="str">
        <f ca="1">+INDEX(T_Equipos[Grupo],MATCH(WORLDCUP!BD34,T_Equipos[NombreEquipo],0))</f>
        <v>H</v>
      </c>
      <c r="BD34" s="10" t="str">
        <f ca="1">+Equipos!B30</f>
        <v>España</v>
      </c>
      <c r="BE34" s="424">
        <f t="shared" ca="1" si="16"/>
        <v>9</v>
      </c>
      <c r="BF34" s="424">
        <f t="shared" ca="1" si="25"/>
        <v>3</v>
      </c>
      <c r="BG34" s="424">
        <f t="shared" ca="1" si="17"/>
        <v>3</v>
      </c>
      <c r="BH34" s="424">
        <f t="shared" ca="1" si="18"/>
        <v>0</v>
      </c>
      <c r="BI34" s="424">
        <f t="shared" ca="1" si="19"/>
        <v>0</v>
      </c>
      <c r="BJ34" s="424">
        <f t="shared" ca="1" si="20"/>
        <v>6</v>
      </c>
      <c r="BK34" s="424">
        <f t="shared" ca="1" si="21"/>
        <v>0</v>
      </c>
      <c r="BL34" s="424">
        <f t="shared" ca="1" si="26"/>
        <v>6</v>
      </c>
      <c r="BM34" s="424" t="str">
        <f t="shared" ca="1" si="22"/>
        <v>1H</v>
      </c>
      <c r="BN34" s="424" t="str">
        <f t="shared" ca="1" si="23"/>
        <v>1H</v>
      </c>
      <c r="BO34" s="630"/>
      <c r="BP34" s="632">
        <f t="shared" ca="1" si="27"/>
        <v>9</v>
      </c>
      <c r="BQ34" s="631">
        <f ca="1">COUNTIFS($BE$6:$BE$53,"&gt;"&amp;BE34,$BC$6:$BC$53,INDEX(T_Equipos[Grupo],MATCH(BD34,T_Equipos[NombreEquipo],0)))+1</f>
        <v>1</v>
      </c>
      <c r="BR34" s="631" t="str">
        <f ca="1">IF(COUNTIFS($BQ$6:$BQ$53,BQ34,$BC$6:$BC$53,INDEX(T_Equipos[Grupo],MATCH(BD34,T_Equipos[NombreEquipo],0)))=1,"-","P."&amp;BQ34&amp;" ("&amp;COUNTIFS($BQ$6:$BQ$53,BQ34,$BC$6:$BC$53,INDEX(T_Equipos[Grupo],MATCH(BD34,T_Equipos[NombreEquipo],0)))&amp;")")</f>
        <v>-</v>
      </c>
      <c r="BS34" s="632" t="str">
        <f t="shared" ca="1" si="34"/>
        <v>-</v>
      </c>
      <c r="BT34" s="632" t="str">
        <f t="shared" ca="1" si="35"/>
        <v>-</v>
      </c>
      <c r="BU34" s="632" t="str">
        <f t="shared" ca="1" si="36"/>
        <v>-</v>
      </c>
      <c r="BV34" s="632" t="str">
        <f t="shared" ca="1" si="37"/>
        <v>-</v>
      </c>
      <c r="BW34" s="632">
        <f ca="1">BQ34+COUNTIFS($BR$6:$BR$53,BR34,$BV$6:BV$53,"&gt;"&amp;BV34,$BC$6:$BC$53,INDEX(T_Equipos[Grupo],MATCH(BD34,T_Equipos[NombreEquipo],0)))</f>
        <v>1</v>
      </c>
      <c r="BX34" s="631" t="str">
        <f ca="1">IF(COUNTIFS($BW$6:$BW$53,BW34,$BC$6:$BC$53,INDEX(T_Equipos[Grupo],MATCH(BD34,T_Equipos[NombreEquipo],0)))=1,"-","P."&amp;BW34&amp;" ("&amp;COUNTIFS($BW$6:$BW$53,BW34,$BC$6:$BC$53,INDEX(T_Equipos[Grupo],MATCH(BD34,T_Equipos[NombreEquipo],0)))&amp;")")</f>
        <v>-</v>
      </c>
      <c r="BY34" s="632" t="str">
        <f t="shared" ca="1" si="38"/>
        <v>-</v>
      </c>
      <c r="BZ34" s="632" t="str">
        <f t="shared" ca="1" si="39"/>
        <v>-</v>
      </c>
      <c r="CA34" s="632" t="str">
        <f t="shared" ca="1" si="40"/>
        <v>-</v>
      </c>
      <c r="CB34" s="632">
        <f ca="1">BW34+COUNTIFS($BX$6:$BX$53,BX34,$CA$6:CA$53,"&gt;"&amp;CA34,$BC$6:$BC$53,INDEX(T_Equipos[Grupo],MATCH(BD34,T_Equipos[NombreEquipo],0)))</f>
        <v>1</v>
      </c>
      <c r="CC34" s="631" t="str">
        <f ca="1">IF(COUNTIFS($CB$6:$CB$53,CB34,$BC$6:$BC$53,INDEX(T_Equipos[Grupo],MATCH(BD34,T_Equipos[NombreEquipo],0)))=1,"-","P."&amp;CB34&amp;" ("&amp;COUNTIFS($CB$6:$CB$53,CB34,$BC$6:$BC$53,INDEX(T_Equipos[Grupo],MATCH(BD34,T_Equipos[NombreEquipo],0)))&amp;")")</f>
        <v>-</v>
      </c>
      <c r="CD34" s="632" t="str">
        <f t="shared" ca="1" si="41"/>
        <v>-</v>
      </c>
      <c r="CE34" s="632">
        <f ca="1">CB34+COUNTIFS($CC$6:$CC$53,CC34,$CD$6:CD$53,"&gt;"&amp;CD34,$BC$6:$BC$53,INDEX(T_Equipos[Grupo],MATCH(BD34,T_Equipos[NombreEquipo],0)))</f>
        <v>1</v>
      </c>
      <c r="CF34" s="631" t="str">
        <f ca="1">IF(COUNTIFS($CE$6:$CE$53,CE34,$BC$6:$BC$53,INDEX(T_Equipos[Grupo],MATCH(BD34,T_Equipos[NombreEquipo],0)))=1,"-","P."&amp;CE34&amp;" ("&amp;COUNTIFS($CE$6:$CE$53,CE34,$BC$6:$BC$53,INDEX(T_Equipos[Grupo],MATCH(BD34,T_Equipos[NombreEquipo],0)))&amp;")")</f>
        <v>-</v>
      </c>
      <c r="CG34" s="632" t="str">
        <f t="shared" ca="1" si="42"/>
        <v>-</v>
      </c>
      <c r="CH34" s="632" t="str">
        <f t="shared" ca="1" si="43"/>
        <v>-</v>
      </c>
      <c r="CI34" s="632" t="str">
        <f t="shared" ca="1" si="44"/>
        <v>-</v>
      </c>
      <c r="CJ34" s="632" t="str">
        <f t="shared" ca="1" si="45"/>
        <v>-</v>
      </c>
      <c r="CK34" s="632">
        <f ca="1">CE34+COUNTIFS($CF$6:$CF$53,CF34,$CJ$6:CJ$53,"&gt;"&amp;CJ34,$BC$6:$BC$53,INDEX(T_Equipos[Grupo],MATCH(BD34,T_Equipos[NombreEquipo],0)))</f>
        <v>1</v>
      </c>
      <c r="CL34" s="631" t="str">
        <f ca="1">IF(COUNTIFS($CK$6:$CK$53,CK34,$BC$6:$BC$53,INDEX(T_Equipos[Grupo],MATCH(BD34,T_Equipos[NombreEquipo],0)))=1,"-","P."&amp;CK34&amp;" ("&amp;COUNTIFS($CK$6:$CK$53,CK34,$BC$6:$BC$53,INDEX(T_Equipos[Grupo],MATCH(BD34,T_Equipos[NombreEquipo],0)))&amp;")")</f>
        <v>-</v>
      </c>
      <c r="CM34" s="632" t="str">
        <f t="shared" ca="1" si="46"/>
        <v>-</v>
      </c>
      <c r="CN34" s="632" t="str">
        <f t="shared" ca="1" si="47"/>
        <v>-</v>
      </c>
      <c r="CO34" s="632" t="str">
        <f t="shared" ca="1" si="48"/>
        <v>-</v>
      </c>
      <c r="CP34" s="632">
        <f ca="1">CK34+COUNTIFS($CL$6:$CL$53,CL34,$CO$6:CO$53,"&gt;"&amp;CO34,$BC$6:$BC$53,INDEX(T_Equipos[Grupo],MATCH(BD34,T_Equipos[NombreEquipo],0)))</f>
        <v>1</v>
      </c>
      <c r="CQ34" s="631" t="str">
        <f ca="1">IF(COUNTIFS($CP$6:$CP$53,CP34,$BC$6:$BC$53,INDEX(T_Equipos[Grupo],MATCH(BD34,T_Equipos[NombreEquipo],0)))=1,"-","P."&amp;CP34&amp;" ("&amp;COUNTIFS($CP$6:$CP$53,CP34,$BC$6:$BC$53,INDEX(T_Equipos[Grupo],MATCH(BD34,T_Equipos[NombreEquipo],0)))&amp;")")</f>
        <v>-</v>
      </c>
      <c r="CR34" s="632" t="str">
        <f t="shared" ca="1" si="49"/>
        <v>-</v>
      </c>
      <c r="CS34" s="632">
        <f ca="1">CP34+COUNTIFS($CQ$6:$CQ$53,CQ34,$CR$6:CR$53,"&gt;"&amp;CR34,$BC$6:$BC$53,INDEX(T_Equipos[Grupo],MATCH(BD34,T_Equipos[NombreEquipo],0)))</f>
        <v>1</v>
      </c>
      <c r="CT34" s="631" t="str">
        <f ca="1">IF(COUNTIFS($CS$6:$CS$53,CS34,$BC$6:$BC$53,INDEX(T_Equipos[Grupo],MATCH(BD34,T_Equipos[NombreEquipo],0)))=1,"-","P."&amp;CS34&amp;" ("&amp;COUNTIFS($CS$6:$CS$53,CS34,$BC$6:$BC$53,INDEX(T_Equipos[Grupo],MATCH(BD34,T_Equipos[NombreEquipo],0)))&amp;")")</f>
        <v>-</v>
      </c>
      <c r="CU34" s="631" t="str">
        <f t="shared" ca="1" si="28"/>
        <v>-</v>
      </c>
      <c r="CV34" s="631">
        <f ca="1">CS34+COUNTIFS($CT$6:$CT$53,CT34,$CU$6:CU$53,"&gt;"&amp;CU34,$BC$6:$BC$53,INDEX(T_Equipos[Grupo],MATCH(BD34,T_Equipos[NombreEquipo],0)))</f>
        <v>1</v>
      </c>
      <c r="CW34" s="631" t="str">
        <f ca="1">IF(COUNTIFS($CV$6:$CV$53,CV34,$BC$6:$BC$53,INDEX(T_Equipos[Grupo],MATCH(BD34,T_Equipos[NombreEquipo],0)))=1,"-","P."&amp;CV34&amp;" ("&amp;COUNTIFS($CV$6:$CV$53,CV34,$BC$6:$BC$53,INDEX(T_Equipos[Grupo],MATCH(BD34,T_Equipos[NombreEquipo],0)))&amp;")")</f>
        <v>-</v>
      </c>
      <c r="CX34" s="631" t="str">
        <f t="shared" ca="1" si="29"/>
        <v>-</v>
      </c>
      <c r="CY34" s="632">
        <f ca="1">CV34+COUNTIFS($CW$6:$CW$53,CW34,$CX$6:CX$53,"&gt;"&amp;CX34,$BC$6:$BC$53,INDEX(T_Equipos[Grupo],MATCH(BD34,T_Equipos[NombreEquipo],0)))</f>
        <v>1</v>
      </c>
      <c r="CZ34" s="631" t="str">
        <f ca="1">IF(COUNTIFS($CY$6:$CY$53,CY34,$BC$6:$BC$53,INDEX(T_Equipos[Grupo],MATCH(BD34,T_Equipos[NombreEquipo],0)))=1,"-","P."&amp;CY34&amp;" ("&amp;COUNTIFS($CY$6:$CY$53,CY34,$BC$6:$BC$53,INDEX(T_Equipos[Grupo],MATCH(BD34,T_Equipos[NombreEquipo],0)))&amp;")")</f>
        <v>-</v>
      </c>
      <c r="DA34" s="633" t="str">
        <f ca="1">IF(CZ34="-","-",COUNTIFS(T_Equipos[Rank],"&lt;"&amp;INDEX(T_Equipos[Rank],MATCH(BD34,T_Equipos[NombreEquipo],0)),$BC$6:$BC$53,INDEX(T_Equipos[Grupo],MATCH(BD34,T_Equipos[NombreEquipo],0)))+1)</f>
        <v>-</v>
      </c>
      <c r="DB34" s="630">
        <f ca="1">CY34+COUNTIFS($CZ$6:$CZ$53,CZ34,$DA$6:DA$53,"&lt;"&amp;DA34,$BC$6:$BC$53,INDEX(T_Equipos[Grupo],MATCH(BD34,T_Equipos[NombreEquipo],0)))</f>
        <v>1</v>
      </c>
      <c r="DC34" s="630"/>
      <c r="DD34" s="630">
        <f t="shared" ca="1" si="50"/>
        <v>1</v>
      </c>
      <c r="DE34" s="630" t="str">
        <f ca="1">IF(CZ34="-","-",COUNTIFS(DD$6:DD$53,"&lt;"&amp;DD34,$BC$6:$BC$53,INDEX(T_Equipos[Grupo],MATCH(BD34,T_Equipos[NombreEquipo],0))))</f>
        <v>-</v>
      </c>
      <c r="DF34" s="630">
        <f ca="1">CY34+COUNTIFS(CZ$6:CZ$53,CZ34,DE$6:DE$53,"&lt;"&amp;DE34,$BC$6:$BC$53,INDEX(T_Equipos[Grupo],MATCH(BD34,T_Equipos[NombreEquipo],0)))</f>
        <v>1</v>
      </c>
      <c r="DH34" s="10">
        <f t="shared" ca="1" si="51"/>
        <v>1</v>
      </c>
      <c r="DI34" s="10">
        <f t="shared" ca="1" si="24"/>
        <v>12</v>
      </c>
      <c r="DJ34" s="10">
        <f t="shared" ca="1" si="31"/>
        <v>1</v>
      </c>
      <c r="DK34" s="19" t="str">
        <f t="shared" ca="1" si="32"/>
        <v>1.1</v>
      </c>
      <c r="DL34" s="10" cm="1">
        <f t="array" aca="1" ref="DL34" ca="1">OFFSET(Horarios!$P$3,DH34-1,0,DJ34,1)</f>
        <v>1</v>
      </c>
      <c r="DN34" s="10" t="s">
        <v>689</v>
      </c>
      <c r="DO34" s="10" t="str">
        <f t="shared" ca="1" si="33"/>
        <v>España</v>
      </c>
    </row>
    <row r="35" spans="1:119" ht="15" thickBot="1">
      <c r="A35" s="643"/>
      <c r="B35" s="11"/>
      <c r="C35" s="643"/>
      <c r="D35" s="643"/>
      <c r="E35" s="643"/>
      <c r="F35" s="643"/>
      <c r="G35" s="643"/>
      <c r="H35" s="643"/>
      <c r="I35" s="643"/>
      <c r="J35" s="643"/>
      <c r="K35" s="643"/>
      <c r="L35" s="643"/>
      <c r="M35" s="643"/>
      <c r="N35" s="10"/>
      <c r="O35" s="10"/>
      <c r="P35" s="10"/>
      <c r="Q35" s="10"/>
      <c r="R35" s="10"/>
      <c r="S35" s="10"/>
      <c r="T35" s="10"/>
      <c r="U35" s="10"/>
      <c r="V35" s="20"/>
      <c r="W35" s="9"/>
      <c r="X35" s="77" t="str">
        <f>X19</f>
        <v>Fecha</v>
      </c>
      <c r="Y35" s="77" t="str">
        <f>Y19</f>
        <v>Hora</v>
      </c>
      <c r="Z35" s="63" t="str">
        <f t="shared" ref="Z35:AA35" si="108">Z19</f>
        <v>Jor.</v>
      </c>
      <c r="AA35" s="65" t="str">
        <f t="shared" si="108"/>
        <v>Casa</v>
      </c>
      <c r="AB35" s="64"/>
      <c r="AC35" s="63" t="str">
        <f>AC3</f>
        <v>Gol</v>
      </c>
      <c r="AD35" s="63" t="str">
        <f>AD3</f>
        <v>Gol</v>
      </c>
      <c r="AE35" s="64"/>
      <c r="AF35" s="66" t="str">
        <f t="shared" ref="AF35" si="109">AF19</f>
        <v>Fuera</v>
      </c>
      <c r="AG35" s="336"/>
      <c r="AH35" s="204"/>
      <c r="AI35" s="188"/>
      <c r="AJ35" s="170"/>
      <c r="AK35" s="172"/>
      <c r="AL35" s="170"/>
      <c r="AM35" s="170"/>
      <c r="AN35" s="170"/>
      <c r="AO35" s="170"/>
      <c r="AP35" s="170"/>
      <c r="AQ35" s="170"/>
      <c r="AR35" s="170"/>
      <c r="AS35" s="170"/>
      <c r="AT35" s="170"/>
      <c r="AU35" s="343"/>
      <c r="AV35" s="197"/>
      <c r="AW35" s="221"/>
      <c r="AX35" s="180"/>
      <c r="AY35" s="162"/>
      <c r="AZ35" s="163"/>
      <c r="BA35" s="155"/>
      <c r="BC35" s="630" t="str">
        <f ca="1">+INDEX(T_Equipos[Grupo],MATCH(WORLDCUP!BD35,T_Equipos[NombreEquipo],0))</f>
        <v>H</v>
      </c>
      <c r="BD35" s="10" t="str">
        <f ca="1">+Equipos!B31</f>
        <v>Cabo Verde</v>
      </c>
      <c r="BE35" s="424">
        <f t="shared" ca="1" si="16"/>
        <v>1</v>
      </c>
      <c r="BF35" s="424">
        <f t="shared" ca="1" si="25"/>
        <v>3</v>
      </c>
      <c r="BG35" s="424">
        <f t="shared" ca="1" si="17"/>
        <v>0</v>
      </c>
      <c r="BH35" s="424">
        <f t="shared" ca="1" si="18"/>
        <v>1</v>
      </c>
      <c r="BI35" s="424">
        <f t="shared" ca="1" si="19"/>
        <v>2</v>
      </c>
      <c r="BJ35" s="424">
        <f t="shared" ca="1" si="20"/>
        <v>0</v>
      </c>
      <c r="BK35" s="424">
        <f t="shared" ca="1" si="21"/>
        <v>4</v>
      </c>
      <c r="BL35" s="424">
        <f t="shared" ca="1" si="26"/>
        <v>-4</v>
      </c>
      <c r="BM35" s="424" t="str">
        <f t="shared" ca="1" si="22"/>
        <v>4H</v>
      </c>
      <c r="BN35" s="424" t="str">
        <f t="shared" ca="1" si="23"/>
        <v>4H</v>
      </c>
      <c r="BO35" s="630"/>
      <c r="BP35" s="632">
        <f t="shared" ca="1" si="27"/>
        <v>1</v>
      </c>
      <c r="BQ35" s="631">
        <f ca="1">COUNTIFS($BE$6:$BE$53,"&gt;"&amp;BE35,$BC$6:$BC$53,INDEX(T_Equipos[Grupo],MATCH(BD35,T_Equipos[NombreEquipo],0)))+1</f>
        <v>4</v>
      </c>
      <c r="BR35" s="631" t="str">
        <f ca="1">IF(COUNTIFS($BQ$6:$BQ$53,BQ35,$BC$6:$BC$53,INDEX(T_Equipos[Grupo],MATCH(BD35,T_Equipos[NombreEquipo],0)))=1,"-","P."&amp;BQ35&amp;" ("&amp;COUNTIFS($BQ$6:$BQ$53,BQ35,$BC$6:$BC$53,INDEX(T_Equipos[Grupo],MATCH(BD35,T_Equipos[NombreEquipo],0)))&amp;")")</f>
        <v>-</v>
      </c>
      <c r="BS35" s="632" t="str">
        <f t="shared" ca="1" si="34"/>
        <v>-</v>
      </c>
      <c r="BT35" s="632" t="str">
        <f t="shared" ca="1" si="35"/>
        <v>-</v>
      </c>
      <c r="BU35" s="632" t="str">
        <f t="shared" ca="1" si="36"/>
        <v>-</v>
      </c>
      <c r="BV35" s="632" t="str">
        <f t="shared" ca="1" si="37"/>
        <v>-</v>
      </c>
      <c r="BW35" s="632">
        <f ca="1">BQ35+COUNTIFS($BR$6:$BR$53,BR35,$BV$6:BV$53,"&gt;"&amp;BV35,$BC$6:$BC$53,INDEX(T_Equipos[Grupo],MATCH(BD35,T_Equipos[NombreEquipo],0)))</f>
        <v>4</v>
      </c>
      <c r="BX35" s="631" t="str">
        <f ca="1">IF(COUNTIFS($BW$6:$BW$53,BW35,$BC$6:$BC$53,INDEX(T_Equipos[Grupo],MATCH(BD35,T_Equipos[NombreEquipo],0)))=1,"-","P."&amp;BW35&amp;" ("&amp;COUNTIFS($BW$6:$BW$53,BW35,$BC$6:$BC$53,INDEX(T_Equipos[Grupo],MATCH(BD35,T_Equipos[NombreEquipo],0)))&amp;")")</f>
        <v>-</v>
      </c>
      <c r="BY35" s="632" t="str">
        <f t="shared" ca="1" si="38"/>
        <v>-</v>
      </c>
      <c r="BZ35" s="632" t="str">
        <f t="shared" ca="1" si="39"/>
        <v>-</v>
      </c>
      <c r="CA35" s="632" t="str">
        <f t="shared" ca="1" si="40"/>
        <v>-</v>
      </c>
      <c r="CB35" s="632">
        <f ca="1">BW35+COUNTIFS($BX$6:$BX$53,BX35,$CA$6:CA$53,"&gt;"&amp;CA35,$BC$6:$BC$53,INDEX(T_Equipos[Grupo],MATCH(BD35,T_Equipos[NombreEquipo],0)))</f>
        <v>4</v>
      </c>
      <c r="CC35" s="631" t="str">
        <f ca="1">IF(COUNTIFS($CB$6:$CB$53,CB35,$BC$6:$BC$53,INDEX(T_Equipos[Grupo],MATCH(BD35,T_Equipos[NombreEquipo],0)))=1,"-","P."&amp;CB35&amp;" ("&amp;COUNTIFS($CB$6:$CB$53,CB35,$BC$6:$BC$53,INDEX(T_Equipos[Grupo],MATCH(BD35,T_Equipos[NombreEquipo],0)))&amp;")")</f>
        <v>-</v>
      </c>
      <c r="CD35" s="632" t="str">
        <f t="shared" ca="1" si="41"/>
        <v>-</v>
      </c>
      <c r="CE35" s="632">
        <f ca="1">CB35+COUNTIFS($CC$6:$CC$53,CC35,$CD$6:CD$53,"&gt;"&amp;CD35,$BC$6:$BC$53,INDEX(T_Equipos[Grupo],MATCH(BD35,T_Equipos[NombreEquipo],0)))</f>
        <v>4</v>
      </c>
      <c r="CF35" s="631" t="str">
        <f ca="1">IF(COUNTIFS($CE$6:$CE$53,CE35,$BC$6:$BC$53,INDEX(T_Equipos[Grupo],MATCH(BD35,T_Equipos[NombreEquipo],0)))=1,"-","P."&amp;CE35&amp;" ("&amp;COUNTIFS($CE$6:$CE$53,CE35,$BC$6:$BC$53,INDEX(T_Equipos[Grupo],MATCH(BD35,T_Equipos[NombreEquipo],0)))&amp;")")</f>
        <v>-</v>
      </c>
      <c r="CG35" s="632" t="str">
        <f t="shared" ca="1" si="42"/>
        <v>-</v>
      </c>
      <c r="CH35" s="632" t="str">
        <f t="shared" ca="1" si="43"/>
        <v>-</v>
      </c>
      <c r="CI35" s="632" t="str">
        <f t="shared" ca="1" si="44"/>
        <v>-</v>
      </c>
      <c r="CJ35" s="632" t="str">
        <f t="shared" ca="1" si="45"/>
        <v>-</v>
      </c>
      <c r="CK35" s="632">
        <f ca="1">CE35+COUNTIFS($CF$6:$CF$53,CF35,$CJ$6:CJ$53,"&gt;"&amp;CJ35,$BC$6:$BC$53,INDEX(T_Equipos[Grupo],MATCH(BD35,T_Equipos[NombreEquipo],0)))</f>
        <v>4</v>
      </c>
      <c r="CL35" s="631" t="str">
        <f ca="1">IF(COUNTIFS($CK$6:$CK$53,CK35,$BC$6:$BC$53,INDEX(T_Equipos[Grupo],MATCH(BD35,T_Equipos[NombreEquipo],0)))=1,"-","P."&amp;CK35&amp;" ("&amp;COUNTIFS($CK$6:$CK$53,CK35,$BC$6:$BC$53,INDEX(T_Equipos[Grupo],MATCH(BD35,T_Equipos[NombreEquipo],0)))&amp;")")</f>
        <v>-</v>
      </c>
      <c r="CM35" s="632" t="str">
        <f t="shared" ca="1" si="46"/>
        <v>-</v>
      </c>
      <c r="CN35" s="632" t="str">
        <f t="shared" ca="1" si="47"/>
        <v>-</v>
      </c>
      <c r="CO35" s="632" t="str">
        <f t="shared" ca="1" si="48"/>
        <v>-</v>
      </c>
      <c r="CP35" s="632">
        <f ca="1">CK35+COUNTIFS($CL$6:$CL$53,CL35,$CO$6:CO$53,"&gt;"&amp;CO35,$BC$6:$BC$53,INDEX(T_Equipos[Grupo],MATCH(BD35,T_Equipos[NombreEquipo],0)))</f>
        <v>4</v>
      </c>
      <c r="CQ35" s="631" t="str">
        <f ca="1">IF(COUNTIFS($CP$6:$CP$53,CP35,$BC$6:$BC$53,INDEX(T_Equipos[Grupo],MATCH(BD35,T_Equipos[NombreEquipo],0)))=1,"-","P."&amp;CP35&amp;" ("&amp;COUNTIFS($CP$6:$CP$53,CP35,$BC$6:$BC$53,INDEX(T_Equipos[Grupo],MATCH(BD35,T_Equipos[NombreEquipo],0)))&amp;")")</f>
        <v>-</v>
      </c>
      <c r="CR35" s="632" t="str">
        <f t="shared" ca="1" si="49"/>
        <v>-</v>
      </c>
      <c r="CS35" s="632">
        <f ca="1">CP35+COUNTIFS($CQ$6:$CQ$53,CQ35,$CR$6:CR$53,"&gt;"&amp;CR35,$BC$6:$BC$53,INDEX(T_Equipos[Grupo],MATCH(BD35,T_Equipos[NombreEquipo],0)))</f>
        <v>4</v>
      </c>
      <c r="CT35" s="631" t="str">
        <f ca="1">IF(COUNTIFS($CS$6:$CS$53,CS35,$BC$6:$BC$53,INDEX(T_Equipos[Grupo],MATCH(BD35,T_Equipos[NombreEquipo],0)))=1,"-","P."&amp;CS35&amp;" ("&amp;COUNTIFS($CS$6:$CS$53,CS35,$BC$6:$BC$53,INDEX(T_Equipos[Grupo],MATCH(BD35,T_Equipos[NombreEquipo],0)))&amp;")")</f>
        <v>-</v>
      </c>
      <c r="CU35" s="631" t="str">
        <f t="shared" ca="1" si="28"/>
        <v>-</v>
      </c>
      <c r="CV35" s="631">
        <f ca="1">CS35+COUNTIFS($CT$6:$CT$53,CT35,$CU$6:CU$53,"&gt;"&amp;CU35,$BC$6:$BC$53,INDEX(T_Equipos[Grupo],MATCH(BD35,T_Equipos[NombreEquipo],0)))</f>
        <v>4</v>
      </c>
      <c r="CW35" s="631" t="str">
        <f ca="1">IF(COUNTIFS($CV$6:$CV$53,CV35,$BC$6:$BC$53,INDEX(T_Equipos[Grupo],MATCH(BD35,T_Equipos[NombreEquipo],0)))=1,"-","P."&amp;CV35&amp;" ("&amp;COUNTIFS($CV$6:$CV$53,CV35,$BC$6:$BC$53,INDEX(T_Equipos[Grupo],MATCH(BD35,T_Equipos[NombreEquipo],0)))&amp;")")</f>
        <v>-</v>
      </c>
      <c r="CX35" s="631" t="str">
        <f t="shared" ca="1" si="29"/>
        <v>-</v>
      </c>
      <c r="CY35" s="632">
        <f ca="1">CV35+COUNTIFS($CW$6:$CW$53,CW35,$CX$6:CX$53,"&gt;"&amp;CX35,$BC$6:$BC$53,INDEX(T_Equipos[Grupo],MATCH(BD35,T_Equipos[NombreEquipo],0)))</f>
        <v>4</v>
      </c>
      <c r="CZ35" s="631" t="str">
        <f ca="1">IF(COUNTIFS($CY$6:$CY$53,CY35,$BC$6:$BC$53,INDEX(T_Equipos[Grupo],MATCH(BD35,T_Equipos[NombreEquipo],0)))=1,"-","P."&amp;CY35&amp;" ("&amp;COUNTIFS($CY$6:$CY$53,CY35,$BC$6:$BC$53,INDEX(T_Equipos[Grupo],MATCH(BD35,T_Equipos[NombreEquipo],0)))&amp;")")</f>
        <v>-</v>
      </c>
      <c r="DA35" s="633" t="str">
        <f ca="1">IF(CZ35="-","-",COUNTIFS(T_Equipos[Rank],"&lt;"&amp;INDEX(T_Equipos[Rank],MATCH(BD35,T_Equipos[NombreEquipo],0)),$BC$6:$BC$53,INDEX(T_Equipos[Grupo],MATCH(BD35,T_Equipos[NombreEquipo],0)))+1)</f>
        <v>-</v>
      </c>
      <c r="DB35" s="630">
        <f ca="1">CY35+COUNTIFS($CZ$6:$CZ$53,CZ35,$DA$6:DA$53,"&lt;"&amp;DA35,$BC$6:$BC$53,INDEX(T_Equipos[Grupo],MATCH(BD35,T_Equipos[NombreEquipo],0)))</f>
        <v>4</v>
      </c>
      <c r="DC35" s="630"/>
      <c r="DD35" s="630">
        <f t="shared" ca="1" si="50"/>
        <v>4</v>
      </c>
      <c r="DE35" s="630" t="str">
        <f ca="1">IF(CZ35="-","-",COUNTIFS(DD$6:DD$53,"&lt;"&amp;DD35,$BC$6:$BC$53,INDEX(T_Equipos[Grupo],MATCH(BD35,T_Equipos[NombreEquipo],0))))</f>
        <v>-</v>
      </c>
      <c r="DF35" s="630">
        <f ca="1">CY35+COUNTIFS(CZ$6:CZ$53,CZ35,DE$6:DE$53,"&lt;"&amp;DE35,$BC$6:$BC$53,INDEX(T_Equipos[Grupo],MATCH(BD35,T_Equipos[NombreEquipo],0)))</f>
        <v>4</v>
      </c>
      <c r="DH35" s="10">
        <f t="shared" ca="1" si="51"/>
        <v>2</v>
      </c>
      <c r="DI35" s="10">
        <f t="shared" ca="1" si="24"/>
        <v>12</v>
      </c>
      <c r="DJ35" s="10">
        <f t="shared" ca="1" si="31"/>
        <v>1</v>
      </c>
      <c r="DK35" s="19" t="str">
        <f t="shared" ca="1" si="32"/>
        <v>2.1</v>
      </c>
      <c r="DL35" s="10" cm="1">
        <f t="array" aca="1" ref="DL35" ca="1">OFFSET(Horarios!$P$3,DH35-1,0,DJ35,1)</f>
        <v>2</v>
      </c>
      <c r="DN35" s="10" t="s">
        <v>690</v>
      </c>
      <c r="DO35" s="10" t="str">
        <f t="shared" ca="1" si="33"/>
        <v>Uruguay</v>
      </c>
    </row>
    <row r="36" spans="1:119" ht="15" customHeight="1" thickBot="1">
      <c r="A36" s="645" t="s">
        <v>32</v>
      </c>
      <c r="B36" s="11" t="s">
        <v>3</v>
      </c>
      <c r="C36" s="441">
        <f>COUNTIF(Equipos!$C$2:$C$49,WORLDCUP!B36)</f>
        <v>4</v>
      </c>
      <c r="D36" s="10" t="str">
        <f t="shared" ref="D36:D41" si="110">IF(OR(AC36="",AD36=""),"Pendiente",IF(AC36&gt;AD36,"Local",IF(AC36&lt;AD36,"Visitante","Empate")))</f>
        <v>Local</v>
      </c>
      <c r="E36" s="10" t="str">
        <f t="shared" ref="E36:E41" ca="1" si="111">IF(D36="Pendiente","-",INDEX($BR$6:$BR$53,MATCH($AA36,$BD$6:$BD$53,0)))</f>
        <v>-</v>
      </c>
      <c r="F36" s="10" t="str">
        <f t="shared" ref="F36:F41" ca="1" si="112">IF(D36="Pendiente","-",INDEX($BR$6:$BR$53,MATCH($AF36,$BD$6:$BD$53,0)))</f>
        <v>P.3 (2)</v>
      </c>
      <c r="G36" s="10"/>
      <c r="H36" s="10" t="str">
        <f t="shared" ref="H36:H41" ca="1" si="113">IF(D36="Pendiente","-",INDEX($BX$6:$BX$53,MATCH($AA36,$BD$6:$BD$53,0)))</f>
        <v>-</v>
      </c>
      <c r="I36" s="10" t="str">
        <f t="shared" ref="I36:I41" ca="1" si="114">IF(D36="Pendiente","-",INDEX($BX$6:$BX$53,MATCH($AF36,$BD$6:$BD$53,0)))</f>
        <v>P.3 (2)</v>
      </c>
      <c r="J36" s="10"/>
      <c r="K36" s="10" t="str">
        <f t="shared" ref="K36:K41" ca="1" si="115">IF(D36="Pendiente","-",INDEX($CC$6:$CC$53,MATCH($AA36,$BD$6:$BD$53,0)))</f>
        <v>-</v>
      </c>
      <c r="L36" s="10" t="str">
        <f t="shared" ref="L36:L41" ca="1" si="116">IF(D36="Pendiente","-",INDEX($CC$6:$CC$53,MATCH($AF36,$BD$6:$BD$53,0)))</f>
        <v>P.3 (2)</v>
      </c>
      <c r="M36" s="10"/>
      <c r="N36" s="10" t="str">
        <f t="shared" ref="N36:N41" ca="1" si="117">IF(D36="Pendiente","-",INDEX($CF$6:$CF$53,MATCH($AA36,$BD$6:$BD$53,0)))</f>
        <v>-</v>
      </c>
      <c r="O36" s="10" t="str">
        <f t="shared" ref="O36:O41" ca="1" si="118">IF(D36="Pendiente","-",INDEX($CF$6:$CF$53,MATCH($AF36,$BD$6:$BD$53,0)))</f>
        <v>P.3 (2)</v>
      </c>
      <c r="P36" s="10"/>
      <c r="Q36" s="10" t="str">
        <f t="shared" ref="Q36:Q41" ca="1" si="119">IF(D36="Pendiente","-",INDEX($CL$6:$CL$53,MATCH($AA36,$BD$6:$BD$53,0)))</f>
        <v>-</v>
      </c>
      <c r="R36" s="10" t="str">
        <f t="shared" ref="R36:R41" ca="1" si="120">IF(D36="Pendiente","-",INDEX($CL$6:$CL$53,MATCH($AF36,$BD$6:$BD$53,0)))</f>
        <v>P.3 (2)</v>
      </c>
      <c r="S36" s="10"/>
      <c r="T36" s="10" t="str">
        <f t="shared" ref="T36:T41" ca="1" si="121">IF(D36="Pendiente","-",INDEX($CQ$6:$CQ$53,MATCH($AA36,$BD$6:$BD$53,0)))</f>
        <v>-</v>
      </c>
      <c r="U36" s="10" t="str">
        <f t="shared" ref="U36:U41" ca="1" si="122">IF(D36="Pendiente","-",INDEX($CQ$6:$CQ$53,MATCH($AF36,$BD$6:$BD$53,0)))</f>
        <v>P.3 (2)</v>
      </c>
      <c r="V36" s="20"/>
      <c r="W36" s="696" t="s">
        <v>3</v>
      </c>
      <c r="X36" s="27">
        <f ca="1">Horarios!C36</f>
        <v>46187.791666666664</v>
      </c>
      <c r="Y36" s="28">
        <f ca="1">Horarios!C36</f>
        <v>46187.791666666664</v>
      </c>
      <c r="Z36" s="29" t="str">
        <f>$Z$4</f>
        <v>J1</v>
      </c>
      <c r="AA36" s="30" t="str">
        <f ca="1">A37</f>
        <v>Alemania</v>
      </c>
      <c r="AB36" s="55" t="str">
        <f ca="1">+INDEX(Equipos!$L$2:$L$49,MATCH(WORLDCUP!AA36,Equipos!$K$2:$K$49,0))</f>
        <v>🇩🇪</v>
      </c>
      <c r="AC36" s="56">
        <v>3</v>
      </c>
      <c r="AD36" s="57">
        <v>0</v>
      </c>
      <c r="AE36" s="58" t="str">
        <f ca="1">+INDEX(Equipos!$L$2:$L$49,MATCH(WORLDCUP!AF36,Equipos!$K$2:$K$49,0))</f>
        <v>🇨🇼</v>
      </c>
      <c r="AF36" s="35" t="str">
        <f ca="1">A38</f>
        <v>Curazao</v>
      </c>
      <c r="AG36" s="335">
        <f t="shared" ref="AG36:AG41" si="123">IF(NOT(OR(ISBLANK(AC36),ISBLANK(AD36))),1,0)</f>
        <v>1</v>
      </c>
      <c r="AH36" s="204">
        <v>9</v>
      </c>
      <c r="AI36" s="190"/>
      <c r="AJ36" s="67" t="str">
        <f>CONCATENATE(AJ3," ",B36)</f>
        <v>Grupo E</v>
      </c>
      <c r="AK36" s="68"/>
      <c r="AL36" s="68"/>
      <c r="AM36" s="68"/>
      <c r="AN36" s="68"/>
      <c r="AO36" s="68"/>
      <c r="AP36" s="68"/>
      <c r="AQ36" s="68"/>
      <c r="AR36" s="68"/>
      <c r="AS36" s="68"/>
      <c r="AT36" s="69"/>
      <c r="AU36" s="343"/>
      <c r="AV36" s="295" t="str">
        <f ca="1">IF(AU37&gt;0,$AV$3,"")</f>
        <v>¡EMPATE! Puedes seleccionar el orden de los empatados.</v>
      </c>
      <c r="AW36" s="175"/>
      <c r="AX36" s="175"/>
      <c r="AY36" s="162"/>
      <c r="AZ36" s="163"/>
      <c r="BA36" s="155"/>
      <c r="BC36" s="630" t="str">
        <f ca="1">+INDEX(T_Equipos[Grupo],MATCH(WORLDCUP!BD36,T_Equipos[NombreEquipo],0))</f>
        <v>H</v>
      </c>
      <c r="BD36" s="10" t="str">
        <f ca="1">+Equipos!B32</f>
        <v>Arabia Saudita</v>
      </c>
      <c r="BE36" s="424">
        <f t="shared" ca="1" si="16"/>
        <v>2</v>
      </c>
      <c r="BF36" s="424">
        <f t="shared" ca="1" si="25"/>
        <v>3</v>
      </c>
      <c r="BG36" s="424">
        <f t="shared" ca="1" si="17"/>
        <v>0</v>
      </c>
      <c r="BH36" s="424">
        <f t="shared" ca="1" si="18"/>
        <v>2</v>
      </c>
      <c r="BI36" s="424">
        <f t="shared" ca="1" si="19"/>
        <v>1</v>
      </c>
      <c r="BJ36" s="424">
        <f t="shared" ca="1" si="20"/>
        <v>0</v>
      </c>
      <c r="BK36" s="424">
        <f t="shared" ca="1" si="21"/>
        <v>1</v>
      </c>
      <c r="BL36" s="424">
        <f t="shared" ca="1" si="26"/>
        <v>-1</v>
      </c>
      <c r="BM36" s="424" t="str">
        <f t="shared" ca="1" si="22"/>
        <v>3H</v>
      </c>
      <c r="BN36" s="424" t="str">
        <f t="shared" ca="1" si="23"/>
        <v>3H</v>
      </c>
      <c r="BO36" s="630"/>
      <c r="BP36" s="632">
        <f t="shared" ca="1" si="27"/>
        <v>2</v>
      </c>
      <c r="BQ36" s="631">
        <f ca="1">COUNTIFS($BE$6:$BE$53,"&gt;"&amp;BE36,$BC$6:$BC$53,INDEX(T_Equipos[Grupo],MATCH(BD36,T_Equipos[NombreEquipo],0)))+1</f>
        <v>3</v>
      </c>
      <c r="BR36" s="631" t="str">
        <f ca="1">IF(COUNTIFS($BQ$6:$BQ$53,BQ36,$BC$6:$BC$53,INDEX(T_Equipos[Grupo],MATCH(BD36,T_Equipos[NombreEquipo],0)))=1,"-","P."&amp;BQ36&amp;" ("&amp;COUNTIFS($BQ$6:$BQ$53,BQ36,$BC$6:$BC$53,INDEX(T_Equipos[Grupo],MATCH(BD36,T_Equipos[NombreEquipo],0)))&amp;")")</f>
        <v>-</v>
      </c>
      <c r="BS36" s="632" t="str">
        <f t="shared" ca="1" si="34"/>
        <v>-</v>
      </c>
      <c r="BT36" s="632" t="str">
        <f t="shared" ca="1" si="35"/>
        <v>-</v>
      </c>
      <c r="BU36" s="632" t="str">
        <f t="shared" ca="1" si="36"/>
        <v>-</v>
      </c>
      <c r="BV36" s="632" t="str">
        <f t="shared" ca="1" si="37"/>
        <v>-</v>
      </c>
      <c r="BW36" s="632">
        <f ca="1">BQ36+COUNTIFS($BR$6:$BR$53,BR36,$BV$6:BV$53,"&gt;"&amp;BV36,$BC$6:$BC$53,INDEX(T_Equipos[Grupo],MATCH(BD36,T_Equipos[NombreEquipo],0)))</f>
        <v>3</v>
      </c>
      <c r="BX36" s="631" t="str">
        <f ca="1">IF(COUNTIFS($BW$6:$BW$53,BW36,$BC$6:$BC$53,INDEX(T_Equipos[Grupo],MATCH(BD36,T_Equipos[NombreEquipo],0)))=1,"-","P."&amp;BW36&amp;" ("&amp;COUNTIFS($BW$6:$BW$53,BW36,$BC$6:$BC$53,INDEX(T_Equipos[Grupo],MATCH(BD36,T_Equipos[NombreEquipo],0)))&amp;")")</f>
        <v>-</v>
      </c>
      <c r="BY36" s="632" t="str">
        <f t="shared" ca="1" si="38"/>
        <v>-</v>
      </c>
      <c r="BZ36" s="632" t="str">
        <f t="shared" ca="1" si="39"/>
        <v>-</v>
      </c>
      <c r="CA36" s="632" t="str">
        <f t="shared" ca="1" si="40"/>
        <v>-</v>
      </c>
      <c r="CB36" s="632">
        <f ca="1">BW36+COUNTIFS($BX$6:$BX$53,BX36,$CA$6:CA$53,"&gt;"&amp;CA36,$BC$6:$BC$53,INDEX(T_Equipos[Grupo],MATCH(BD36,T_Equipos[NombreEquipo],0)))</f>
        <v>3</v>
      </c>
      <c r="CC36" s="631" t="str">
        <f ca="1">IF(COUNTIFS($CB$6:$CB$53,CB36,$BC$6:$BC$53,INDEX(T_Equipos[Grupo],MATCH(BD36,T_Equipos[NombreEquipo],0)))=1,"-","P."&amp;CB36&amp;" ("&amp;COUNTIFS($CB$6:$CB$53,CB36,$BC$6:$BC$53,INDEX(T_Equipos[Grupo],MATCH(BD36,T_Equipos[NombreEquipo],0)))&amp;")")</f>
        <v>-</v>
      </c>
      <c r="CD36" s="632" t="str">
        <f t="shared" ca="1" si="41"/>
        <v>-</v>
      </c>
      <c r="CE36" s="632">
        <f ca="1">CB36+COUNTIFS($CC$6:$CC$53,CC36,$CD$6:CD$53,"&gt;"&amp;CD36,$BC$6:$BC$53,INDEX(T_Equipos[Grupo],MATCH(BD36,T_Equipos[NombreEquipo],0)))</f>
        <v>3</v>
      </c>
      <c r="CF36" s="631" t="str">
        <f ca="1">IF(COUNTIFS($CE$6:$CE$53,CE36,$BC$6:$BC$53,INDEX(T_Equipos[Grupo],MATCH(BD36,T_Equipos[NombreEquipo],0)))=1,"-","P."&amp;CE36&amp;" ("&amp;COUNTIFS($CE$6:$CE$53,CE36,$BC$6:$BC$53,INDEX(T_Equipos[Grupo],MATCH(BD36,T_Equipos[NombreEquipo],0)))&amp;")")</f>
        <v>-</v>
      </c>
      <c r="CG36" s="632" t="str">
        <f t="shared" ca="1" si="42"/>
        <v>-</v>
      </c>
      <c r="CH36" s="632" t="str">
        <f t="shared" ca="1" si="43"/>
        <v>-</v>
      </c>
      <c r="CI36" s="632" t="str">
        <f t="shared" ca="1" si="44"/>
        <v>-</v>
      </c>
      <c r="CJ36" s="632" t="str">
        <f t="shared" ca="1" si="45"/>
        <v>-</v>
      </c>
      <c r="CK36" s="632">
        <f ca="1">CE36+COUNTIFS($CF$6:$CF$53,CF36,$CJ$6:CJ$53,"&gt;"&amp;CJ36,$BC$6:$BC$53,INDEX(T_Equipos[Grupo],MATCH(BD36,T_Equipos[NombreEquipo],0)))</f>
        <v>3</v>
      </c>
      <c r="CL36" s="631" t="str">
        <f ca="1">IF(COUNTIFS($CK$6:$CK$53,CK36,$BC$6:$BC$53,INDEX(T_Equipos[Grupo],MATCH(BD36,T_Equipos[NombreEquipo],0)))=1,"-","P."&amp;CK36&amp;" ("&amp;COUNTIFS($CK$6:$CK$53,CK36,$BC$6:$BC$53,INDEX(T_Equipos[Grupo],MATCH(BD36,T_Equipos[NombreEquipo],0)))&amp;")")</f>
        <v>-</v>
      </c>
      <c r="CM36" s="632" t="str">
        <f t="shared" ca="1" si="46"/>
        <v>-</v>
      </c>
      <c r="CN36" s="632" t="str">
        <f t="shared" ca="1" si="47"/>
        <v>-</v>
      </c>
      <c r="CO36" s="632" t="str">
        <f t="shared" ca="1" si="48"/>
        <v>-</v>
      </c>
      <c r="CP36" s="632">
        <f ca="1">CK36+COUNTIFS($CL$6:$CL$53,CL36,$CO$6:CO$53,"&gt;"&amp;CO36,$BC$6:$BC$53,INDEX(T_Equipos[Grupo],MATCH(BD36,T_Equipos[NombreEquipo],0)))</f>
        <v>3</v>
      </c>
      <c r="CQ36" s="631" t="str">
        <f ca="1">IF(COUNTIFS($CP$6:$CP$53,CP36,$BC$6:$BC$53,INDEX(T_Equipos[Grupo],MATCH(BD36,T_Equipos[NombreEquipo],0)))=1,"-","P."&amp;CP36&amp;" ("&amp;COUNTIFS($CP$6:$CP$53,CP36,$BC$6:$BC$53,INDEX(T_Equipos[Grupo],MATCH(BD36,T_Equipos[NombreEquipo],0)))&amp;")")</f>
        <v>-</v>
      </c>
      <c r="CR36" s="632" t="str">
        <f t="shared" ca="1" si="49"/>
        <v>-</v>
      </c>
      <c r="CS36" s="632">
        <f ca="1">CP36+COUNTIFS($CQ$6:$CQ$53,CQ36,$CR$6:CR$53,"&gt;"&amp;CR36,$BC$6:$BC$53,INDEX(T_Equipos[Grupo],MATCH(BD36,T_Equipos[NombreEquipo],0)))</f>
        <v>3</v>
      </c>
      <c r="CT36" s="631" t="str">
        <f ca="1">IF(COUNTIFS($CS$6:$CS$53,CS36,$BC$6:$BC$53,INDEX(T_Equipos[Grupo],MATCH(BD36,T_Equipos[NombreEquipo],0)))=1,"-","P."&amp;CS36&amp;" ("&amp;COUNTIFS($CS$6:$CS$53,CS36,$BC$6:$BC$53,INDEX(T_Equipos[Grupo],MATCH(BD36,T_Equipos[NombreEquipo],0)))&amp;")")</f>
        <v>-</v>
      </c>
      <c r="CU36" s="631" t="str">
        <f t="shared" ca="1" si="28"/>
        <v>-</v>
      </c>
      <c r="CV36" s="631">
        <f ca="1">CS36+COUNTIFS($CT$6:$CT$53,CT36,$CU$6:CU$53,"&gt;"&amp;CU36,$BC$6:$BC$53,INDEX(T_Equipos[Grupo],MATCH(BD36,T_Equipos[NombreEquipo],0)))</f>
        <v>3</v>
      </c>
      <c r="CW36" s="631" t="str">
        <f ca="1">IF(COUNTIFS($CV$6:$CV$53,CV36,$BC$6:$BC$53,INDEX(T_Equipos[Grupo],MATCH(BD36,T_Equipos[NombreEquipo],0)))=1,"-","P."&amp;CV36&amp;" ("&amp;COUNTIFS($CV$6:$CV$53,CV36,$BC$6:$BC$53,INDEX(T_Equipos[Grupo],MATCH(BD36,T_Equipos[NombreEquipo],0)))&amp;")")</f>
        <v>-</v>
      </c>
      <c r="CX36" s="631" t="str">
        <f t="shared" ca="1" si="29"/>
        <v>-</v>
      </c>
      <c r="CY36" s="632">
        <f ca="1">CV36+COUNTIFS($CW$6:$CW$53,CW36,$CX$6:CX$53,"&gt;"&amp;CX36,$BC$6:$BC$53,INDEX(T_Equipos[Grupo],MATCH(BD36,T_Equipos[NombreEquipo],0)))</f>
        <v>3</v>
      </c>
      <c r="CZ36" s="631" t="str">
        <f ca="1">IF(COUNTIFS($CY$6:$CY$53,CY36,$BC$6:$BC$53,INDEX(T_Equipos[Grupo],MATCH(BD36,T_Equipos[NombreEquipo],0)))=1,"-","P."&amp;CY36&amp;" ("&amp;COUNTIFS($CY$6:$CY$53,CY36,$BC$6:$BC$53,INDEX(T_Equipos[Grupo],MATCH(BD36,T_Equipos[NombreEquipo],0)))&amp;")")</f>
        <v>-</v>
      </c>
      <c r="DA36" s="633" t="str">
        <f ca="1">IF(CZ36="-","-",COUNTIFS(T_Equipos[Rank],"&lt;"&amp;INDEX(T_Equipos[Rank],MATCH(BD36,T_Equipos[NombreEquipo],0)),$BC$6:$BC$53,INDEX(T_Equipos[Grupo],MATCH(BD36,T_Equipos[NombreEquipo],0)))+1)</f>
        <v>-</v>
      </c>
      <c r="DB36" s="630">
        <f ca="1">CY36+COUNTIFS($CZ$6:$CZ$53,CZ36,$DA$6:DA$53,"&lt;"&amp;DA36,$BC$6:$BC$53,INDEX(T_Equipos[Grupo],MATCH(BD36,T_Equipos[NombreEquipo],0)))</f>
        <v>3</v>
      </c>
      <c r="DC36" s="630"/>
      <c r="DD36" s="630">
        <f t="shared" ca="1" si="50"/>
        <v>3</v>
      </c>
      <c r="DE36" s="630" t="str">
        <f ca="1">IF(CZ36="-","-",COUNTIFS(DD$6:DD$53,"&lt;"&amp;DD36,$BC$6:$BC$53,INDEX(T_Equipos[Grupo],MATCH(BD36,T_Equipos[NombreEquipo],0))))</f>
        <v>-</v>
      </c>
      <c r="DF36" s="630">
        <f ca="1">CY36+COUNTIFS(CZ$6:CZ$53,CZ36,DE$6:DE$53,"&lt;"&amp;DE36,$BC$6:$BC$53,INDEX(T_Equipos[Grupo],MATCH(BD36,T_Equipos[NombreEquipo],0)))</f>
        <v>3</v>
      </c>
      <c r="DH36" s="10">
        <f t="shared" ca="1" si="51"/>
        <v>3</v>
      </c>
      <c r="DI36" s="10">
        <f t="shared" ca="1" si="24"/>
        <v>12</v>
      </c>
      <c r="DJ36" s="10">
        <f t="shared" ca="1" si="31"/>
        <v>1</v>
      </c>
      <c r="DK36" s="19" t="str">
        <f t="shared" ca="1" si="32"/>
        <v>3.1</v>
      </c>
      <c r="DL36" s="10" cm="1">
        <f t="array" aca="1" ref="DL36" ca="1">OFFSET(Horarios!$P$3,DH36-1,0,DJ36,1)</f>
        <v>3</v>
      </c>
      <c r="DN36" s="10" t="s">
        <v>453</v>
      </c>
      <c r="DO36" s="10" t="str">
        <f t="shared" ca="1" si="33"/>
        <v>Arabia Saudita</v>
      </c>
    </row>
    <row r="37" spans="1:119" ht="16.05" customHeight="1">
      <c r="A37" s="646" t="str">
        <f ca="1">+Equipos!B18</f>
        <v>Alemania</v>
      </c>
      <c r="B37" s="11"/>
      <c r="C37" s="11"/>
      <c r="D37" s="10" t="str">
        <f t="shared" si="110"/>
        <v>Visitante</v>
      </c>
      <c r="E37" s="10" t="str">
        <f t="shared" ca="1" si="111"/>
        <v>P.3 (2)</v>
      </c>
      <c r="F37" s="10" t="str">
        <f t="shared" ca="1" si="112"/>
        <v>-</v>
      </c>
      <c r="G37" s="10"/>
      <c r="H37" s="10" t="str">
        <f t="shared" ca="1" si="113"/>
        <v>P.3 (2)</v>
      </c>
      <c r="I37" s="10" t="str">
        <f t="shared" ca="1" si="114"/>
        <v>-</v>
      </c>
      <c r="J37" s="10"/>
      <c r="K37" s="10" t="str">
        <f t="shared" ca="1" si="115"/>
        <v>P.3 (2)</v>
      </c>
      <c r="L37" s="10" t="str">
        <f t="shared" ca="1" si="116"/>
        <v>-</v>
      </c>
      <c r="M37" s="10"/>
      <c r="N37" s="10" t="str">
        <f t="shared" ca="1" si="117"/>
        <v>P.3 (2)</v>
      </c>
      <c r="O37" s="10" t="str">
        <f t="shared" ca="1" si="118"/>
        <v>-</v>
      </c>
      <c r="P37" s="10"/>
      <c r="Q37" s="10" t="str">
        <f t="shared" ca="1" si="119"/>
        <v>P.3 (2)</v>
      </c>
      <c r="R37" s="10" t="str">
        <f t="shared" ca="1" si="120"/>
        <v>-</v>
      </c>
      <c r="S37" s="10"/>
      <c r="T37" s="10" t="str">
        <f t="shared" ca="1" si="121"/>
        <v>P.3 (2)</v>
      </c>
      <c r="U37" s="10" t="str">
        <f t="shared" ca="1" si="122"/>
        <v>-</v>
      </c>
      <c r="V37" s="20"/>
      <c r="W37" s="696"/>
      <c r="X37" s="27">
        <f ca="1">Horarios!C37</f>
        <v>46188.041666666664</v>
      </c>
      <c r="Y37" s="28">
        <f ca="1">Horarios!C37</f>
        <v>46188.041666666664</v>
      </c>
      <c r="Z37" s="29" t="str">
        <f>$Z$4</f>
        <v>J1</v>
      </c>
      <c r="AA37" s="30" t="str">
        <f ca="1">A39</f>
        <v>Costa de Marfil</v>
      </c>
      <c r="AB37" s="55" t="str">
        <f ca="1">+INDEX(Equipos!$L$2:$L$49,MATCH(WORLDCUP!AA37,Equipos!$K$2:$K$49,0))</f>
        <v>🇨🇮</v>
      </c>
      <c r="AC37" s="56">
        <v>0</v>
      </c>
      <c r="AD37" s="57">
        <v>2</v>
      </c>
      <c r="AE37" s="58" t="str">
        <f ca="1">+INDEX(Equipos!$L$2:$L$49,MATCH(WORLDCUP!AF37,Equipos!$K$2:$K$49,0))</f>
        <v>🇪🇨</v>
      </c>
      <c r="AF37" s="35" t="str">
        <f ca="1">A40</f>
        <v>Ecuador</v>
      </c>
      <c r="AG37" s="335">
        <f t="shared" si="123"/>
        <v>1</v>
      </c>
      <c r="AH37" s="204">
        <v>10</v>
      </c>
      <c r="AI37" s="190"/>
      <c r="AJ37" s="70" t="str">
        <f>AJ5</f>
        <v>Pos</v>
      </c>
      <c r="AK37" s="71"/>
      <c r="AL37" s="72" t="str">
        <f t="shared" ref="AL37:AT37" si="124">AL5</f>
        <v>Selección</v>
      </c>
      <c r="AM37" s="71" t="str">
        <f t="shared" si="124"/>
        <v>Pts</v>
      </c>
      <c r="AN37" s="71" t="str">
        <f t="shared" si="124"/>
        <v>J</v>
      </c>
      <c r="AO37" s="71" t="str">
        <f t="shared" si="124"/>
        <v>G</v>
      </c>
      <c r="AP37" s="71" t="str">
        <f t="shared" si="124"/>
        <v>E</v>
      </c>
      <c r="AQ37" s="71" t="str">
        <f t="shared" si="124"/>
        <v>P</v>
      </c>
      <c r="AR37" s="71" t="str">
        <f t="shared" si="124"/>
        <v>GF</v>
      </c>
      <c r="AS37" s="71" t="str">
        <f t="shared" si="124"/>
        <v>GC</v>
      </c>
      <c r="AT37" s="73" t="str">
        <f t="shared" si="124"/>
        <v>DG</v>
      </c>
      <c r="AU37" s="343">
        <f t="shared" ref="AU37" ca="1" si="125">COUNTIF(AU38:AU41,"&gt;1")</f>
        <v>2</v>
      </c>
      <c r="AV37" s="201"/>
      <c r="AW37" s="175"/>
      <c r="AX37" s="175"/>
      <c r="AY37" s="216" t="str">
        <f>AL37</f>
        <v>Selección</v>
      </c>
      <c r="AZ37" s="217" t="str">
        <f>+Idiomas!$D$67</f>
        <v>Puntos penalizados</v>
      </c>
      <c r="BA37" s="155"/>
      <c r="BC37" s="630" t="str">
        <f ca="1">+INDEX(T_Equipos[Grupo],MATCH(WORLDCUP!BD37,T_Equipos[NombreEquipo],0))</f>
        <v>H</v>
      </c>
      <c r="BD37" s="10" t="str">
        <f ca="1">+Equipos!B33</f>
        <v>Uruguay</v>
      </c>
      <c r="BE37" s="424">
        <f t="shared" ca="1" si="16"/>
        <v>4</v>
      </c>
      <c r="BF37" s="424">
        <f t="shared" ca="1" si="25"/>
        <v>3</v>
      </c>
      <c r="BG37" s="424">
        <f t="shared" ca="1" si="17"/>
        <v>1</v>
      </c>
      <c r="BH37" s="424">
        <f t="shared" ca="1" si="18"/>
        <v>1</v>
      </c>
      <c r="BI37" s="424">
        <f t="shared" ca="1" si="19"/>
        <v>1</v>
      </c>
      <c r="BJ37" s="424">
        <f t="shared" ca="1" si="20"/>
        <v>1</v>
      </c>
      <c r="BK37" s="424">
        <f t="shared" ca="1" si="21"/>
        <v>2</v>
      </c>
      <c r="BL37" s="424">
        <f t="shared" ca="1" si="26"/>
        <v>-1</v>
      </c>
      <c r="BM37" s="424" t="str">
        <f t="shared" ca="1" si="22"/>
        <v>2H</v>
      </c>
      <c r="BN37" s="424" t="str">
        <f t="shared" ca="1" si="23"/>
        <v>2H</v>
      </c>
      <c r="BO37" s="630"/>
      <c r="BP37" s="632">
        <f t="shared" ca="1" si="27"/>
        <v>4</v>
      </c>
      <c r="BQ37" s="631">
        <f ca="1">COUNTIFS($BE$6:$BE$53,"&gt;"&amp;BE37,$BC$6:$BC$53,INDEX(T_Equipos[Grupo],MATCH(BD37,T_Equipos[NombreEquipo],0)))+1</f>
        <v>2</v>
      </c>
      <c r="BR37" s="631" t="str">
        <f ca="1">IF(COUNTIFS($BQ$6:$BQ$53,BQ37,$BC$6:$BC$53,INDEX(T_Equipos[Grupo],MATCH(BD37,T_Equipos[NombreEquipo],0)))=1,"-","P."&amp;BQ37&amp;" ("&amp;COUNTIFS($BQ$6:$BQ$53,BQ37,$BC$6:$BC$53,INDEX(T_Equipos[Grupo],MATCH(BD37,T_Equipos[NombreEquipo],0)))&amp;")")</f>
        <v>-</v>
      </c>
      <c r="BS37" s="632" t="str">
        <f t="shared" ca="1" si="34"/>
        <v>-</v>
      </c>
      <c r="BT37" s="632" t="str">
        <f t="shared" ca="1" si="35"/>
        <v>-</v>
      </c>
      <c r="BU37" s="632" t="str">
        <f t="shared" ca="1" si="36"/>
        <v>-</v>
      </c>
      <c r="BV37" s="632" t="str">
        <f t="shared" ca="1" si="37"/>
        <v>-</v>
      </c>
      <c r="BW37" s="632">
        <f ca="1">BQ37+COUNTIFS($BR$6:$BR$53,BR37,$BV$6:BV$53,"&gt;"&amp;BV37,$BC$6:$BC$53,INDEX(T_Equipos[Grupo],MATCH(BD37,T_Equipos[NombreEquipo],0)))</f>
        <v>2</v>
      </c>
      <c r="BX37" s="631" t="str">
        <f ca="1">IF(COUNTIFS($BW$6:$BW$53,BW37,$BC$6:$BC$53,INDEX(T_Equipos[Grupo],MATCH(BD37,T_Equipos[NombreEquipo],0)))=1,"-","P."&amp;BW37&amp;" ("&amp;COUNTIFS($BW$6:$BW$53,BW37,$BC$6:$BC$53,INDEX(T_Equipos[Grupo],MATCH(BD37,T_Equipos[NombreEquipo],0)))&amp;")")</f>
        <v>-</v>
      </c>
      <c r="BY37" s="632" t="str">
        <f t="shared" ca="1" si="38"/>
        <v>-</v>
      </c>
      <c r="BZ37" s="632" t="str">
        <f t="shared" ca="1" si="39"/>
        <v>-</v>
      </c>
      <c r="CA37" s="632" t="str">
        <f t="shared" ca="1" si="40"/>
        <v>-</v>
      </c>
      <c r="CB37" s="632">
        <f ca="1">BW37+COUNTIFS($BX$6:$BX$53,BX37,$CA$6:CA$53,"&gt;"&amp;CA37,$BC$6:$BC$53,INDEX(T_Equipos[Grupo],MATCH(BD37,T_Equipos[NombreEquipo],0)))</f>
        <v>2</v>
      </c>
      <c r="CC37" s="631" t="str">
        <f ca="1">IF(COUNTIFS($CB$6:$CB$53,CB37,$BC$6:$BC$53,INDEX(T_Equipos[Grupo],MATCH(BD37,T_Equipos[NombreEquipo],0)))=1,"-","P."&amp;CB37&amp;" ("&amp;COUNTIFS($CB$6:$CB$53,CB37,$BC$6:$BC$53,INDEX(T_Equipos[Grupo],MATCH(BD37,T_Equipos[NombreEquipo],0)))&amp;")")</f>
        <v>-</v>
      </c>
      <c r="CD37" s="632" t="str">
        <f t="shared" ca="1" si="41"/>
        <v>-</v>
      </c>
      <c r="CE37" s="632">
        <f ca="1">CB37+COUNTIFS($CC$6:$CC$53,CC37,$CD$6:CD$53,"&gt;"&amp;CD37,$BC$6:$BC$53,INDEX(T_Equipos[Grupo],MATCH(BD37,T_Equipos[NombreEquipo],0)))</f>
        <v>2</v>
      </c>
      <c r="CF37" s="631" t="str">
        <f ca="1">IF(COUNTIFS($CE$6:$CE$53,CE37,$BC$6:$BC$53,INDEX(T_Equipos[Grupo],MATCH(BD37,T_Equipos[NombreEquipo],0)))=1,"-","P."&amp;CE37&amp;" ("&amp;COUNTIFS($CE$6:$CE$53,CE37,$BC$6:$BC$53,INDEX(T_Equipos[Grupo],MATCH(BD37,T_Equipos[NombreEquipo],0)))&amp;")")</f>
        <v>-</v>
      </c>
      <c r="CG37" s="632" t="str">
        <f t="shared" ca="1" si="42"/>
        <v>-</v>
      </c>
      <c r="CH37" s="632" t="str">
        <f t="shared" ca="1" si="43"/>
        <v>-</v>
      </c>
      <c r="CI37" s="632" t="str">
        <f t="shared" ca="1" si="44"/>
        <v>-</v>
      </c>
      <c r="CJ37" s="632" t="str">
        <f t="shared" ca="1" si="45"/>
        <v>-</v>
      </c>
      <c r="CK37" s="632">
        <f ca="1">CE37+COUNTIFS($CF$6:$CF$53,CF37,$CJ$6:CJ$53,"&gt;"&amp;CJ37,$BC$6:$BC$53,INDEX(T_Equipos[Grupo],MATCH(BD37,T_Equipos[NombreEquipo],0)))</f>
        <v>2</v>
      </c>
      <c r="CL37" s="631" t="str">
        <f ca="1">IF(COUNTIFS($CK$6:$CK$53,CK37,$BC$6:$BC$53,INDEX(T_Equipos[Grupo],MATCH(BD37,T_Equipos[NombreEquipo],0)))=1,"-","P."&amp;CK37&amp;" ("&amp;COUNTIFS($CK$6:$CK$53,CK37,$BC$6:$BC$53,INDEX(T_Equipos[Grupo],MATCH(BD37,T_Equipos[NombreEquipo],0)))&amp;")")</f>
        <v>-</v>
      </c>
      <c r="CM37" s="632" t="str">
        <f t="shared" ca="1" si="46"/>
        <v>-</v>
      </c>
      <c r="CN37" s="632" t="str">
        <f t="shared" ca="1" si="47"/>
        <v>-</v>
      </c>
      <c r="CO37" s="632" t="str">
        <f t="shared" ca="1" si="48"/>
        <v>-</v>
      </c>
      <c r="CP37" s="632">
        <f ca="1">CK37+COUNTIFS($CL$6:$CL$53,CL37,$CO$6:CO$53,"&gt;"&amp;CO37,$BC$6:$BC$53,INDEX(T_Equipos[Grupo],MATCH(BD37,T_Equipos[NombreEquipo],0)))</f>
        <v>2</v>
      </c>
      <c r="CQ37" s="631" t="str">
        <f ca="1">IF(COUNTIFS($CP$6:$CP$53,CP37,$BC$6:$BC$53,INDEX(T_Equipos[Grupo],MATCH(BD37,T_Equipos[NombreEquipo],0)))=1,"-","P."&amp;CP37&amp;" ("&amp;COUNTIFS($CP$6:$CP$53,CP37,$BC$6:$BC$53,INDEX(T_Equipos[Grupo],MATCH(BD37,T_Equipos[NombreEquipo],0)))&amp;")")</f>
        <v>-</v>
      </c>
      <c r="CR37" s="632" t="str">
        <f t="shared" ca="1" si="49"/>
        <v>-</v>
      </c>
      <c r="CS37" s="632">
        <f ca="1">CP37+COUNTIFS($CQ$6:$CQ$53,CQ37,$CR$6:CR$53,"&gt;"&amp;CR37,$BC$6:$BC$53,INDEX(T_Equipos[Grupo],MATCH(BD37,T_Equipos[NombreEquipo],0)))</f>
        <v>2</v>
      </c>
      <c r="CT37" s="631" t="str">
        <f ca="1">IF(COUNTIFS($CS$6:$CS$53,CS37,$BC$6:$BC$53,INDEX(T_Equipos[Grupo],MATCH(BD37,T_Equipos[NombreEquipo],0)))=1,"-","P."&amp;CS37&amp;" ("&amp;COUNTIFS($CS$6:$CS$53,CS37,$BC$6:$BC$53,INDEX(T_Equipos[Grupo],MATCH(BD37,T_Equipos[NombreEquipo],0)))&amp;")")</f>
        <v>-</v>
      </c>
      <c r="CU37" s="631" t="str">
        <f t="shared" ca="1" si="28"/>
        <v>-</v>
      </c>
      <c r="CV37" s="631">
        <f ca="1">CS37+COUNTIFS($CT$6:$CT$53,CT37,$CU$6:CU$53,"&gt;"&amp;CU37,$BC$6:$BC$53,INDEX(T_Equipos[Grupo],MATCH(BD37,T_Equipos[NombreEquipo],0)))</f>
        <v>2</v>
      </c>
      <c r="CW37" s="631" t="str">
        <f ca="1">IF(COUNTIFS($CV$6:$CV$53,CV37,$BC$6:$BC$53,INDEX(T_Equipos[Grupo],MATCH(BD37,T_Equipos[NombreEquipo],0)))=1,"-","P."&amp;CV37&amp;" ("&amp;COUNTIFS($CV$6:$CV$53,CV37,$BC$6:$BC$53,INDEX(T_Equipos[Grupo],MATCH(BD37,T_Equipos[NombreEquipo],0)))&amp;")")</f>
        <v>-</v>
      </c>
      <c r="CX37" s="631" t="str">
        <f t="shared" ca="1" si="29"/>
        <v>-</v>
      </c>
      <c r="CY37" s="632">
        <f ca="1">CV37+COUNTIFS($CW$6:$CW$53,CW37,$CX$6:CX$53,"&gt;"&amp;CX37,$BC$6:$BC$53,INDEX(T_Equipos[Grupo],MATCH(BD37,T_Equipos[NombreEquipo],0)))</f>
        <v>2</v>
      </c>
      <c r="CZ37" s="631" t="str">
        <f ca="1">IF(COUNTIFS($CY$6:$CY$53,CY37,$BC$6:$BC$53,INDEX(T_Equipos[Grupo],MATCH(BD37,T_Equipos[NombreEquipo],0)))=1,"-","P."&amp;CY37&amp;" ("&amp;COUNTIFS($CY$6:$CY$53,CY37,$BC$6:$BC$53,INDEX(T_Equipos[Grupo],MATCH(BD37,T_Equipos[NombreEquipo],0)))&amp;")")</f>
        <v>-</v>
      </c>
      <c r="DA37" s="633" t="str">
        <f ca="1">IF(CZ37="-","-",COUNTIFS(T_Equipos[Rank],"&lt;"&amp;INDEX(T_Equipos[Rank],MATCH(BD37,T_Equipos[NombreEquipo],0)),$BC$6:$BC$53,INDEX(T_Equipos[Grupo],MATCH(BD37,T_Equipos[NombreEquipo],0)))+1)</f>
        <v>-</v>
      </c>
      <c r="DB37" s="630">
        <f ca="1">CY37+COUNTIFS($CZ$6:$CZ$53,CZ37,$DA$6:DA$53,"&lt;"&amp;DA37,$BC$6:$BC$53,INDEX(T_Equipos[Grupo],MATCH(BD37,T_Equipos[NombreEquipo],0)))</f>
        <v>2</v>
      </c>
      <c r="DC37" s="630"/>
      <c r="DD37" s="630">
        <f t="shared" ca="1" si="50"/>
        <v>2</v>
      </c>
      <c r="DE37" s="630" t="str">
        <f ca="1">IF(CZ37="-","-",COUNTIFS(DD$6:DD$53,"&lt;"&amp;DD37,$BC$6:$BC$53,INDEX(T_Equipos[Grupo],MATCH(BD37,T_Equipos[NombreEquipo],0))))</f>
        <v>-</v>
      </c>
      <c r="DF37" s="630">
        <f ca="1">CY37+COUNTIFS(CZ$6:CZ$53,CZ37,DE$6:DE$53,"&lt;"&amp;DE37,$BC$6:$BC$53,INDEX(T_Equipos[Grupo],MATCH(BD37,T_Equipos[NombreEquipo],0)))</f>
        <v>2</v>
      </c>
      <c r="DH37" s="10">
        <f t="shared" ca="1" si="51"/>
        <v>4</v>
      </c>
      <c r="DI37" s="10">
        <f t="shared" ca="1" si="24"/>
        <v>12</v>
      </c>
      <c r="DJ37" s="10">
        <f t="shared" ca="1" si="31"/>
        <v>1</v>
      </c>
      <c r="DK37" s="19" t="str">
        <f t="shared" ca="1" si="32"/>
        <v>4.1</v>
      </c>
      <c r="DL37" s="10" cm="1">
        <f t="array" aca="1" ref="DL37" ca="1">OFFSET(Horarios!$P$3,DH37-1,0,DJ37,1)</f>
        <v>4</v>
      </c>
      <c r="DN37" s="10" t="s">
        <v>691</v>
      </c>
      <c r="DO37" s="10" t="str">
        <f t="shared" ca="1" si="33"/>
        <v>Cabo Verde</v>
      </c>
    </row>
    <row r="38" spans="1:119" ht="16.05" customHeight="1">
      <c r="A38" s="646" t="str">
        <f ca="1">+Equipos!B19</f>
        <v>Curazao</v>
      </c>
      <c r="B38" s="11"/>
      <c r="C38" s="429"/>
      <c r="D38" s="10" t="str">
        <f t="shared" si="110"/>
        <v>Local</v>
      </c>
      <c r="E38" s="10" t="str">
        <f t="shared" ca="1" si="111"/>
        <v>-</v>
      </c>
      <c r="F38" s="10" t="str">
        <f t="shared" ca="1" si="112"/>
        <v>P.3 (2)</v>
      </c>
      <c r="G38" s="10"/>
      <c r="H38" s="10" t="str">
        <f t="shared" ca="1" si="113"/>
        <v>-</v>
      </c>
      <c r="I38" s="10" t="str">
        <f t="shared" ca="1" si="114"/>
        <v>P.3 (2)</v>
      </c>
      <c r="J38" s="10"/>
      <c r="K38" s="10" t="str">
        <f t="shared" ca="1" si="115"/>
        <v>-</v>
      </c>
      <c r="L38" s="10" t="str">
        <f t="shared" ca="1" si="116"/>
        <v>P.3 (2)</v>
      </c>
      <c r="M38" s="10"/>
      <c r="N38" s="10" t="str">
        <f t="shared" ca="1" si="117"/>
        <v>-</v>
      </c>
      <c r="O38" s="10" t="str">
        <f t="shared" ca="1" si="118"/>
        <v>P.3 (2)</v>
      </c>
      <c r="P38" s="10"/>
      <c r="Q38" s="10" t="str">
        <f t="shared" ca="1" si="119"/>
        <v>-</v>
      </c>
      <c r="R38" s="10" t="str">
        <f t="shared" ca="1" si="120"/>
        <v>P.3 (2)</v>
      </c>
      <c r="S38" s="10"/>
      <c r="T38" s="10" t="str">
        <f t="shared" ca="1" si="121"/>
        <v>-</v>
      </c>
      <c r="U38" s="10" t="str">
        <f t="shared" ca="1" si="122"/>
        <v>P.3 (2)</v>
      </c>
      <c r="V38" s="20"/>
      <c r="W38" s="696"/>
      <c r="X38" s="27">
        <f ca="1">Horarios!C38</f>
        <v>46193.916666666664</v>
      </c>
      <c r="Y38" s="28">
        <f ca="1">Horarios!C38</f>
        <v>46193.916666666664</v>
      </c>
      <c r="Z38" s="29" t="str">
        <f>$Z$6</f>
        <v>J2</v>
      </c>
      <c r="AA38" s="30" t="str">
        <f ca="1">A37</f>
        <v>Alemania</v>
      </c>
      <c r="AB38" s="55" t="str">
        <f ca="1">+INDEX(Equipos!$L$2:$L$49,MATCH(WORLDCUP!AA38,Equipos!$K$2:$K$49,0))</f>
        <v>🇩🇪</v>
      </c>
      <c r="AC38" s="56">
        <v>3</v>
      </c>
      <c r="AD38" s="57">
        <v>0</v>
      </c>
      <c r="AE38" s="58" t="str">
        <f ca="1">+INDEX(Equipos!$L$2:$L$49,MATCH(WORLDCUP!AF38,Equipos!$K$2:$K$49,0))</f>
        <v>🇨🇮</v>
      </c>
      <c r="AF38" s="35" t="str">
        <f ca="1">A39</f>
        <v>Costa de Marfil</v>
      </c>
      <c r="AG38" s="335">
        <f t="shared" si="123"/>
        <v>1</v>
      </c>
      <c r="AH38" s="204">
        <v>33</v>
      </c>
      <c r="AI38" s="190" t="str">
        <f>AJ38&amp;$B$36</f>
        <v>1E</v>
      </c>
      <c r="AJ38" s="43">
        <v>1</v>
      </c>
      <c r="AK38" s="37" t="str">
        <f ca="1">+INDEX(Equipos!$L$2:$L$49,MATCH(WORLDCUP!AL38,Equipos!$K$2:$K$49,0))</f>
        <v>🇩🇪</v>
      </c>
      <c r="AL38" s="37" t="str">
        <f ca="1">IFERROR(INDEX($BD$6:$BD$53,MATCH(AI38,$BN$6:$BN$53,0)),"")</f>
        <v>Alemania</v>
      </c>
      <c r="AM38" s="38">
        <f t="shared" ref="AM38:AT41" ca="1" si="126">INDEX($BE$6:$BN$53,MATCH($AL38,$BD$6:$BD$53,0),MATCH(AM$5,$BE$5:$BN$5,0))</f>
        <v>9</v>
      </c>
      <c r="AN38" s="39">
        <f t="shared" ca="1" si="126"/>
        <v>3</v>
      </c>
      <c r="AO38" s="39">
        <f t="shared" ca="1" si="126"/>
        <v>3</v>
      </c>
      <c r="AP38" s="39">
        <f t="shared" ca="1" si="126"/>
        <v>0</v>
      </c>
      <c r="AQ38" s="39">
        <f t="shared" ca="1" si="126"/>
        <v>0</v>
      </c>
      <c r="AR38" s="39">
        <f t="shared" ca="1" si="126"/>
        <v>8</v>
      </c>
      <c r="AS38" s="39">
        <f t="shared" ca="1" si="126"/>
        <v>1</v>
      </c>
      <c r="AT38" s="45">
        <f t="shared" ca="1" si="126"/>
        <v>7</v>
      </c>
      <c r="AU38" s="342">
        <f ca="1">INDEX($DJ$6:$DJ$53,MATCH(AI38,$DN$6:$DN$53,0))</f>
        <v>1</v>
      </c>
      <c r="AV38" s="191" t="str">
        <f ca="1">INDEX($BD$6:$BD$53,MATCH(AI38,$BM$6:$BM$53,0))</f>
        <v>Alemania</v>
      </c>
      <c r="AW38" s="219"/>
      <c r="AX38" s="179"/>
      <c r="AY38" s="210" t="str">
        <f ca="1">+A37</f>
        <v>Alemania</v>
      </c>
      <c r="AZ38" s="211"/>
      <c r="BA38" s="155"/>
      <c r="BC38" s="630" t="str">
        <f ca="1">+INDEX(T_Equipos[Grupo],MATCH(WORLDCUP!BD38,T_Equipos[NombreEquipo],0))</f>
        <v>I</v>
      </c>
      <c r="BD38" s="10" t="str">
        <f ca="1">+Equipos!B34</f>
        <v>Francia</v>
      </c>
      <c r="BE38" s="424">
        <f t="shared" ca="1" si="16"/>
        <v>6</v>
      </c>
      <c r="BF38" s="424">
        <f t="shared" ca="1" si="25"/>
        <v>3</v>
      </c>
      <c r="BG38" s="424">
        <f t="shared" ca="1" si="17"/>
        <v>2</v>
      </c>
      <c r="BH38" s="424">
        <f t="shared" ca="1" si="18"/>
        <v>0</v>
      </c>
      <c r="BI38" s="424">
        <f t="shared" ca="1" si="19"/>
        <v>1</v>
      </c>
      <c r="BJ38" s="424">
        <f t="shared" ca="1" si="20"/>
        <v>4</v>
      </c>
      <c r="BK38" s="424">
        <f t="shared" ca="1" si="21"/>
        <v>1</v>
      </c>
      <c r="BL38" s="424">
        <f t="shared" ca="1" si="26"/>
        <v>3</v>
      </c>
      <c r="BM38" s="424" t="str">
        <f t="shared" ca="1" si="22"/>
        <v>1I</v>
      </c>
      <c r="BN38" s="424" t="str">
        <f t="shared" ca="1" si="23"/>
        <v>1I</v>
      </c>
      <c r="BO38" s="630"/>
      <c r="BP38" s="631">
        <f t="shared" ca="1" si="27"/>
        <v>6</v>
      </c>
      <c r="BQ38" s="631">
        <f ca="1">COUNTIFS($BE$6:$BE$53,"&gt;"&amp;BE38,$BC$6:$BC$53,INDEX(T_Equipos[Grupo],MATCH(BD38,T_Equipos[NombreEquipo],0)))+1</f>
        <v>1</v>
      </c>
      <c r="BR38" s="631" t="str">
        <f ca="1">IF(COUNTIFS($BQ$6:$BQ$53,BQ38,$BC$6:$BC$53,INDEX(T_Equipos[Grupo],MATCH(BD38,T_Equipos[NombreEquipo],0)))=1,"-","P."&amp;BQ38&amp;" ("&amp;COUNTIFS($BQ$6:$BQ$53,BQ38,$BC$6:$BC$53,INDEX(T_Equipos[Grupo],MATCH(BD38,T_Equipos[NombreEquipo],0)))&amp;")")</f>
        <v>P.1 (2)</v>
      </c>
      <c r="BS38" s="632">
        <f t="shared" ca="1" si="34"/>
        <v>1</v>
      </c>
      <c r="BT38" s="632">
        <f t="shared" ca="1" si="35"/>
        <v>0</v>
      </c>
      <c r="BU38" s="632">
        <f t="shared" ca="1" si="36"/>
        <v>0</v>
      </c>
      <c r="BV38" s="632">
        <f t="shared" ca="1" si="37"/>
        <v>3</v>
      </c>
      <c r="BW38" s="632">
        <f ca="1">BQ38+COUNTIFS($BR$6:$BR$53,BR38,$BV$6:BV$53,"&gt;"&amp;BV38,$BC$6:$BC$53,INDEX(T_Equipos[Grupo],MATCH(BD38,T_Equipos[NombreEquipo],0)))</f>
        <v>1</v>
      </c>
      <c r="BX38" s="631" t="str">
        <f ca="1">IF(COUNTIFS($BW$6:$BW$53,BW38,$BC$6:$BC$53,INDEX(T_Equipos[Grupo],MATCH(BD38,T_Equipos[NombreEquipo],0)))=1,"-","P."&amp;BW38&amp;" ("&amp;COUNTIFS($BW$6:$BW$53,BW38,$BC$6:$BC$53,INDEX(T_Equipos[Grupo],MATCH(BD38,T_Equipos[NombreEquipo],0)))&amp;")")</f>
        <v>-</v>
      </c>
      <c r="BY38" s="632" t="str">
        <f t="shared" ca="1" si="38"/>
        <v>-</v>
      </c>
      <c r="BZ38" s="632" t="str">
        <f t="shared" ca="1" si="39"/>
        <v>-</v>
      </c>
      <c r="CA38" s="632" t="str">
        <f t="shared" ca="1" si="40"/>
        <v>-</v>
      </c>
      <c r="CB38" s="632">
        <f ca="1">BW38+COUNTIFS($BX$6:$BX$53,BX38,$CA$6:CA$53,"&gt;"&amp;CA38,$BC$6:$BC$53,INDEX(T_Equipos[Grupo],MATCH(BD38,T_Equipos[NombreEquipo],0)))</f>
        <v>1</v>
      </c>
      <c r="CC38" s="631" t="str">
        <f ca="1">IF(COUNTIFS($CB$6:$CB$53,CB38,$BC$6:$BC$53,INDEX(T_Equipos[Grupo],MATCH(BD38,T_Equipos[NombreEquipo],0)))=1,"-","P."&amp;CB38&amp;" ("&amp;COUNTIFS($CB$6:$CB$53,CB38,$BC$6:$BC$53,INDEX(T_Equipos[Grupo],MATCH(BD38,T_Equipos[NombreEquipo],0)))&amp;")")</f>
        <v>-</v>
      </c>
      <c r="CD38" s="632" t="str">
        <f t="shared" ca="1" si="41"/>
        <v>-</v>
      </c>
      <c r="CE38" s="632">
        <f ca="1">CB38+COUNTIFS($CC$6:$CC$53,CC38,$CD$6:CD$53,"&gt;"&amp;CD38,$BC$6:$BC$53,INDEX(T_Equipos[Grupo],MATCH(BD38,T_Equipos[NombreEquipo],0)))</f>
        <v>1</v>
      </c>
      <c r="CF38" s="631" t="str">
        <f ca="1">IF(COUNTIFS($CE$6:$CE$53,CE38,$BC$6:$BC$53,INDEX(T_Equipos[Grupo],MATCH(BD38,T_Equipos[NombreEquipo],0)))=1,"-","P."&amp;CE38&amp;" ("&amp;COUNTIFS($CE$6:$CE$53,CE38,$BC$6:$BC$53,INDEX(T_Equipos[Grupo],MATCH(BD38,T_Equipos[NombreEquipo],0)))&amp;")")</f>
        <v>-</v>
      </c>
      <c r="CG38" s="632" t="str">
        <f t="shared" ca="1" si="42"/>
        <v>-</v>
      </c>
      <c r="CH38" s="632" t="str">
        <f t="shared" ca="1" si="43"/>
        <v>-</v>
      </c>
      <c r="CI38" s="632" t="str">
        <f t="shared" ca="1" si="44"/>
        <v>-</v>
      </c>
      <c r="CJ38" s="632" t="str">
        <f t="shared" ca="1" si="45"/>
        <v>-</v>
      </c>
      <c r="CK38" s="632">
        <f ca="1">CE38+COUNTIFS($CF$6:$CF$53,CF38,$CJ$6:CJ$53,"&gt;"&amp;CJ38,$BC$6:$BC$53,INDEX(T_Equipos[Grupo],MATCH(BD38,T_Equipos[NombreEquipo],0)))</f>
        <v>1</v>
      </c>
      <c r="CL38" s="631" t="str">
        <f ca="1">IF(COUNTIFS($CK$6:$CK$53,CK38,$BC$6:$BC$53,INDEX(T_Equipos[Grupo],MATCH(BD38,T_Equipos[NombreEquipo],0)))=1,"-","P."&amp;CK38&amp;" ("&amp;COUNTIFS($CK$6:$CK$53,CK38,$BC$6:$BC$53,INDEX(T_Equipos[Grupo],MATCH(BD38,T_Equipos[NombreEquipo],0)))&amp;")")</f>
        <v>-</v>
      </c>
      <c r="CM38" s="632" t="str">
        <f t="shared" ca="1" si="46"/>
        <v>-</v>
      </c>
      <c r="CN38" s="632" t="str">
        <f t="shared" ca="1" si="47"/>
        <v>-</v>
      </c>
      <c r="CO38" s="632" t="str">
        <f t="shared" ca="1" si="48"/>
        <v>-</v>
      </c>
      <c r="CP38" s="632">
        <f ca="1">CK38+COUNTIFS($CL$6:$CL$53,CL38,$CO$6:CO$53,"&gt;"&amp;CO38,$BC$6:$BC$53,INDEX(T_Equipos[Grupo],MATCH(BD38,T_Equipos[NombreEquipo],0)))</f>
        <v>1</v>
      </c>
      <c r="CQ38" s="631" t="str">
        <f ca="1">IF(COUNTIFS($CP$6:$CP$53,CP38,$BC$6:$BC$53,INDEX(T_Equipos[Grupo],MATCH(BD38,T_Equipos[NombreEquipo],0)))=1,"-","P."&amp;CP38&amp;" ("&amp;COUNTIFS($CP$6:$CP$53,CP38,$BC$6:$BC$53,INDEX(T_Equipos[Grupo],MATCH(BD38,T_Equipos[NombreEquipo],0)))&amp;")")</f>
        <v>-</v>
      </c>
      <c r="CR38" s="632" t="str">
        <f t="shared" ca="1" si="49"/>
        <v>-</v>
      </c>
      <c r="CS38" s="632">
        <f ca="1">CP38+COUNTIFS($CQ$6:$CQ$53,CQ38,$CR$6:CR$53,"&gt;"&amp;CR38,$BC$6:$BC$53,INDEX(T_Equipos[Grupo],MATCH(BD38,T_Equipos[NombreEquipo],0)))</f>
        <v>1</v>
      </c>
      <c r="CT38" s="631" t="str">
        <f ca="1">IF(COUNTIFS($CS$6:$CS$53,CS38,$BC$6:$BC$53,INDEX(T_Equipos[Grupo],MATCH(BD38,T_Equipos[NombreEquipo],0)))=1,"-","P."&amp;CS38&amp;" ("&amp;COUNTIFS($CS$6:$CS$53,CS38,$BC$6:$BC$53,INDEX(T_Equipos[Grupo],MATCH(BD38,T_Equipos[NombreEquipo],0)))&amp;")")</f>
        <v>-</v>
      </c>
      <c r="CU38" s="631" t="str">
        <f t="shared" ca="1" si="28"/>
        <v>-</v>
      </c>
      <c r="CV38" s="631">
        <f ca="1">CS38+COUNTIFS($CT$6:$CT$53,CT38,$CU$6:CU$53,"&gt;"&amp;CU38,$BC$6:$BC$53,INDEX(T_Equipos[Grupo],MATCH(BD38,T_Equipos[NombreEquipo],0)))</f>
        <v>1</v>
      </c>
      <c r="CW38" s="631" t="str">
        <f ca="1">IF(COUNTIFS($CV$6:$CV$53,CV38,$BC$6:$BC$53,INDEX(T_Equipos[Grupo],MATCH(BD38,T_Equipos[NombreEquipo],0)))=1,"-","P."&amp;CV38&amp;" ("&amp;COUNTIFS($CV$6:$CV$53,CV38,$BC$6:$BC$53,INDEX(T_Equipos[Grupo],MATCH(BD38,T_Equipos[NombreEquipo],0)))&amp;")")</f>
        <v>-</v>
      </c>
      <c r="CX38" s="631" t="str">
        <f t="shared" ca="1" si="29"/>
        <v>-</v>
      </c>
      <c r="CY38" s="632">
        <f ca="1">CV38+COUNTIFS($CW$6:$CW$53,CW38,$CX$6:CX$53,"&gt;"&amp;CX38,$BC$6:$BC$53,INDEX(T_Equipos[Grupo],MATCH(BD38,T_Equipos[NombreEquipo],0)))</f>
        <v>1</v>
      </c>
      <c r="CZ38" s="631" t="str">
        <f ca="1">IF(COUNTIFS($CY$6:$CY$53,CY38,$BC$6:$BC$53,INDEX(T_Equipos[Grupo],MATCH(BD38,T_Equipos[NombreEquipo],0)))=1,"-","P."&amp;CY38&amp;" ("&amp;COUNTIFS($CY$6:$CY$53,CY38,$BC$6:$BC$53,INDEX(T_Equipos[Grupo],MATCH(BD38,T_Equipos[NombreEquipo],0)))&amp;")")</f>
        <v>-</v>
      </c>
      <c r="DA38" s="633" t="str">
        <f ca="1">IF(CZ38="-","-",COUNTIFS(T_Equipos[Rank],"&lt;"&amp;INDEX(T_Equipos[Rank],MATCH(BD38,T_Equipos[NombreEquipo],0)),$BC$6:$BC$53,INDEX(T_Equipos[Grupo],MATCH(BD38,T_Equipos[NombreEquipo],0)))+1)</f>
        <v>-</v>
      </c>
      <c r="DB38" s="630">
        <f ca="1">CY38+COUNTIFS($CZ$6:$CZ$53,CZ38,$DA$6:DA$53,"&lt;"&amp;DA38,$BC$6:$BC$53,INDEX(T_Equipos[Grupo],MATCH(BD38,T_Equipos[NombreEquipo],0)))</f>
        <v>1</v>
      </c>
      <c r="DC38" s="630"/>
      <c r="DD38" s="630">
        <f t="shared" ca="1" si="50"/>
        <v>1</v>
      </c>
      <c r="DE38" s="630" t="str">
        <f ca="1">IF(CZ38="-","-",COUNTIFS(DD$6:DD$53,"&lt;"&amp;DD38,$BC$6:$BC$53,INDEX(T_Equipos[Grupo],MATCH(BD38,T_Equipos[NombreEquipo],0))))</f>
        <v>-</v>
      </c>
      <c r="DF38" s="630">
        <f ca="1">CY38+COUNTIFS(CZ$6:CZ$53,CZ38,DE$6:DE$53,"&lt;"&amp;DE38,$BC$6:$BC$53,INDEX(T_Equipos[Grupo],MATCH(BD38,T_Equipos[NombreEquipo],0)))</f>
        <v>1</v>
      </c>
      <c r="DH38" s="10">
        <f t="shared" ca="1" si="51"/>
        <v>1</v>
      </c>
      <c r="DI38" s="10">
        <f t="shared" ca="1" si="24"/>
        <v>12</v>
      </c>
      <c r="DJ38" s="10">
        <f t="shared" ca="1" si="31"/>
        <v>1</v>
      </c>
      <c r="DK38" s="19" t="str">
        <f t="shared" ca="1" si="32"/>
        <v>1.1</v>
      </c>
      <c r="DL38" s="10" cm="1">
        <f t="array" aca="1" ref="DL38" ca="1">OFFSET(Horarios!$P$3,DH38-1,0,DJ38,1)</f>
        <v>1</v>
      </c>
      <c r="DN38" s="10" t="s">
        <v>692</v>
      </c>
      <c r="DO38" s="10" t="str">
        <f t="shared" ca="1" si="33"/>
        <v>Francia</v>
      </c>
    </row>
    <row r="39" spans="1:119" ht="16.05" customHeight="1">
      <c r="A39" s="646" t="str">
        <f ca="1">+Equipos!B20</f>
        <v>Costa de Marfil</v>
      </c>
      <c r="B39" s="11"/>
      <c r="C39" s="10"/>
      <c r="D39" s="10" t="str">
        <f t="shared" si="110"/>
        <v>Local</v>
      </c>
      <c r="E39" s="10" t="str">
        <f t="shared" ca="1" si="111"/>
        <v>-</v>
      </c>
      <c r="F39" s="10" t="str">
        <f t="shared" ca="1" si="112"/>
        <v>P.3 (2)</v>
      </c>
      <c r="G39" s="10"/>
      <c r="H39" s="10" t="str">
        <f t="shared" ca="1" si="113"/>
        <v>-</v>
      </c>
      <c r="I39" s="10" t="str">
        <f t="shared" ca="1" si="114"/>
        <v>P.3 (2)</v>
      </c>
      <c r="J39" s="10"/>
      <c r="K39" s="10" t="str">
        <f t="shared" ca="1" si="115"/>
        <v>-</v>
      </c>
      <c r="L39" s="10" t="str">
        <f t="shared" ca="1" si="116"/>
        <v>P.3 (2)</v>
      </c>
      <c r="M39" s="10"/>
      <c r="N39" s="10" t="str">
        <f t="shared" ca="1" si="117"/>
        <v>-</v>
      </c>
      <c r="O39" s="10" t="str">
        <f t="shared" ca="1" si="118"/>
        <v>P.3 (2)</v>
      </c>
      <c r="P39" s="10"/>
      <c r="Q39" s="10" t="str">
        <f t="shared" ca="1" si="119"/>
        <v>-</v>
      </c>
      <c r="R39" s="10" t="str">
        <f t="shared" ca="1" si="120"/>
        <v>P.3 (2)</v>
      </c>
      <c r="S39" s="10"/>
      <c r="T39" s="10" t="str">
        <f t="shared" ca="1" si="121"/>
        <v>-</v>
      </c>
      <c r="U39" s="10" t="str">
        <f t="shared" ca="1" si="122"/>
        <v>P.3 (2)</v>
      </c>
      <c r="V39" s="20"/>
      <c r="W39" s="696"/>
      <c r="X39" s="27">
        <f ca="1">Horarios!C39</f>
        <v>46194.083333333336</v>
      </c>
      <c r="Y39" s="28">
        <f ca="1">Horarios!C39</f>
        <v>46194.083333333336</v>
      </c>
      <c r="Z39" s="29" t="str">
        <f>$Z$6</f>
        <v>J2</v>
      </c>
      <c r="AA39" s="30" t="str">
        <f ca="1">A40</f>
        <v>Ecuador</v>
      </c>
      <c r="AB39" s="55" t="str">
        <f ca="1">+INDEX(Equipos!$L$2:$L$49,MATCH(WORLDCUP!AA39,Equipos!$K$2:$K$49,0))</f>
        <v>🇪🇨</v>
      </c>
      <c r="AC39" s="56">
        <v>2</v>
      </c>
      <c r="AD39" s="57">
        <v>0</v>
      </c>
      <c r="AE39" s="58" t="str">
        <f ca="1">+INDEX(Equipos!$L$2:$L$49,MATCH(WORLDCUP!AF39,Equipos!$K$2:$K$49,0))</f>
        <v>🇨🇼</v>
      </c>
      <c r="AF39" s="35" t="str">
        <f ca="1">A38</f>
        <v>Curazao</v>
      </c>
      <c r="AG39" s="335">
        <f t="shared" si="123"/>
        <v>1</v>
      </c>
      <c r="AH39" s="204">
        <v>34</v>
      </c>
      <c r="AI39" s="190" t="str">
        <f t="shared" ref="AI39:AI41" si="127">AJ39&amp;$B$36</f>
        <v>2E</v>
      </c>
      <c r="AJ39" s="46">
        <v>2</v>
      </c>
      <c r="AK39" s="40" t="str">
        <f ca="1">+INDEX(Equipos!$L$2:$L$49,MATCH(WORLDCUP!AL39,Equipos!$K$2:$K$49,0))</f>
        <v>🇪🇨</v>
      </c>
      <c r="AL39" s="40" t="str">
        <f ca="1">IFERROR(INDEX($BD$6:$BD$53,MATCH(AI39,$BN$6:$BN$53,0)),"")</f>
        <v>Ecuador</v>
      </c>
      <c r="AM39" s="41">
        <f t="shared" ca="1" si="126"/>
        <v>6</v>
      </c>
      <c r="AN39" s="42">
        <f t="shared" ca="1" si="126"/>
        <v>3</v>
      </c>
      <c r="AO39" s="42">
        <f t="shared" ca="1" si="126"/>
        <v>2</v>
      </c>
      <c r="AP39" s="42">
        <f t="shared" ca="1" si="126"/>
        <v>0</v>
      </c>
      <c r="AQ39" s="42">
        <f t="shared" ca="1" si="126"/>
        <v>1</v>
      </c>
      <c r="AR39" s="42">
        <f t="shared" ca="1" si="126"/>
        <v>5</v>
      </c>
      <c r="AS39" s="42">
        <f t="shared" ca="1" si="126"/>
        <v>2</v>
      </c>
      <c r="AT39" s="48">
        <f t="shared" ca="1" si="126"/>
        <v>3</v>
      </c>
      <c r="AU39" s="342">
        <f ca="1">INDEX($DJ$6:$DJ$53,MATCH(AI39,$DN$6:$DN$53,0))</f>
        <v>1</v>
      </c>
      <c r="AV39" s="191" t="str">
        <f ca="1">INDEX($BD$6:$BD$53,MATCH(AI39,$BM$6:$BM$53,0))</f>
        <v>Ecuador</v>
      </c>
      <c r="AW39" s="219"/>
      <c r="AX39" s="179"/>
      <c r="AY39" s="212" t="str">
        <f ca="1">+A38</f>
        <v>Curazao</v>
      </c>
      <c r="AZ39" s="213"/>
      <c r="BA39" s="155"/>
      <c r="BC39" s="630" t="str">
        <f ca="1">+INDEX(T_Equipos[Grupo],MATCH(WORLDCUP!BD39,T_Equipos[NombreEquipo],0))</f>
        <v>I</v>
      </c>
      <c r="BD39" s="10" t="str">
        <f ca="1">+Equipos!B35</f>
        <v>Senegal</v>
      </c>
      <c r="BE39" s="424">
        <f t="shared" ca="1" si="16"/>
        <v>6</v>
      </c>
      <c r="BF39" s="424">
        <f t="shared" ca="1" si="25"/>
        <v>3</v>
      </c>
      <c r="BG39" s="424">
        <f t="shared" ca="1" si="17"/>
        <v>2</v>
      </c>
      <c r="BH39" s="424">
        <f t="shared" ca="1" si="18"/>
        <v>0</v>
      </c>
      <c r="BI39" s="424">
        <f t="shared" ca="1" si="19"/>
        <v>1</v>
      </c>
      <c r="BJ39" s="424">
        <f t="shared" ca="1" si="20"/>
        <v>2</v>
      </c>
      <c r="BK39" s="424">
        <f t="shared" ca="1" si="21"/>
        <v>2</v>
      </c>
      <c r="BL39" s="424">
        <f t="shared" ca="1" si="26"/>
        <v>0</v>
      </c>
      <c r="BM39" s="424" t="str">
        <f t="shared" ca="1" si="22"/>
        <v>2I</v>
      </c>
      <c r="BN39" s="424" t="str">
        <f t="shared" ca="1" si="23"/>
        <v>2I</v>
      </c>
      <c r="BO39" s="630"/>
      <c r="BP39" s="631">
        <f t="shared" ca="1" si="27"/>
        <v>6</v>
      </c>
      <c r="BQ39" s="631">
        <f ca="1">COUNTIFS($BE$6:$BE$53,"&gt;"&amp;BE39,$BC$6:$BC$53,INDEX(T_Equipos[Grupo],MATCH(BD39,T_Equipos[NombreEquipo],0)))+1</f>
        <v>1</v>
      </c>
      <c r="BR39" s="631" t="str">
        <f ca="1">IF(COUNTIFS($BQ$6:$BQ$53,BQ39,$BC$6:$BC$53,INDEX(T_Equipos[Grupo],MATCH(BD39,T_Equipos[NombreEquipo],0)))=1,"-","P."&amp;BQ39&amp;" ("&amp;COUNTIFS($BQ$6:$BQ$53,BQ39,$BC$6:$BC$53,INDEX(T_Equipos[Grupo],MATCH(BD39,T_Equipos[NombreEquipo],0)))&amp;")")</f>
        <v>P.1 (2)</v>
      </c>
      <c r="BS39" s="632">
        <f t="shared" ca="1" si="34"/>
        <v>0</v>
      </c>
      <c r="BT39" s="632">
        <f t="shared" ca="1" si="35"/>
        <v>0</v>
      </c>
      <c r="BU39" s="632">
        <f t="shared" ca="1" si="36"/>
        <v>1</v>
      </c>
      <c r="BV39" s="632">
        <f t="shared" ca="1" si="37"/>
        <v>0</v>
      </c>
      <c r="BW39" s="632">
        <f ca="1">BQ39+COUNTIFS($BR$6:$BR$53,BR39,$BV$6:BV$53,"&gt;"&amp;BV39,$BC$6:$BC$53,INDEX(T_Equipos[Grupo],MATCH(BD39,T_Equipos[NombreEquipo],0)))</f>
        <v>2</v>
      </c>
      <c r="BX39" s="631" t="str">
        <f ca="1">IF(COUNTIFS($BW$6:$BW$53,BW39,$BC$6:$BC$53,INDEX(T_Equipos[Grupo],MATCH(BD39,T_Equipos[NombreEquipo],0)))=1,"-","P."&amp;BW39&amp;" ("&amp;COUNTIFS($BW$6:$BW$53,BW39,$BC$6:$BC$53,INDEX(T_Equipos[Grupo],MATCH(BD39,T_Equipos[NombreEquipo],0)))&amp;")")</f>
        <v>-</v>
      </c>
      <c r="BY39" s="632" t="str">
        <f t="shared" ca="1" si="38"/>
        <v>-</v>
      </c>
      <c r="BZ39" s="632" t="str">
        <f t="shared" ca="1" si="39"/>
        <v>-</v>
      </c>
      <c r="CA39" s="632" t="str">
        <f t="shared" ca="1" si="40"/>
        <v>-</v>
      </c>
      <c r="CB39" s="632">
        <f ca="1">BW39+COUNTIFS($BX$6:$BX$53,BX39,$CA$6:CA$53,"&gt;"&amp;CA39,$BC$6:$BC$53,INDEX(T_Equipos[Grupo],MATCH(BD39,T_Equipos[NombreEquipo],0)))</f>
        <v>2</v>
      </c>
      <c r="CC39" s="631" t="str">
        <f ca="1">IF(COUNTIFS($CB$6:$CB$53,CB39,$BC$6:$BC$53,INDEX(T_Equipos[Grupo],MATCH(BD39,T_Equipos[NombreEquipo],0)))=1,"-","P."&amp;CB39&amp;" ("&amp;COUNTIFS($CB$6:$CB$53,CB39,$BC$6:$BC$53,INDEX(T_Equipos[Grupo],MATCH(BD39,T_Equipos[NombreEquipo],0)))&amp;")")</f>
        <v>-</v>
      </c>
      <c r="CD39" s="632" t="str">
        <f t="shared" ca="1" si="41"/>
        <v>-</v>
      </c>
      <c r="CE39" s="632">
        <f ca="1">CB39+COUNTIFS($CC$6:$CC$53,CC39,$CD$6:CD$53,"&gt;"&amp;CD39,$BC$6:$BC$53,INDEX(T_Equipos[Grupo],MATCH(BD39,T_Equipos[NombreEquipo],0)))</f>
        <v>2</v>
      </c>
      <c r="CF39" s="631" t="str">
        <f ca="1">IF(COUNTIFS($CE$6:$CE$53,CE39,$BC$6:$BC$53,INDEX(T_Equipos[Grupo],MATCH(BD39,T_Equipos[NombreEquipo],0)))=1,"-","P."&amp;CE39&amp;" ("&amp;COUNTIFS($CE$6:$CE$53,CE39,$BC$6:$BC$53,INDEX(T_Equipos[Grupo],MATCH(BD39,T_Equipos[NombreEquipo],0)))&amp;")")</f>
        <v>-</v>
      </c>
      <c r="CG39" s="632" t="str">
        <f t="shared" ca="1" si="42"/>
        <v>-</v>
      </c>
      <c r="CH39" s="632" t="str">
        <f t="shared" ca="1" si="43"/>
        <v>-</v>
      </c>
      <c r="CI39" s="632" t="str">
        <f t="shared" ca="1" si="44"/>
        <v>-</v>
      </c>
      <c r="CJ39" s="632" t="str">
        <f t="shared" ca="1" si="45"/>
        <v>-</v>
      </c>
      <c r="CK39" s="632">
        <f ca="1">CE39+COUNTIFS($CF$6:$CF$53,CF39,$CJ$6:CJ$53,"&gt;"&amp;CJ39,$BC$6:$BC$53,INDEX(T_Equipos[Grupo],MATCH(BD39,T_Equipos[NombreEquipo],0)))</f>
        <v>2</v>
      </c>
      <c r="CL39" s="631" t="str">
        <f ca="1">IF(COUNTIFS($CK$6:$CK$53,CK39,$BC$6:$BC$53,INDEX(T_Equipos[Grupo],MATCH(BD39,T_Equipos[NombreEquipo],0)))=1,"-","P."&amp;CK39&amp;" ("&amp;COUNTIFS($CK$6:$CK$53,CK39,$BC$6:$BC$53,INDEX(T_Equipos[Grupo],MATCH(BD39,T_Equipos[NombreEquipo],0)))&amp;")")</f>
        <v>-</v>
      </c>
      <c r="CM39" s="632" t="str">
        <f t="shared" ca="1" si="46"/>
        <v>-</v>
      </c>
      <c r="CN39" s="632" t="str">
        <f t="shared" ca="1" si="47"/>
        <v>-</v>
      </c>
      <c r="CO39" s="632" t="str">
        <f t="shared" ca="1" si="48"/>
        <v>-</v>
      </c>
      <c r="CP39" s="632">
        <f ca="1">CK39+COUNTIFS($CL$6:$CL$53,CL39,$CO$6:CO$53,"&gt;"&amp;CO39,$BC$6:$BC$53,INDEX(T_Equipos[Grupo],MATCH(BD39,T_Equipos[NombreEquipo],0)))</f>
        <v>2</v>
      </c>
      <c r="CQ39" s="631" t="str">
        <f ca="1">IF(COUNTIFS($CP$6:$CP$53,CP39,$BC$6:$BC$53,INDEX(T_Equipos[Grupo],MATCH(BD39,T_Equipos[NombreEquipo],0)))=1,"-","P."&amp;CP39&amp;" ("&amp;COUNTIFS($CP$6:$CP$53,CP39,$BC$6:$BC$53,INDEX(T_Equipos[Grupo],MATCH(BD39,T_Equipos[NombreEquipo],0)))&amp;")")</f>
        <v>-</v>
      </c>
      <c r="CR39" s="632" t="str">
        <f t="shared" ca="1" si="49"/>
        <v>-</v>
      </c>
      <c r="CS39" s="632">
        <f ca="1">CP39+COUNTIFS($CQ$6:$CQ$53,CQ39,$CR$6:CR$53,"&gt;"&amp;CR39,$BC$6:$BC$53,INDEX(T_Equipos[Grupo],MATCH(BD39,T_Equipos[NombreEquipo],0)))</f>
        <v>2</v>
      </c>
      <c r="CT39" s="631" t="str">
        <f ca="1">IF(COUNTIFS($CS$6:$CS$53,CS39,$BC$6:$BC$53,INDEX(T_Equipos[Grupo],MATCH(BD39,T_Equipos[NombreEquipo],0)))=1,"-","P."&amp;CS39&amp;" ("&amp;COUNTIFS($CS$6:$CS$53,CS39,$BC$6:$BC$53,INDEX(T_Equipos[Grupo],MATCH(BD39,T_Equipos[NombreEquipo],0)))&amp;")")</f>
        <v>-</v>
      </c>
      <c r="CU39" s="631" t="str">
        <f t="shared" ca="1" si="28"/>
        <v>-</v>
      </c>
      <c r="CV39" s="631">
        <f ca="1">CS39+COUNTIFS($CT$6:$CT$53,CT39,$CU$6:CU$53,"&gt;"&amp;CU39,$BC$6:$BC$53,INDEX(T_Equipos[Grupo],MATCH(BD39,T_Equipos[NombreEquipo],0)))</f>
        <v>2</v>
      </c>
      <c r="CW39" s="631" t="str">
        <f ca="1">IF(COUNTIFS($CV$6:$CV$53,CV39,$BC$6:$BC$53,INDEX(T_Equipos[Grupo],MATCH(BD39,T_Equipos[NombreEquipo],0)))=1,"-","P."&amp;CV39&amp;" ("&amp;COUNTIFS($CV$6:$CV$53,CV39,$BC$6:$BC$53,INDEX(T_Equipos[Grupo],MATCH(BD39,T_Equipos[NombreEquipo],0)))&amp;")")</f>
        <v>-</v>
      </c>
      <c r="CX39" s="631" t="str">
        <f t="shared" ca="1" si="29"/>
        <v>-</v>
      </c>
      <c r="CY39" s="632">
        <f ca="1">CV39+COUNTIFS($CW$6:$CW$53,CW39,$CX$6:CX$53,"&gt;"&amp;CX39,$BC$6:$BC$53,INDEX(T_Equipos[Grupo],MATCH(BD39,T_Equipos[NombreEquipo],0)))</f>
        <v>2</v>
      </c>
      <c r="CZ39" s="631" t="str">
        <f ca="1">IF(COUNTIFS($CY$6:$CY$53,CY39,$BC$6:$BC$53,INDEX(T_Equipos[Grupo],MATCH(BD39,T_Equipos[NombreEquipo],0)))=1,"-","P."&amp;CY39&amp;" ("&amp;COUNTIFS($CY$6:$CY$53,CY39,$BC$6:$BC$53,INDEX(T_Equipos[Grupo],MATCH(BD39,T_Equipos[NombreEquipo],0)))&amp;")")</f>
        <v>-</v>
      </c>
      <c r="DA39" s="633" t="str">
        <f ca="1">IF(CZ39="-","-",COUNTIFS(T_Equipos[Rank],"&lt;"&amp;INDEX(T_Equipos[Rank],MATCH(BD39,T_Equipos[NombreEquipo],0)),$BC$6:$BC$53,INDEX(T_Equipos[Grupo],MATCH(BD39,T_Equipos[NombreEquipo],0)))+1)</f>
        <v>-</v>
      </c>
      <c r="DB39" s="630">
        <f ca="1">CY39+COUNTIFS($CZ$6:$CZ$53,CZ39,$DA$6:DA$53,"&lt;"&amp;DA39,$BC$6:$BC$53,INDEX(T_Equipos[Grupo],MATCH(BD39,T_Equipos[NombreEquipo],0)))</f>
        <v>2</v>
      </c>
      <c r="DC39" s="630"/>
      <c r="DD39" s="630">
        <f t="shared" ca="1" si="50"/>
        <v>2</v>
      </c>
      <c r="DE39" s="630" t="str">
        <f ca="1">IF(CZ39="-","-",COUNTIFS(DD$6:DD$53,"&lt;"&amp;DD39,$BC$6:$BC$53,INDEX(T_Equipos[Grupo],MATCH(BD39,T_Equipos[NombreEquipo],0))))</f>
        <v>-</v>
      </c>
      <c r="DF39" s="630">
        <f ca="1">CY39+COUNTIFS(CZ$6:CZ$53,CZ39,DE$6:DE$53,"&lt;"&amp;DE39,$BC$6:$BC$53,INDEX(T_Equipos[Grupo],MATCH(BD39,T_Equipos[NombreEquipo],0)))</f>
        <v>2</v>
      </c>
      <c r="DH39" s="10">
        <f t="shared" ca="1" si="51"/>
        <v>2</v>
      </c>
      <c r="DI39" s="10">
        <f t="shared" ca="1" si="24"/>
        <v>12</v>
      </c>
      <c r="DJ39" s="10">
        <f t="shared" ca="1" si="31"/>
        <v>1</v>
      </c>
      <c r="DK39" s="19" t="str">
        <f t="shared" ca="1" si="32"/>
        <v>2.1</v>
      </c>
      <c r="DL39" s="10" cm="1">
        <f t="array" aca="1" ref="DL39" ca="1">OFFSET(Horarios!$P$3,DH39-1,0,DJ39,1)</f>
        <v>2</v>
      </c>
      <c r="DN39" s="10" t="s">
        <v>693</v>
      </c>
      <c r="DO39" s="10" t="str">
        <f t="shared" ca="1" si="33"/>
        <v>Senegal</v>
      </c>
    </row>
    <row r="40" spans="1:119" ht="16.05" customHeight="1">
      <c r="A40" s="646" t="str">
        <f ca="1">+Equipos!B21</f>
        <v>Ecuador</v>
      </c>
      <c r="B40" s="11"/>
      <c r="C40" s="10"/>
      <c r="D40" s="10" t="str">
        <f t="shared" si="110"/>
        <v>Visitante</v>
      </c>
      <c r="E40" s="10" t="str">
        <f t="shared" ca="1" si="111"/>
        <v>-</v>
      </c>
      <c r="F40" s="10" t="str">
        <f t="shared" ca="1" si="112"/>
        <v>-</v>
      </c>
      <c r="G40" s="10"/>
      <c r="H40" s="10" t="str">
        <f t="shared" ca="1" si="113"/>
        <v>-</v>
      </c>
      <c r="I40" s="10" t="str">
        <f t="shared" ca="1" si="114"/>
        <v>-</v>
      </c>
      <c r="J40" s="10"/>
      <c r="K40" s="10" t="str">
        <f t="shared" ca="1" si="115"/>
        <v>-</v>
      </c>
      <c r="L40" s="10" t="str">
        <f t="shared" ca="1" si="116"/>
        <v>-</v>
      </c>
      <c r="M40" s="10"/>
      <c r="N40" s="10" t="str">
        <f t="shared" ca="1" si="117"/>
        <v>-</v>
      </c>
      <c r="O40" s="10" t="str">
        <f t="shared" ca="1" si="118"/>
        <v>-</v>
      </c>
      <c r="P40" s="10"/>
      <c r="Q40" s="10" t="str">
        <f t="shared" ca="1" si="119"/>
        <v>-</v>
      </c>
      <c r="R40" s="10" t="str">
        <f t="shared" ca="1" si="120"/>
        <v>-</v>
      </c>
      <c r="S40" s="10"/>
      <c r="T40" s="10" t="str">
        <f t="shared" ca="1" si="121"/>
        <v>-</v>
      </c>
      <c r="U40" s="10" t="str">
        <f t="shared" ca="1" si="122"/>
        <v>-</v>
      </c>
      <c r="V40" s="20"/>
      <c r="W40" s="696"/>
      <c r="X40" s="27">
        <f ca="1">Horarios!C40</f>
        <v>46198.916666666664</v>
      </c>
      <c r="Y40" s="28">
        <f ca="1">Horarios!C40</f>
        <v>46198.916666666664</v>
      </c>
      <c r="Z40" s="29" t="str">
        <f>$Z$8</f>
        <v>J3</v>
      </c>
      <c r="AA40" s="30" t="str">
        <f ca="1">A40</f>
        <v>Ecuador</v>
      </c>
      <c r="AB40" s="55" t="str">
        <f ca="1">+INDEX(Equipos!$L$2:$L$49,MATCH(WORLDCUP!AA40,Equipos!$K$2:$K$49,0))</f>
        <v>🇪🇨</v>
      </c>
      <c r="AC40" s="56">
        <v>1</v>
      </c>
      <c r="AD40" s="57">
        <v>2</v>
      </c>
      <c r="AE40" s="58" t="str">
        <f ca="1">+INDEX(Equipos!$L$2:$L$49,MATCH(WORLDCUP!AF40,Equipos!$K$2:$K$49,0))</f>
        <v>🇩🇪</v>
      </c>
      <c r="AF40" s="35" t="str">
        <f ca="1">A37</f>
        <v>Alemania</v>
      </c>
      <c r="AG40" s="335">
        <f t="shared" si="123"/>
        <v>1</v>
      </c>
      <c r="AH40" s="204">
        <v>55</v>
      </c>
      <c r="AI40" s="190" t="str">
        <f t="shared" si="127"/>
        <v>3E</v>
      </c>
      <c r="AJ40" s="46">
        <v>3</v>
      </c>
      <c r="AK40" s="40" t="str">
        <f ca="1">+INDEX(Equipos!$L$2:$L$49,MATCH(WORLDCUP!AL40,Equipos!$K$2:$K$49,0))</f>
        <v>🇨🇼</v>
      </c>
      <c r="AL40" s="40" t="str">
        <f ca="1">IFERROR(INDEX($BD$6:$BD$53,MATCH(AI40,$BN$6:$BN$53,0)),"")</f>
        <v>Curazao</v>
      </c>
      <c r="AM40" s="41">
        <f t="shared" ca="1" si="126"/>
        <v>1</v>
      </c>
      <c r="AN40" s="42">
        <f t="shared" ca="1" si="126"/>
        <v>3</v>
      </c>
      <c r="AO40" s="42">
        <f t="shared" ca="1" si="126"/>
        <v>0</v>
      </c>
      <c r="AP40" s="42">
        <f t="shared" ca="1" si="126"/>
        <v>1</v>
      </c>
      <c r="AQ40" s="42">
        <f t="shared" ca="1" si="126"/>
        <v>2</v>
      </c>
      <c r="AR40" s="42">
        <f t="shared" ca="1" si="126"/>
        <v>0</v>
      </c>
      <c r="AS40" s="42">
        <f t="shared" ca="1" si="126"/>
        <v>5</v>
      </c>
      <c r="AT40" s="48">
        <f t="shared" ca="1" si="126"/>
        <v>-5</v>
      </c>
      <c r="AU40" s="342">
        <f ca="1">INDEX($DJ$6:$DJ$53,MATCH(AI40,$DN$6:$DN$53,0))</f>
        <v>2</v>
      </c>
      <c r="AV40" s="191" t="str">
        <f ca="1">INDEX($BD$6:$BD$53,MATCH(AI40,$BM$6:$BM$53,0))</f>
        <v>Curazao</v>
      </c>
      <c r="AW40" s="219"/>
      <c r="AX40" s="179"/>
      <c r="AY40" s="210" t="str">
        <f ca="1">+A39</f>
        <v>Costa de Marfil</v>
      </c>
      <c r="AZ40" s="211"/>
      <c r="BA40" s="155"/>
      <c r="BC40" s="630" t="str">
        <f ca="1">+INDEX(T_Equipos[Grupo],MATCH(WORLDCUP!BD40,T_Equipos[NombreEquipo],0))</f>
        <v>I</v>
      </c>
      <c r="BD40" s="10" t="str">
        <f ca="1">+Equipos!B36</f>
        <v>PO 2: IRQ/BOL/SUR</v>
      </c>
      <c r="BE40" s="424">
        <f t="shared" ca="1" si="16"/>
        <v>1</v>
      </c>
      <c r="BF40" s="424">
        <f t="shared" ca="1" si="25"/>
        <v>3</v>
      </c>
      <c r="BG40" s="424">
        <f t="shared" ca="1" si="17"/>
        <v>0</v>
      </c>
      <c r="BH40" s="424">
        <f t="shared" ca="1" si="18"/>
        <v>1</v>
      </c>
      <c r="BI40" s="424">
        <f t="shared" ca="1" si="19"/>
        <v>2</v>
      </c>
      <c r="BJ40" s="424">
        <f t="shared" ca="1" si="20"/>
        <v>0</v>
      </c>
      <c r="BK40" s="424">
        <f t="shared" ca="1" si="21"/>
        <v>3</v>
      </c>
      <c r="BL40" s="424">
        <f t="shared" ca="1" si="26"/>
        <v>-3</v>
      </c>
      <c r="BM40" s="424" t="str">
        <f t="shared" ca="1" si="22"/>
        <v>4I</v>
      </c>
      <c r="BN40" s="424" t="str">
        <f t="shared" ca="1" si="23"/>
        <v>4I</v>
      </c>
      <c r="BO40" s="630"/>
      <c r="BP40" s="631">
        <f t="shared" ca="1" si="27"/>
        <v>1</v>
      </c>
      <c r="BQ40" s="631">
        <f ca="1">COUNTIFS($BE$6:$BE$53,"&gt;"&amp;BE40,$BC$6:$BC$53,INDEX(T_Equipos[Grupo],MATCH(BD40,T_Equipos[NombreEquipo],0)))+1</f>
        <v>4</v>
      </c>
      <c r="BR40" s="631" t="str">
        <f ca="1">IF(COUNTIFS($BQ$6:$BQ$53,BQ40,$BC$6:$BC$53,INDEX(T_Equipos[Grupo],MATCH(BD40,T_Equipos[NombreEquipo],0)))=1,"-","P."&amp;BQ40&amp;" ("&amp;COUNTIFS($BQ$6:$BQ$53,BQ40,$BC$6:$BC$53,INDEX(T_Equipos[Grupo],MATCH(BD40,T_Equipos[NombreEquipo],0)))&amp;")")</f>
        <v>-</v>
      </c>
      <c r="BS40" s="632" t="str">
        <f t="shared" ca="1" si="34"/>
        <v>-</v>
      </c>
      <c r="BT40" s="632" t="str">
        <f t="shared" ca="1" si="35"/>
        <v>-</v>
      </c>
      <c r="BU40" s="632" t="str">
        <f t="shared" ca="1" si="36"/>
        <v>-</v>
      </c>
      <c r="BV40" s="632" t="str">
        <f t="shared" ca="1" si="37"/>
        <v>-</v>
      </c>
      <c r="BW40" s="632">
        <f ca="1">BQ40+COUNTIFS($BR$6:$BR$53,BR40,$BV$6:BV$53,"&gt;"&amp;BV40,$BC$6:$BC$53,INDEX(T_Equipos[Grupo],MATCH(BD40,T_Equipos[NombreEquipo],0)))</f>
        <v>4</v>
      </c>
      <c r="BX40" s="631" t="str">
        <f ca="1">IF(COUNTIFS($BW$6:$BW$53,BW40,$BC$6:$BC$53,INDEX(T_Equipos[Grupo],MATCH(BD40,T_Equipos[NombreEquipo],0)))=1,"-","P."&amp;BW40&amp;" ("&amp;COUNTIFS($BW$6:$BW$53,BW40,$BC$6:$BC$53,INDEX(T_Equipos[Grupo],MATCH(BD40,T_Equipos[NombreEquipo],0)))&amp;")")</f>
        <v>-</v>
      </c>
      <c r="BY40" s="632" t="str">
        <f t="shared" ca="1" si="38"/>
        <v>-</v>
      </c>
      <c r="BZ40" s="632" t="str">
        <f t="shared" ca="1" si="39"/>
        <v>-</v>
      </c>
      <c r="CA40" s="632" t="str">
        <f t="shared" ca="1" si="40"/>
        <v>-</v>
      </c>
      <c r="CB40" s="632">
        <f ca="1">BW40+COUNTIFS($BX$6:$BX$53,BX40,$CA$6:CA$53,"&gt;"&amp;CA40,$BC$6:$BC$53,INDEX(T_Equipos[Grupo],MATCH(BD40,T_Equipos[NombreEquipo],0)))</f>
        <v>4</v>
      </c>
      <c r="CC40" s="631" t="str">
        <f ca="1">IF(COUNTIFS($CB$6:$CB$53,CB40,$BC$6:$BC$53,INDEX(T_Equipos[Grupo],MATCH(BD40,T_Equipos[NombreEquipo],0)))=1,"-","P."&amp;CB40&amp;" ("&amp;COUNTIFS($CB$6:$CB$53,CB40,$BC$6:$BC$53,INDEX(T_Equipos[Grupo],MATCH(BD40,T_Equipos[NombreEquipo],0)))&amp;")")</f>
        <v>-</v>
      </c>
      <c r="CD40" s="632" t="str">
        <f t="shared" ca="1" si="41"/>
        <v>-</v>
      </c>
      <c r="CE40" s="632">
        <f ca="1">CB40+COUNTIFS($CC$6:$CC$53,CC40,$CD$6:CD$53,"&gt;"&amp;CD40,$BC$6:$BC$53,INDEX(T_Equipos[Grupo],MATCH(BD40,T_Equipos[NombreEquipo],0)))</f>
        <v>4</v>
      </c>
      <c r="CF40" s="631" t="str">
        <f ca="1">IF(COUNTIFS($CE$6:$CE$53,CE40,$BC$6:$BC$53,INDEX(T_Equipos[Grupo],MATCH(BD40,T_Equipos[NombreEquipo],0)))=1,"-","P."&amp;CE40&amp;" ("&amp;COUNTIFS($CE$6:$CE$53,CE40,$BC$6:$BC$53,INDEX(T_Equipos[Grupo],MATCH(BD40,T_Equipos[NombreEquipo],0)))&amp;")")</f>
        <v>-</v>
      </c>
      <c r="CG40" s="632" t="str">
        <f t="shared" ca="1" si="42"/>
        <v>-</v>
      </c>
      <c r="CH40" s="632" t="str">
        <f t="shared" ca="1" si="43"/>
        <v>-</v>
      </c>
      <c r="CI40" s="632" t="str">
        <f t="shared" ca="1" si="44"/>
        <v>-</v>
      </c>
      <c r="CJ40" s="632" t="str">
        <f t="shared" ca="1" si="45"/>
        <v>-</v>
      </c>
      <c r="CK40" s="632">
        <f ca="1">CE40+COUNTIFS($CF$6:$CF$53,CF40,$CJ$6:CJ$53,"&gt;"&amp;CJ40,$BC$6:$BC$53,INDEX(T_Equipos[Grupo],MATCH(BD40,T_Equipos[NombreEquipo],0)))</f>
        <v>4</v>
      </c>
      <c r="CL40" s="631" t="str">
        <f ca="1">IF(COUNTIFS($CK$6:$CK$53,CK40,$BC$6:$BC$53,INDEX(T_Equipos[Grupo],MATCH(BD40,T_Equipos[NombreEquipo],0)))=1,"-","P."&amp;CK40&amp;" ("&amp;COUNTIFS($CK$6:$CK$53,CK40,$BC$6:$BC$53,INDEX(T_Equipos[Grupo],MATCH(BD40,T_Equipos[NombreEquipo],0)))&amp;")")</f>
        <v>-</v>
      </c>
      <c r="CM40" s="632" t="str">
        <f t="shared" ca="1" si="46"/>
        <v>-</v>
      </c>
      <c r="CN40" s="632" t="str">
        <f t="shared" ca="1" si="47"/>
        <v>-</v>
      </c>
      <c r="CO40" s="632" t="str">
        <f t="shared" ca="1" si="48"/>
        <v>-</v>
      </c>
      <c r="CP40" s="632">
        <f ca="1">CK40+COUNTIFS($CL$6:$CL$53,CL40,$CO$6:CO$53,"&gt;"&amp;CO40,$BC$6:$BC$53,INDEX(T_Equipos[Grupo],MATCH(BD40,T_Equipos[NombreEquipo],0)))</f>
        <v>4</v>
      </c>
      <c r="CQ40" s="631" t="str">
        <f ca="1">IF(COUNTIFS($CP$6:$CP$53,CP40,$BC$6:$BC$53,INDEX(T_Equipos[Grupo],MATCH(BD40,T_Equipos[NombreEquipo],0)))=1,"-","P."&amp;CP40&amp;" ("&amp;COUNTIFS($CP$6:$CP$53,CP40,$BC$6:$BC$53,INDEX(T_Equipos[Grupo],MATCH(BD40,T_Equipos[NombreEquipo],0)))&amp;")")</f>
        <v>-</v>
      </c>
      <c r="CR40" s="632" t="str">
        <f t="shared" ca="1" si="49"/>
        <v>-</v>
      </c>
      <c r="CS40" s="632">
        <f ca="1">CP40+COUNTIFS($CQ$6:$CQ$53,CQ40,$CR$6:CR$53,"&gt;"&amp;CR40,$BC$6:$BC$53,INDEX(T_Equipos[Grupo],MATCH(BD40,T_Equipos[NombreEquipo],0)))</f>
        <v>4</v>
      </c>
      <c r="CT40" s="631" t="str">
        <f ca="1">IF(COUNTIFS($CS$6:$CS$53,CS40,$BC$6:$BC$53,INDEX(T_Equipos[Grupo],MATCH(BD40,T_Equipos[NombreEquipo],0)))=1,"-","P."&amp;CS40&amp;" ("&amp;COUNTIFS($CS$6:$CS$53,CS40,$BC$6:$BC$53,INDEX(T_Equipos[Grupo],MATCH(BD40,T_Equipos[NombreEquipo],0)))&amp;")")</f>
        <v>-</v>
      </c>
      <c r="CU40" s="631" t="str">
        <f t="shared" ca="1" si="28"/>
        <v>-</v>
      </c>
      <c r="CV40" s="631">
        <f ca="1">CS40+COUNTIFS($CT$6:$CT$53,CT40,$CU$6:CU$53,"&gt;"&amp;CU40,$BC$6:$BC$53,INDEX(T_Equipos[Grupo],MATCH(BD40,T_Equipos[NombreEquipo],0)))</f>
        <v>4</v>
      </c>
      <c r="CW40" s="631" t="str">
        <f ca="1">IF(COUNTIFS($CV$6:$CV$53,CV40,$BC$6:$BC$53,INDEX(T_Equipos[Grupo],MATCH(BD40,T_Equipos[NombreEquipo],0)))=1,"-","P."&amp;CV40&amp;" ("&amp;COUNTIFS($CV$6:$CV$53,CV40,$BC$6:$BC$53,INDEX(T_Equipos[Grupo],MATCH(BD40,T_Equipos[NombreEquipo],0)))&amp;")")</f>
        <v>-</v>
      </c>
      <c r="CX40" s="631" t="str">
        <f t="shared" ca="1" si="29"/>
        <v>-</v>
      </c>
      <c r="CY40" s="632">
        <f ca="1">CV40+COUNTIFS($CW$6:$CW$53,CW40,$CX$6:CX$53,"&gt;"&amp;CX40,$BC$6:$BC$53,INDEX(T_Equipos[Grupo],MATCH(BD40,T_Equipos[NombreEquipo],0)))</f>
        <v>4</v>
      </c>
      <c r="CZ40" s="631" t="str">
        <f ca="1">IF(COUNTIFS($CY$6:$CY$53,CY40,$BC$6:$BC$53,INDEX(T_Equipos[Grupo],MATCH(BD40,T_Equipos[NombreEquipo],0)))=1,"-","P."&amp;CY40&amp;" ("&amp;COUNTIFS($CY$6:$CY$53,CY40,$BC$6:$BC$53,INDEX(T_Equipos[Grupo],MATCH(BD40,T_Equipos[NombreEquipo],0)))&amp;")")</f>
        <v>-</v>
      </c>
      <c r="DA40" s="633" t="str">
        <f ca="1">IF(CZ40="-","-",COUNTIFS(T_Equipos[Rank],"&lt;"&amp;INDEX(T_Equipos[Rank],MATCH(BD40,T_Equipos[NombreEquipo],0)),$BC$6:$BC$53,INDEX(T_Equipos[Grupo],MATCH(BD40,T_Equipos[NombreEquipo],0)))+1)</f>
        <v>-</v>
      </c>
      <c r="DB40" s="630">
        <f ca="1">CY40+COUNTIFS($CZ$6:$CZ$53,CZ40,$DA$6:DA$53,"&lt;"&amp;DA40,$BC$6:$BC$53,INDEX(T_Equipos[Grupo],MATCH(BD40,T_Equipos[NombreEquipo],0)))</f>
        <v>4</v>
      </c>
      <c r="DC40" s="630"/>
      <c r="DD40" s="630">
        <f t="shared" ca="1" si="50"/>
        <v>4</v>
      </c>
      <c r="DE40" s="630" t="str">
        <f ca="1">IF(CZ40="-","-",COUNTIFS(DD$6:DD$53,"&lt;"&amp;DD40,$BC$6:$BC$53,INDEX(T_Equipos[Grupo],MATCH(BD40,T_Equipos[NombreEquipo],0))))</f>
        <v>-</v>
      </c>
      <c r="DF40" s="630">
        <f ca="1">CY40+COUNTIFS(CZ$6:CZ$53,CZ40,DE$6:DE$53,"&lt;"&amp;DE40,$BC$6:$BC$53,INDEX(T_Equipos[Grupo],MATCH(BD40,T_Equipos[NombreEquipo],0)))</f>
        <v>4</v>
      </c>
      <c r="DH40" s="10">
        <f t="shared" ca="1" si="51"/>
        <v>3</v>
      </c>
      <c r="DI40" s="10">
        <f t="shared" ca="1" si="24"/>
        <v>12</v>
      </c>
      <c r="DJ40" s="10">
        <f t="shared" ca="1" si="31"/>
        <v>1</v>
      </c>
      <c r="DK40" s="19" t="str">
        <f t="shared" ca="1" si="32"/>
        <v>3.1</v>
      </c>
      <c r="DL40" s="10" cm="1">
        <f t="array" aca="1" ref="DL40" ca="1">OFFSET(Horarios!$P$3,DH40-1,0,DJ40,1)</f>
        <v>3</v>
      </c>
      <c r="DN40" s="10" t="s">
        <v>457</v>
      </c>
      <c r="DO40" s="10" t="str">
        <f t="shared" ca="1" si="33"/>
        <v>Noruega</v>
      </c>
    </row>
    <row r="41" spans="1:119" ht="16.95" customHeight="1" thickBot="1">
      <c r="A41" s="643"/>
      <c r="B41" s="643"/>
      <c r="C41" s="643"/>
      <c r="D41" s="10" t="str">
        <f t="shared" si="110"/>
        <v>Empate</v>
      </c>
      <c r="E41" s="10" t="str">
        <f t="shared" ca="1" si="111"/>
        <v>P.3 (2)</v>
      </c>
      <c r="F41" s="10" t="str">
        <f t="shared" ca="1" si="112"/>
        <v>P.3 (2)</v>
      </c>
      <c r="G41" s="10"/>
      <c r="H41" s="10" t="str">
        <f t="shared" ca="1" si="113"/>
        <v>P.3 (2)</v>
      </c>
      <c r="I41" s="10" t="str">
        <f t="shared" ca="1" si="114"/>
        <v>P.3 (2)</v>
      </c>
      <c r="J41" s="10"/>
      <c r="K41" s="10" t="str">
        <f t="shared" ca="1" si="115"/>
        <v>P.3 (2)</v>
      </c>
      <c r="L41" s="10" t="str">
        <f t="shared" ca="1" si="116"/>
        <v>P.3 (2)</v>
      </c>
      <c r="M41" s="10"/>
      <c r="N41" s="10" t="str">
        <f t="shared" ca="1" si="117"/>
        <v>P.3 (2)</v>
      </c>
      <c r="O41" s="10" t="str">
        <f t="shared" ca="1" si="118"/>
        <v>P.3 (2)</v>
      </c>
      <c r="P41" s="10"/>
      <c r="Q41" s="10" t="str">
        <f t="shared" ca="1" si="119"/>
        <v>P.3 (2)</v>
      </c>
      <c r="R41" s="10" t="str">
        <f t="shared" ca="1" si="120"/>
        <v>P.3 (2)</v>
      </c>
      <c r="S41" s="10"/>
      <c r="T41" s="10" t="str">
        <f t="shared" ca="1" si="121"/>
        <v>P.3 (2)</v>
      </c>
      <c r="U41" s="10" t="str">
        <f t="shared" ca="1" si="122"/>
        <v>P.3 (2)</v>
      </c>
      <c r="V41" s="20"/>
      <c r="W41" s="697"/>
      <c r="X41" s="31">
        <f ca="1">Horarios!C41</f>
        <v>46198.916666666664</v>
      </c>
      <c r="Y41" s="32">
        <f ca="1">Horarios!C41</f>
        <v>46198.916666666664</v>
      </c>
      <c r="Z41" s="33" t="str">
        <f>$Z$8</f>
        <v>J3</v>
      </c>
      <c r="AA41" s="34" t="str">
        <f ca="1">A38</f>
        <v>Curazao</v>
      </c>
      <c r="AB41" s="59" t="str">
        <f ca="1">+INDEX(Equipos!$L$2:$L$49,MATCH(WORLDCUP!AA41,Equipos!$K$2:$K$49,0))</f>
        <v>🇨🇼</v>
      </c>
      <c r="AC41" s="60">
        <v>0</v>
      </c>
      <c r="AD41" s="61">
        <v>0</v>
      </c>
      <c r="AE41" s="62" t="str">
        <f ca="1">+INDEX(Equipos!$L$2:$L$49,MATCH(WORLDCUP!AF41,Equipos!$K$2:$K$49,0))</f>
        <v>🇨🇮</v>
      </c>
      <c r="AF41" s="36" t="str">
        <f ca="1">A39</f>
        <v>Costa de Marfil</v>
      </c>
      <c r="AG41" s="335">
        <f t="shared" si="123"/>
        <v>1</v>
      </c>
      <c r="AH41" s="204">
        <v>56</v>
      </c>
      <c r="AI41" s="190" t="str">
        <f t="shared" si="127"/>
        <v>4E</v>
      </c>
      <c r="AJ41" s="49">
        <v>4</v>
      </c>
      <c r="AK41" s="51" t="str">
        <f ca="1">+INDEX(Equipos!$L$2:$L$49,MATCH(WORLDCUP!AL41,Equipos!$K$2:$K$49,0))</f>
        <v>🇨🇮</v>
      </c>
      <c r="AL41" s="51" t="str">
        <f ca="1">IFERROR(INDEX($BD$6:$BD$53,MATCH(AI41,$BN$6:$BN$53,0)),"")</f>
        <v>Costa de Marfil</v>
      </c>
      <c r="AM41" s="52">
        <f t="shared" ca="1" si="126"/>
        <v>1</v>
      </c>
      <c r="AN41" s="53">
        <f t="shared" ca="1" si="126"/>
        <v>3</v>
      </c>
      <c r="AO41" s="53">
        <f t="shared" ca="1" si="126"/>
        <v>0</v>
      </c>
      <c r="AP41" s="53">
        <f t="shared" ca="1" si="126"/>
        <v>1</v>
      </c>
      <c r="AQ41" s="53">
        <f t="shared" ca="1" si="126"/>
        <v>2</v>
      </c>
      <c r="AR41" s="53">
        <f t="shared" ca="1" si="126"/>
        <v>0</v>
      </c>
      <c r="AS41" s="53">
        <f t="shared" ca="1" si="126"/>
        <v>5</v>
      </c>
      <c r="AT41" s="54">
        <f t="shared" ca="1" si="126"/>
        <v>-5</v>
      </c>
      <c r="AU41" s="342">
        <f ca="1">INDEX($DJ$6:$DJ$53,MATCH(AI41,$DN$6:$DN$53,0))</f>
        <v>2</v>
      </c>
      <c r="AV41" s="191" t="str">
        <f ca="1">INDEX($BD$6:$BD$53,MATCH(AI41,$BM$6:$BM$53,0))</f>
        <v>Costa de Marfil</v>
      </c>
      <c r="AW41" s="219"/>
      <c r="AX41" s="179"/>
      <c r="AY41" s="214" t="str">
        <f ca="1">+A40</f>
        <v>Ecuador</v>
      </c>
      <c r="AZ41" s="215"/>
      <c r="BA41" s="155"/>
      <c r="BC41" s="630" t="str">
        <f ca="1">+INDEX(T_Equipos[Grupo],MATCH(WORLDCUP!BD41,T_Equipos[NombreEquipo],0))</f>
        <v>I</v>
      </c>
      <c r="BD41" s="10" t="str">
        <f ca="1">+Equipos!B37</f>
        <v>Noruega</v>
      </c>
      <c r="BE41" s="424">
        <f t="shared" ca="1" si="16"/>
        <v>4</v>
      </c>
      <c r="BF41" s="424">
        <f t="shared" ca="1" si="25"/>
        <v>3</v>
      </c>
      <c r="BG41" s="424">
        <f t="shared" ca="1" si="17"/>
        <v>1</v>
      </c>
      <c r="BH41" s="424">
        <f t="shared" ca="1" si="18"/>
        <v>1</v>
      </c>
      <c r="BI41" s="424">
        <f t="shared" ca="1" si="19"/>
        <v>1</v>
      </c>
      <c r="BJ41" s="424">
        <f t="shared" ca="1" si="20"/>
        <v>1</v>
      </c>
      <c r="BK41" s="424">
        <f t="shared" ca="1" si="21"/>
        <v>1</v>
      </c>
      <c r="BL41" s="424">
        <f t="shared" ca="1" si="26"/>
        <v>0</v>
      </c>
      <c r="BM41" s="424" t="str">
        <f t="shared" ca="1" si="22"/>
        <v>3I</v>
      </c>
      <c r="BN41" s="424" t="str">
        <f t="shared" ca="1" si="23"/>
        <v>3I</v>
      </c>
      <c r="BO41" s="630"/>
      <c r="BP41" s="631">
        <f t="shared" ca="1" si="27"/>
        <v>4</v>
      </c>
      <c r="BQ41" s="631">
        <f ca="1">COUNTIFS($BE$6:$BE$53,"&gt;"&amp;BE41,$BC$6:$BC$53,INDEX(T_Equipos[Grupo],MATCH(BD41,T_Equipos[NombreEquipo],0)))+1</f>
        <v>3</v>
      </c>
      <c r="BR41" s="631" t="str">
        <f ca="1">IF(COUNTIFS($BQ$6:$BQ$53,BQ41,$BC$6:$BC$53,INDEX(T_Equipos[Grupo],MATCH(BD41,T_Equipos[NombreEquipo],0)))=1,"-","P."&amp;BQ41&amp;" ("&amp;COUNTIFS($BQ$6:$BQ$53,BQ41,$BC$6:$BC$53,INDEX(T_Equipos[Grupo],MATCH(BD41,T_Equipos[NombreEquipo],0)))&amp;")")</f>
        <v>-</v>
      </c>
      <c r="BS41" s="632" t="str">
        <f t="shared" ca="1" si="34"/>
        <v>-</v>
      </c>
      <c r="BT41" s="632" t="str">
        <f t="shared" ca="1" si="35"/>
        <v>-</v>
      </c>
      <c r="BU41" s="632" t="str">
        <f t="shared" ca="1" si="36"/>
        <v>-</v>
      </c>
      <c r="BV41" s="632" t="str">
        <f t="shared" ca="1" si="37"/>
        <v>-</v>
      </c>
      <c r="BW41" s="632">
        <f ca="1">BQ41+COUNTIFS($BR$6:$BR$53,BR41,$BV$6:BV$53,"&gt;"&amp;BV41,$BC$6:$BC$53,INDEX(T_Equipos[Grupo],MATCH(BD41,T_Equipos[NombreEquipo],0)))</f>
        <v>3</v>
      </c>
      <c r="BX41" s="631" t="str">
        <f ca="1">IF(COUNTIFS($BW$6:$BW$53,BW41,$BC$6:$BC$53,INDEX(T_Equipos[Grupo],MATCH(BD41,T_Equipos[NombreEquipo],0)))=1,"-","P."&amp;BW41&amp;" ("&amp;COUNTIFS($BW$6:$BW$53,BW41,$BC$6:$BC$53,INDEX(T_Equipos[Grupo],MATCH(BD41,T_Equipos[NombreEquipo],0)))&amp;")")</f>
        <v>-</v>
      </c>
      <c r="BY41" s="632" t="str">
        <f t="shared" ca="1" si="38"/>
        <v>-</v>
      </c>
      <c r="BZ41" s="632" t="str">
        <f t="shared" ca="1" si="39"/>
        <v>-</v>
      </c>
      <c r="CA41" s="632" t="str">
        <f t="shared" ca="1" si="40"/>
        <v>-</v>
      </c>
      <c r="CB41" s="632">
        <f ca="1">BW41+COUNTIFS($BX$6:$BX$53,BX41,$CA$6:CA$53,"&gt;"&amp;CA41,$BC$6:$BC$53,INDEX(T_Equipos[Grupo],MATCH(BD41,T_Equipos[NombreEquipo],0)))</f>
        <v>3</v>
      </c>
      <c r="CC41" s="631" t="str">
        <f ca="1">IF(COUNTIFS($CB$6:$CB$53,CB41,$BC$6:$BC$53,INDEX(T_Equipos[Grupo],MATCH(BD41,T_Equipos[NombreEquipo],0)))=1,"-","P."&amp;CB41&amp;" ("&amp;COUNTIFS($CB$6:$CB$53,CB41,$BC$6:$BC$53,INDEX(T_Equipos[Grupo],MATCH(BD41,T_Equipos[NombreEquipo],0)))&amp;")")</f>
        <v>-</v>
      </c>
      <c r="CD41" s="632" t="str">
        <f t="shared" ca="1" si="41"/>
        <v>-</v>
      </c>
      <c r="CE41" s="632">
        <f ca="1">CB41+COUNTIFS($CC$6:$CC$53,CC41,$CD$6:CD$53,"&gt;"&amp;CD41,$BC$6:$BC$53,INDEX(T_Equipos[Grupo],MATCH(BD41,T_Equipos[NombreEquipo],0)))</f>
        <v>3</v>
      </c>
      <c r="CF41" s="631" t="str">
        <f ca="1">IF(COUNTIFS($CE$6:$CE$53,CE41,$BC$6:$BC$53,INDEX(T_Equipos[Grupo],MATCH(BD41,T_Equipos[NombreEquipo],0)))=1,"-","P."&amp;CE41&amp;" ("&amp;COUNTIFS($CE$6:$CE$53,CE41,$BC$6:$BC$53,INDEX(T_Equipos[Grupo],MATCH(BD41,T_Equipos[NombreEquipo],0)))&amp;")")</f>
        <v>-</v>
      </c>
      <c r="CG41" s="632" t="str">
        <f t="shared" ca="1" si="42"/>
        <v>-</v>
      </c>
      <c r="CH41" s="632" t="str">
        <f t="shared" ca="1" si="43"/>
        <v>-</v>
      </c>
      <c r="CI41" s="632" t="str">
        <f t="shared" ca="1" si="44"/>
        <v>-</v>
      </c>
      <c r="CJ41" s="632" t="str">
        <f t="shared" ca="1" si="45"/>
        <v>-</v>
      </c>
      <c r="CK41" s="632">
        <f ca="1">CE41+COUNTIFS($CF$6:$CF$53,CF41,$CJ$6:CJ$53,"&gt;"&amp;CJ41,$BC$6:$BC$53,INDEX(T_Equipos[Grupo],MATCH(BD41,T_Equipos[NombreEquipo],0)))</f>
        <v>3</v>
      </c>
      <c r="CL41" s="631" t="str">
        <f ca="1">IF(COUNTIFS($CK$6:$CK$53,CK41,$BC$6:$BC$53,INDEX(T_Equipos[Grupo],MATCH(BD41,T_Equipos[NombreEquipo],0)))=1,"-","P."&amp;CK41&amp;" ("&amp;COUNTIFS($CK$6:$CK$53,CK41,$BC$6:$BC$53,INDEX(T_Equipos[Grupo],MATCH(BD41,T_Equipos[NombreEquipo],0)))&amp;")")</f>
        <v>-</v>
      </c>
      <c r="CM41" s="632" t="str">
        <f t="shared" ca="1" si="46"/>
        <v>-</v>
      </c>
      <c r="CN41" s="632" t="str">
        <f t="shared" ca="1" si="47"/>
        <v>-</v>
      </c>
      <c r="CO41" s="632" t="str">
        <f t="shared" ca="1" si="48"/>
        <v>-</v>
      </c>
      <c r="CP41" s="632">
        <f ca="1">CK41+COUNTIFS($CL$6:$CL$53,CL41,$CO$6:CO$53,"&gt;"&amp;CO41,$BC$6:$BC$53,INDEX(T_Equipos[Grupo],MATCH(BD41,T_Equipos[NombreEquipo],0)))</f>
        <v>3</v>
      </c>
      <c r="CQ41" s="631" t="str">
        <f ca="1">IF(COUNTIFS($CP$6:$CP$53,CP41,$BC$6:$BC$53,INDEX(T_Equipos[Grupo],MATCH(BD41,T_Equipos[NombreEquipo],0)))=1,"-","P."&amp;CP41&amp;" ("&amp;COUNTIFS($CP$6:$CP$53,CP41,$BC$6:$BC$53,INDEX(T_Equipos[Grupo],MATCH(BD41,T_Equipos[NombreEquipo],0)))&amp;")")</f>
        <v>-</v>
      </c>
      <c r="CR41" s="632" t="str">
        <f t="shared" ca="1" si="49"/>
        <v>-</v>
      </c>
      <c r="CS41" s="632">
        <f ca="1">CP41+COUNTIFS($CQ$6:$CQ$53,CQ41,$CR$6:CR$53,"&gt;"&amp;CR41,$BC$6:$BC$53,INDEX(T_Equipos[Grupo],MATCH(BD41,T_Equipos[NombreEquipo],0)))</f>
        <v>3</v>
      </c>
      <c r="CT41" s="631" t="str">
        <f ca="1">IF(COUNTIFS($CS$6:$CS$53,CS41,$BC$6:$BC$53,INDEX(T_Equipos[Grupo],MATCH(BD41,T_Equipos[NombreEquipo],0)))=1,"-","P."&amp;CS41&amp;" ("&amp;COUNTIFS($CS$6:$CS$53,CS41,$BC$6:$BC$53,INDEX(T_Equipos[Grupo],MATCH(BD41,T_Equipos[NombreEquipo],0)))&amp;")")</f>
        <v>-</v>
      </c>
      <c r="CU41" s="631" t="str">
        <f t="shared" ca="1" si="28"/>
        <v>-</v>
      </c>
      <c r="CV41" s="631">
        <f ca="1">CS41+COUNTIFS($CT$6:$CT$53,CT41,$CU$6:CU$53,"&gt;"&amp;CU41,$BC$6:$BC$53,INDEX(T_Equipos[Grupo],MATCH(BD41,T_Equipos[NombreEquipo],0)))</f>
        <v>3</v>
      </c>
      <c r="CW41" s="631" t="str">
        <f ca="1">IF(COUNTIFS($CV$6:$CV$53,CV41,$BC$6:$BC$53,INDEX(T_Equipos[Grupo],MATCH(BD41,T_Equipos[NombreEquipo],0)))=1,"-","P."&amp;CV41&amp;" ("&amp;COUNTIFS($CV$6:$CV$53,CV41,$BC$6:$BC$53,INDEX(T_Equipos[Grupo],MATCH(BD41,T_Equipos[NombreEquipo],0)))&amp;")")</f>
        <v>-</v>
      </c>
      <c r="CX41" s="631" t="str">
        <f t="shared" ca="1" si="29"/>
        <v>-</v>
      </c>
      <c r="CY41" s="632">
        <f ca="1">CV41+COUNTIFS($CW$6:$CW$53,CW41,$CX$6:CX$53,"&gt;"&amp;CX41,$BC$6:$BC$53,INDEX(T_Equipos[Grupo],MATCH(BD41,T_Equipos[NombreEquipo],0)))</f>
        <v>3</v>
      </c>
      <c r="CZ41" s="631" t="str">
        <f ca="1">IF(COUNTIFS($CY$6:$CY$53,CY41,$BC$6:$BC$53,INDEX(T_Equipos[Grupo],MATCH(BD41,T_Equipos[NombreEquipo],0)))=1,"-","P."&amp;CY41&amp;" ("&amp;COUNTIFS($CY$6:$CY$53,CY41,$BC$6:$BC$53,INDEX(T_Equipos[Grupo],MATCH(BD41,T_Equipos[NombreEquipo],0)))&amp;")")</f>
        <v>-</v>
      </c>
      <c r="DA41" s="633" t="str">
        <f ca="1">IF(CZ41="-","-",COUNTIFS(T_Equipos[Rank],"&lt;"&amp;INDEX(T_Equipos[Rank],MATCH(BD41,T_Equipos[NombreEquipo],0)),$BC$6:$BC$53,INDEX(T_Equipos[Grupo],MATCH(BD41,T_Equipos[NombreEquipo],0)))+1)</f>
        <v>-</v>
      </c>
      <c r="DB41" s="630">
        <f ca="1">CY41+COUNTIFS($CZ$6:$CZ$53,CZ41,$DA$6:DA$53,"&lt;"&amp;DA41,$BC$6:$BC$53,INDEX(T_Equipos[Grupo],MATCH(BD41,T_Equipos[NombreEquipo],0)))</f>
        <v>3</v>
      </c>
      <c r="DC41" s="630"/>
      <c r="DD41" s="630">
        <f t="shared" ca="1" si="50"/>
        <v>3</v>
      </c>
      <c r="DE41" s="630" t="str">
        <f ca="1">IF(CZ41="-","-",COUNTIFS(DD$6:DD$53,"&lt;"&amp;DD41,$BC$6:$BC$53,INDEX(T_Equipos[Grupo],MATCH(BD41,T_Equipos[NombreEquipo],0))))</f>
        <v>-</v>
      </c>
      <c r="DF41" s="630">
        <f ca="1">CY41+COUNTIFS(CZ$6:CZ$53,CZ41,DE$6:DE$53,"&lt;"&amp;DE41,$BC$6:$BC$53,INDEX(T_Equipos[Grupo],MATCH(BD41,T_Equipos[NombreEquipo],0)))</f>
        <v>3</v>
      </c>
      <c r="DH41" s="10">
        <f t="shared" ca="1" si="51"/>
        <v>4</v>
      </c>
      <c r="DI41" s="10">
        <f t="shared" ca="1" si="24"/>
        <v>12</v>
      </c>
      <c r="DJ41" s="10">
        <f t="shared" ca="1" si="31"/>
        <v>1</v>
      </c>
      <c r="DK41" s="19" t="str">
        <f t="shared" ca="1" si="32"/>
        <v>4.1</v>
      </c>
      <c r="DL41" s="10" cm="1">
        <f t="array" aca="1" ref="DL41" ca="1">OFFSET(Horarios!$P$3,DH41-1,0,DJ41,1)</f>
        <v>4</v>
      </c>
      <c r="DN41" s="10" t="s">
        <v>694</v>
      </c>
      <c r="DO41" s="10" t="str">
        <f t="shared" ca="1" si="33"/>
        <v>PO 2: IRQ/BOL/SUR</v>
      </c>
    </row>
    <row r="42" spans="1:119" ht="15" thickBot="1">
      <c r="A42" s="643"/>
      <c r="B42" s="643"/>
      <c r="C42" s="643"/>
      <c r="D42" s="10"/>
      <c r="E42" s="10"/>
      <c r="F42" s="10"/>
      <c r="G42" s="10"/>
      <c r="H42" s="10"/>
      <c r="I42" s="10"/>
      <c r="J42" s="10"/>
      <c r="K42" s="10"/>
      <c r="L42" s="10"/>
      <c r="M42" s="10"/>
      <c r="N42" s="10"/>
      <c r="O42" s="10"/>
      <c r="P42" s="10"/>
      <c r="Q42" s="10"/>
      <c r="R42" s="10"/>
      <c r="S42" s="10"/>
      <c r="T42" s="10"/>
      <c r="U42" s="10"/>
      <c r="V42" s="20"/>
      <c r="W42" s="162"/>
      <c r="X42" s="163"/>
      <c r="Y42" s="162"/>
      <c r="Z42" s="164"/>
      <c r="AA42" s="165"/>
      <c r="AB42" s="166"/>
      <c r="AC42" s="159"/>
      <c r="AD42" s="159"/>
      <c r="AE42" s="166"/>
      <c r="AF42" s="167"/>
      <c r="AG42" s="337"/>
      <c r="AH42" s="204"/>
      <c r="AI42" s="189"/>
      <c r="AJ42" s="168"/>
      <c r="AK42" s="169"/>
      <c r="AL42" s="170"/>
      <c r="AM42" s="171"/>
      <c r="AN42" s="168"/>
      <c r="AO42" s="168"/>
      <c r="AP42" s="168"/>
      <c r="AQ42" s="168"/>
      <c r="AR42" s="168"/>
      <c r="AS42" s="168"/>
      <c r="AT42" s="168"/>
      <c r="AU42" s="342"/>
      <c r="AV42" s="198"/>
      <c r="AW42" s="220"/>
      <c r="AX42" s="179"/>
      <c r="AY42" s="162"/>
      <c r="AZ42" s="163"/>
      <c r="BA42" s="155"/>
      <c r="BC42" s="630" t="str">
        <f ca="1">+INDEX(T_Equipos[Grupo],MATCH(WORLDCUP!BD42,T_Equipos[NombreEquipo],0))</f>
        <v>J</v>
      </c>
      <c r="BD42" s="10" t="str">
        <f ca="1">+Equipos!B38</f>
        <v>Argentina</v>
      </c>
      <c r="BE42" s="424">
        <f t="shared" ca="1" si="16"/>
        <v>9</v>
      </c>
      <c r="BF42" s="424">
        <f t="shared" ca="1" si="25"/>
        <v>3</v>
      </c>
      <c r="BG42" s="424">
        <f t="shared" ca="1" si="17"/>
        <v>3</v>
      </c>
      <c r="BH42" s="424">
        <f t="shared" ca="1" si="18"/>
        <v>0</v>
      </c>
      <c r="BI42" s="424">
        <f t="shared" ca="1" si="19"/>
        <v>0</v>
      </c>
      <c r="BJ42" s="424">
        <f t="shared" ca="1" si="20"/>
        <v>5</v>
      </c>
      <c r="BK42" s="424">
        <f t="shared" ca="1" si="21"/>
        <v>1</v>
      </c>
      <c r="BL42" s="424">
        <f t="shared" ca="1" si="26"/>
        <v>4</v>
      </c>
      <c r="BM42" s="424" t="str">
        <f t="shared" ca="1" si="22"/>
        <v>1J</v>
      </c>
      <c r="BN42" s="424" t="str">
        <f t="shared" ca="1" si="23"/>
        <v>1J</v>
      </c>
      <c r="BO42" s="630"/>
      <c r="BP42" s="632">
        <f t="shared" ca="1" si="27"/>
        <v>9</v>
      </c>
      <c r="BQ42" s="631">
        <f ca="1">COUNTIFS($BE$6:$BE$53,"&gt;"&amp;BE42,$BC$6:$BC$53,INDEX(T_Equipos[Grupo],MATCH(BD42,T_Equipos[NombreEquipo],0)))+1</f>
        <v>1</v>
      </c>
      <c r="BR42" s="631" t="str">
        <f ca="1">IF(COUNTIFS($BQ$6:$BQ$53,BQ42,$BC$6:$BC$53,INDEX(T_Equipos[Grupo],MATCH(BD42,T_Equipos[NombreEquipo],0)))=1,"-","P."&amp;BQ42&amp;" ("&amp;COUNTIFS($BQ$6:$BQ$53,BQ42,$BC$6:$BC$53,INDEX(T_Equipos[Grupo],MATCH(BD42,T_Equipos[NombreEquipo],0)))&amp;")")</f>
        <v>-</v>
      </c>
      <c r="BS42" s="632" t="str">
        <f t="shared" ca="1" si="34"/>
        <v>-</v>
      </c>
      <c r="BT42" s="632" t="str">
        <f t="shared" ca="1" si="35"/>
        <v>-</v>
      </c>
      <c r="BU42" s="632" t="str">
        <f t="shared" ca="1" si="36"/>
        <v>-</v>
      </c>
      <c r="BV42" s="632" t="str">
        <f t="shared" ca="1" si="37"/>
        <v>-</v>
      </c>
      <c r="BW42" s="632">
        <f ca="1">BQ42+COUNTIFS($BR$6:$BR$53,BR42,$BV$6:BV$53,"&gt;"&amp;BV42,$BC$6:$BC$53,INDEX(T_Equipos[Grupo],MATCH(BD42,T_Equipos[NombreEquipo],0)))</f>
        <v>1</v>
      </c>
      <c r="BX42" s="631" t="str">
        <f ca="1">IF(COUNTIFS($BW$6:$BW$53,BW42,$BC$6:$BC$53,INDEX(T_Equipos[Grupo],MATCH(BD42,T_Equipos[NombreEquipo],0)))=1,"-","P."&amp;BW42&amp;" ("&amp;COUNTIFS($BW$6:$BW$53,BW42,$BC$6:$BC$53,INDEX(T_Equipos[Grupo],MATCH(BD42,T_Equipos[NombreEquipo],0)))&amp;")")</f>
        <v>-</v>
      </c>
      <c r="BY42" s="632" t="str">
        <f t="shared" ca="1" si="38"/>
        <v>-</v>
      </c>
      <c r="BZ42" s="632" t="str">
        <f t="shared" ca="1" si="39"/>
        <v>-</v>
      </c>
      <c r="CA42" s="632" t="str">
        <f t="shared" ca="1" si="40"/>
        <v>-</v>
      </c>
      <c r="CB42" s="632">
        <f ca="1">BW42+COUNTIFS($BX$6:$BX$53,BX42,$CA$6:CA$53,"&gt;"&amp;CA42,$BC$6:$BC$53,INDEX(T_Equipos[Grupo],MATCH(BD42,T_Equipos[NombreEquipo],0)))</f>
        <v>1</v>
      </c>
      <c r="CC42" s="631" t="str">
        <f ca="1">IF(COUNTIFS($CB$6:$CB$53,CB42,$BC$6:$BC$53,INDEX(T_Equipos[Grupo],MATCH(BD42,T_Equipos[NombreEquipo],0)))=1,"-","P."&amp;CB42&amp;" ("&amp;COUNTIFS($CB$6:$CB$53,CB42,$BC$6:$BC$53,INDEX(T_Equipos[Grupo],MATCH(BD42,T_Equipos[NombreEquipo],0)))&amp;")")</f>
        <v>-</v>
      </c>
      <c r="CD42" s="632" t="str">
        <f t="shared" ca="1" si="41"/>
        <v>-</v>
      </c>
      <c r="CE42" s="632">
        <f ca="1">CB42+COUNTIFS($CC$6:$CC$53,CC42,$CD$6:CD$53,"&gt;"&amp;CD42,$BC$6:$BC$53,INDEX(T_Equipos[Grupo],MATCH(BD42,T_Equipos[NombreEquipo],0)))</f>
        <v>1</v>
      </c>
      <c r="CF42" s="631" t="str">
        <f ca="1">IF(COUNTIFS($CE$6:$CE$53,CE42,$BC$6:$BC$53,INDEX(T_Equipos[Grupo],MATCH(BD42,T_Equipos[NombreEquipo],0)))=1,"-","P."&amp;CE42&amp;" ("&amp;COUNTIFS($CE$6:$CE$53,CE42,$BC$6:$BC$53,INDEX(T_Equipos[Grupo],MATCH(BD42,T_Equipos[NombreEquipo],0)))&amp;")")</f>
        <v>-</v>
      </c>
      <c r="CG42" s="632" t="str">
        <f t="shared" ca="1" si="42"/>
        <v>-</v>
      </c>
      <c r="CH42" s="632" t="str">
        <f t="shared" ca="1" si="43"/>
        <v>-</v>
      </c>
      <c r="CI42" s="632" t="str">
        <f t="shared" ca="1" si="44"/>
        <v>-</v>
      </c>
      <c r="CJ42" s="632" t="str">
        <f t="shared" ca="1" si="45"/>
        <v>-</v>
      </c>
      <c r="CK42" s="632">
        <f ca="1">CE42+COUNTIFS($CF$6:$CF$53,CF42,$CJ$6:CJ$53,"&gt;"&amp;CJ42,$BC$6:$BC$53,INDEX(T_Equipos[Grupo],MATCH(BD42,T_Equipos[NombreEquipo],0)))</f>
        <v>1</v>
      </c>
      <c r="CL42" s="631" t="str">
        <f ca="1">IF(COUNTIFS($CK$6:$CK$53,CK42,$BC$6:$BC$53,INDEX(T_Equipos[Grupo],MATCH(BD42,T_Equipos[NombreEquipo],0)))=1,"-","P."&amp;CK42&amp;" ("&amp;COUNTIFS($CK$6:$CK$53,CK42,$BC$6:$BC$53,INDEX(T_Equipos[Grupo],MATCH(BD42,T_Equipos[NombreEquipo],0)))&amp;")")</f>
        <v>-</v>
      </c>
      <c r="CM42" s="632" t="str">
        <f t="shared" ca="1" si="46"/>
        <v>-</v>
      </c>
      <c r="CN42" s="632" t="str">
        <f t="shared" ca="1" si="47"/>
        <v>-</v>
      </c>
      <c r="CO42" s="632" t="str">
        <f t="shared" ca="1" si="48"/>
        <v>-</v>
      </c>
      <c r="CP42" s="632">
        <f ca="1">CK42+COUNTIFS($CL$6:$CL$53,CL42,$CO$6:CO$53,"&gt;"&amp;CO42,$BC$6:$BC$53,INDEX(T_Equipos[Grupo],MATCH(BD42,T_Equipos[NombreEquipo],0)))</f>
        <v>1</v>
      </c>
      <c r="CQ42" s="631" t="str">
        <f ca="1">IF(COUNTIFS($CP$6:$CP$53,CP42,$BC$6:$BC$53,INDEX(T_Equipos[Grupo],MATCH(BD42,T_Equipos[NombreEquipo],0)))=1,"-","P."&amp;CP42&amp;" ("&amp;COUNTIFS($CP$6:$CP$53,CP42,$BC$6:$BC$53,INDEX(T_Equipos[Grupo],MATCH(BD42,T_Equipos[NombreEquipo],0)))&amp;")")</f>
        <v>-</v>
      </c>
      <c r="CR42" s="632" t="str">
        <f t="shared" ca="1" si="49"/>
        <v>-</v>
      </c>
      <c r="CS42" s="632">
        <f ca="1">CP42+COUNTIFS($CQ$6:$CQ$53,CQ42,$CR$6:CR$53,"&gt;"&amp;CR42,$BC$6:$BC$53,INDEX(T_Equipos[Grupo],MATCH(BD42,T_Equipos[NombreEquipo],0)))</f>
        <v>1</v>
      </c>
      <c r="CT42" s="631" t="str">
        <f ca="1">IF(COUNTIFS($CS$6:$CS$53,CS42,$BC$6:$BC$53,INDEX(T_Equipos[Grupo],MATCH(BD42,T_Equipos[NombreEquipo],0)))=1,"-","P."&amp;CS42&amp;" ("&amp;COUNTIFS($CS$6:$CS$53,CS42,$BC$6:$BC$53,INDEX(T_Equipos[Grupo],MATCH(BD42,T_Equipos[NombreEquipo],0)))&amp;")")</f>
        <v>-</v>
      </c>
      <c r="CU42" s="631" t="str">
        <f t="shared" ca="1" si="28"/>
        <v>-</v>
      </c>
      <c r="CV42" s="631">
        <f ca="1">CS42+COUNTIFS($CT$6:$CT$53,CT42,$CU$6:CU$53,"&gt;"&amp;CU42,$BC$6:$BC$53,INDEX(T_Equipos[Grupo],MATCH(BD42,T_Equipos[NombreEquipo],0)))</f>
        <v>1</v>
      </c>
      <c r="CW42" s="631" t="str">
        <f ca="1">IF(COUNTIFS($CV$6:$CV$53,CV42,$BC$6:$BC$53,INDEX(T_Equipos[Grupo],MATCH(BD42,T_Equipos[NombreEquipo],0)))=1,"-","P."&amp;CV42&amp;" ("&amp;COUNTIFS($CV$6:$CV$53,CV42,$BC$6:$BC$53,INDEX(T_Equipos[Grupo],MATCH(BD42,T_Equipos[NombreEquipo],0)))&amp;")")</f>
        <v>-</v>
      </c>
      <c r="CX42" s="631" t="str">
        <f t="shared" ca="1" si="29"/>
        <v>-</v>
      </c>
      <c r="CY42" s="632">
        <f ca="1">CV42+COUNTIFS($CW$6:$CW$53,CW42,$CX$6:CX$53,"&gt;"&amp;CX42,$BC$6:$BC$53,INDEX(T_Equipos[Grupo],MATCH(BD42,T_Equipos[NombreEquipo],0)))</f>
        <v>1</v>
      </c>
      <c r="CZ42" s="631" t="str">
        <f ca="1">IF(COUNTIFS($CY$6:$CY$53,CY42,$BC$6:$BC$53,INDEX(T_Equipos[Grupo],MATCH(BD42,T_Equipos[NombreEquipo],0)))=1,"-","P."&amp;CY42&amp;" ("&amp;COUNTIFS($CY$6:$CY$53,CY42,$BC$6:$BC$53,INDEX(T_Equipos[Grupo],MATCH(BD42,T_Equipos[NombreEquipo],0)))&amp;")")</f>
        <v>-</v>
      </c>
      <c r="DA42" s="633" t="str">
        <f ca="1">IF(CZ42="-","-",COUNTIFS(T_Equipos[Rank],"&lt;"&amp;INDEX(T_Equipos[Rank],MATCH(BD42,T_Equipos[NombreEquipo],0)),$BC$6:$BC$53,INDEX(T_Equipos[Grupo],MATCH(BD42,T_Equipos[NombreEquipo],0)))+1)</f>
        <v>-</v>
      </c>
      <c r="DB42" s="630">
        <f ca="1">CY42+COUNTIFS($CZ$6:$CZ$53,CZ42,$DA$6:DA$53,"&lt;"&amp;DA42,$BC$6:$BC$53,INDEX(T_Equipos[Grupo],MATCH(BD42,T_Equipos[NombreEquipo],0)))</f>
        <v>1</v>
      </c>
      <c r="DC42" s="630"/>
      <c r="DD42" s="630">
        <f t="shared" ca="1" si="50"/>
        <v>1</v>
      </c>
      <c r="DE42" s="630" t="str">
        <f ca="1">IF(CZ42="-","-",COUNTIFS(DD$6:DD$53,"&lt;"&amp;DD42,$BC$6:$BC$53,INDEX(T_Equipos[Grupo],MATCH(BD42,T_Equipos[NombreEquipo],0))))</f>
        <v>-</v>
      </c>
      <c r="DF42" s="630">
        <f ca="1">CY42+COUNTIFS(CZ$6:CZ$53,CZ42,DE$6:DE$53,"&lt;"&amp;DE42,$BC$6:$BC$53,INDEX(T_Equipos[Grupo],MATCH(BD42,T_Equipos[NombreEquipo],0)))</f>
        <v>1</v>
      </c>
      <c r="DH42" s="10">
        <f t="shared" ca="1" si="51"/>
        <v>1</v>
      </c>
      <c r="DI42" s="10">
        <f t="shared" ca="1" si="24"/>
        <v>12</v>
      </c>
      <c r="DJ42" s="10">
        <f t="shared" ca="1" si="31"/>
        <v>1</v>
      </c>
      <c r="DK42" s="19" t="str">
        <f t="shared" ca="1" si="32"/>
        <v>1.1</v>
      </c>
      <c r="DL42" s="10" cm="1">
        <f t="array" aca="1" ref="DL42" ca="1">OFFSET(Horarios!$P$3,DH42-1,0,DJ42,1)</f>
        <v>1</v>
      </c>
      <c r="DN42" s="10" t="s">
        <v>695</v>
      </c>
      <c r="DO42" s="10" t="str">
        <f t="shared" ca="1" si="33"/>
        <v>Argentina</v>
      </c>
    </row>
    <row r="43" spans="1:119" ht="15" thickBot="1">
      <c r="A43" s="643"/>
      <c r="B43" s="11"/>
      <c r="C43" s="643"/>
      <c r="D43" s="643"/>
      <c r="E43" s="643"/>
      <c r="F43" s="643"/>
      <c r="G43" s="643"/>
      <c r="H43" s="643"/>
      <c r="I43" s="643"/>
      <c r="J43" s="643"/>
      <c r="K43" s="643"/>
      <c r="L43" s="643"/>
      <c r="M43" s="643"/>
      <c r="N43" s="10"/>
      <c r="O43" s="10"/>
      <c r="P43" s="10"/>
      <c r="Q43" s="10"/>
      <c r="R43" s="10"/>
      <c r="S43" s="10"/>
      <c r="T43" s="10"/>
      <c r="U43" s="10"/>
      <c r="V43" s="20"/>
      <c r="W43" s="9"/>
      <c r="X43" s="77" t="str">
        <f>X27</f>
        <v>Fecha</v>
      </c>
      <c r="Y43" s="77" t="str">
        <f>Y27</f>
        <v>Hora</v>
      </c>
      <c r="Z43" s="63" t="str">
        <f t="shared" ref="Z43:AA43" si="128">Z27</f>
        <v>Jor.</v>
      </c>
      <c r="AA43" s="65" t="str">
        <f t="shared" si="128"/>
        <v>Casa</v>
      </c>
      <c r="AB43" s="64"/>
      <c r="AC43" s="63" t="str">
        <f>AC3</f>
        <v>Gol</v>
      </c>
      <c r="AD43" s="63" t="str">
        <f>AD3</f>
        <v>Gol</v>
      </c>
      <c r="AE43" s="64"/>
      <c r="AF43" s="66" t="str">
        <f t="shared" ref="AF43" si="129">AF27</f>
        <v>Fuera</v>
      </c>
      <c r="AG43" s="336"/>
      <c r="AH43" s="204"/>
      <c r="AI43" s="188"/>
      <c r="AJ43" s="170"/>
      <c r="AK43" s="172"/>
      <c r="AL43" s="170"/>
      <c r="AM43" s="170"/>
      <c r="AN43" s="170"/>
      <c r="AO43" s="170"/>
      <c r="AP43" s="170"/>
      <c r="AQ43" s="170"/>
      <c r="AR43" s="170"/>
      <c r="AS43" s="170"/>
      <c r="AT43" s="170"/>
      <c r="AU43" s="343"/>
      <c r="AV43" s="197"/>
      <c r="AW43" s="221"/>
      <c r="AX43" s="180"/>
      <c r="AY43" s="162"/>
      <c r="AZ43" s="163"/>
      <c r="BA43" s="155"/>
      <c r="BC43" s="630" t="str">
        <f ca="1">+INDEX(T_Equipos[Grupo],MATCH(WORLDCUP!BD43,T_Equipos[NombreEquipo],0))</f>
        <v>J</v>
      </c>
      <c r="BD43" s="10" t="str">
        <f ca="1">+Equipos!B39</f>
        <v>Argelia</v>
      </c>
      <c r="BE43" s="424">
        <f t="shared" ca="1" si="16"/>
        <v>1</v>
      </c>
      <c r="BF43" s="424">
        <f t="shared" ca="1" si="25"/>
        <v>3</v>
      </c>
      <c r="BG43" s="424">
        <f t="shared" ca="1" si="17"/>
        <v>0</v>
      </c>
      <c r="BH43" s="424">
        <f t="shared" ca="1" si="18"/>
        <v>1</v>
      </c>
      <c r="BI43" s="424">
        <f t="shared" ca="1" si="19"/>
        <v>2</v>
      </c>
      <c r="BJ43" s="424">
        <f t="shared" ca="1" si="20"/>
        <v>1</v>
      </c>
      <c r="BK43" s="424">
        <f t="shared" ca="1" si="21"/>
        <v>3</v>
      </c>
      <c r="BL43" s="424">
        <f t="shared" ca="1" si="26"/>
        <v>-2</v>
      </c>
      <c r="BM43" s="424" t="str">
        <f t="shared" ca="1" si="22"/>
        <v>3J</v>
      </c>
      <c r="BN43" s="424" t="str">
        <f t="shared" ca="1" si="23"/>
        <v>3J</v>
      </c>
      <c r="BO43" s="630"/>
      <c r="BP43" s="632">
        <f t="shared" ca="1" si="27"/>
        <v>1</v>
      </c>
      <c r="BQ43" s="631">
        <f ca="1">COUNTIFS($BE$6:$BE$53,"&gt;"&amp;BE43,$BC$6:$BC$53,INDEX(T_Equipos[Grupo],MATCH(BD43,T_Equipos[NombreEquipo],0)))+1</f>
        <v>3</v>
      </c>
      <c r="BR43" s="631" t="str">
        <f ca="1">IF(COUNTIFS($BQ$6:$BQ$53,BQ43,$BC$6:$BC$53,INDEX(T_Equipos[Grupo],MATCH(BD43,T_Equipos[NombreEquipo],0)))=1,"-","P."&amp;BQ43&amp;" ("&amp;COUNTIFS($BQ$6:$BQ$53,BQ43,$BC$6:$BC$53,INDEX(T_Equipos[Grupo],MATCH(BD43,T_Equipos[NombreEquipo],0)))&amp;")")</f>
        <v>P.3 (2)</v>
      </c>
      <c r="BS43" s="632">
        <f t="shared" ca="1" si="34"/>
        <v>0</v>
      </c>
      <c r="BT43" s="632">
        <f t="shared" ca="1" si="35"/>
        <v>1</v>
      </c>
      <c r="BU43" s="632">
        <f t="shared" ca="1" si="36"/>
        <v>0</v>
      </c>
      <c r="BV43" s="632">
        <f t="shared" ca="1" si="37"/>
        <v>1</v>
      </c>
      <c r="BW43" s="632">
        <f ca="1">BQ43+COUNTIFS($BR$6:$BR$53,BR43,$BV$6:BV$53,"&gt;"&amp;BV43,$BC$6:$BC$53,INDEX(T_Equipos[Grupo],MATCH(BD43,T_Equipos[NombreEquipo],0)))</f>
        <v>3</v>
      </c>
      <c r="BX43" s="631" t="str">
        <f ca="1">IF(COUNTIFS($BW$6:$BW$53,BW43,$BC$6:$BC$53,INDEX(T_Equipos[Grupo],MATCH(BD43,T_Equipos[NombreEquipo],0)))=1,"-","P."&amp;BW43&amp;" ("&amp;COUNTIFS($BW$6:$BW$53,BW43,$BC$6:$BC$53,INDEX(T_Equipos[Grupo],MATCH(BD43,T_Equipos[NombreEquipo],0)))&amp;")")</f>
        <v>P.3 (2)</v>
      </c>
      <c r="BY43" s="632">
        <f t="shared" ca="1" si="38"/>
        <v>0</v>
      </c>
      <c r="BZ43" s="632">
        <f t="shared" ca="1" si="39"/>
        <v>0</v>
      </c>
      <c r="CA43" s="632">
        <f t="shared" ca="1" si="40"/>
        <v>0</v>
      </c>
      <c r="CB43" s="632">
        <f ca="1">BW43+COUNTIFS($BX$6:$BX$53,BX43,$CA$6:CA$53,"&gt;"&amp;CA43,$BC$6:$BC$53,INDEX(T_Equipos[Grupo],MATCH(BD43,T_Equipos[NombreEquipo],0)))</f>
        <v>3</v>
      </c>
      <c r="CC43" s="631" t="str">
        <f ca="1">IF(COUNTIFS($CB$6:$CB$53,CB43,$BC$6:$BC$53,INDEX(T_Equipos[Grupo],MATCH(BD43,T_Equipos[NombreEquipo],0)))=1,"-","P."&amp;CB43&amp;" ("&amp;COUNTIFS($CB$6:$CB$53,CB43,$BC$6:$BC$53,INDEX(T_Equipos[Grupo],MATCH(BD43,T_Equipos[NombreEquipo],0)))&amp;")")</f>
        <v>P.3 (2)</v>
      </c>
      <c r="CD43" s="632">
        <f t="shared" ca="1" si="41"/>
        <v>0</v>
      </c>
      <c r="CE43" s="632">
        <f ca="1">CB43+COUNTIFS($CC$6:$CC$53,CC43,$CD$6:CD$53,"&gt;"&amp;CD43,$BC$6:$BC$53,INDEX(T_Equipos[Grupo],MATCH(BD43,T_Equipos[NombreEquipo],0)))</f>
        <v>3</v>
      </c>
      <c r="CF43" s="631" t="str">
        <f ca="1">IF(COUNTIFS($CE$6:$CE$53,CE43,$BC$6:$BC$53,INDEX(T_Equipos[Grupo],MATCH(BD43,T_Equipos[NombreEquipo],0)))=1,"-","P."&amp;CE43&amp;" ("&amp;COUNTIFS($CE$6:$CE$53,CE43,$BC$6:$BC$53,INDEX(T_Equipos[Grupo],MATCH(BD43,T_Equipos[NombreEquipo],0)))&amp;")")</f>
        <v>P.3 (2)</v>
      </c>
      <c r="CG43" s="632">
        <f t="shared" ca="1" si="42"/>
        <v>0</v>
      </c>
      <c r="CH43" s="632">
        <f t="shared" ca="1" si="43"/>
        <v>1</v>
      </c>
      <c r="CI43" s="632">
        <f t="shared" ca="1" si="44"/>
        <v>0</v>
      </c>
      <c r="CJ43" s="632">
        <f t="shared" ca="1" si="45"/>
        <v>1</v>
      </c>
      <c r="CK43" s="632">
        <f ca="1">CE43+COUNTIFS($CF$6:$CF$53,CF43,$CJ$6:CJ$53,"&gt;"&amp;CJ43,$BC$6:$BC$53,INDEX(T_Equipos[Grupo],MATCH(BD43,T_Equipos[NombreEquipo],0)))</f>
        <v>3</v>
      </c>
      <c r="CL43" s="631" t="str">
        <f ca="1">IF(COUNTIFS($CK$6:$CK$53,CK43,$BC$6:$BC$53,INDEX(T_Equipos[Grupo],MATCH(BD43,T_Equipos[NombreEquipo],0)))=1,"-","P."&amp;CK43&amp;" ("&amp;COUNTIFS($CK$6:$CK$53,CK43,$BC$6:$BC$53,INDEX(T_Equipos[Grupo],MATCH(BD43,T_Equipos[NombreEquipo],0)))&amp;")")</f>
        <v>P.3 (2)</v>
      </c>
      <c r="CM43" s="632">
        <f t="shared" ca="1" si="46"/>
        <v>0</v>
      </c>
      <c r="CN43" s="632">
        <f t="shared" ca="1" si="47"/>
        <v>0</v>
      </c>
      <c r="CO43" s="632">
        <f t="shared" ca="1" si="48"/>
        <v>0</v>
      </c>
      <c r="CP43" s="632">
        <f ca="1">CK43+COUNTIFS($CL$6:$CL$53,CL43,$CO$6:CO$53,"&gt;"&amp;CO43,$BC$6:$BC$53,INDEX(T_Equipos[Grupo],MATCH(BD43,T_Equipos[NombreEquipo],0)))</f>
        <v>3</v>
      </c>
      <c r="CQ43" s="631" t="str">
        <f ca="1">IF(COUNTIFS($CP$6:$CP$53,CP43,$BC$6:$BC$53,INDEX(T_Equipos[Grupo],MATCH(BD43,T_Equipos[NombreEquipo],0)))=1,"-","P."&amp;CP43&amp;" ("&amp;COUNTIFS($CP$6:$CP$53,CP43,$BC$6:$BC$53,INDEX(T_Equipos[Grupo],MATCH(BD43,T_Equipos[NombreEquipo],0)))&amp;")")</f>
        <v>P.3 (2)</v>
      </c>
      <c r="CR43" s="632">
        <f t="shared" ca="1" si="49"/>
        <v>0</v>
      </c>
      <c r="CS43" s="632">
        <f ca="1">CP43+COUNTIFS($CQ$6:$CQ$53,CQ43,$CR$6:CR$53,"&gt;"&amp;CR43,$BC$6:$BC$53,INDEX(T_Equipos[Grupo],MATCH(BD43,T_Equipos[NombreEquipo],0)))</f>
        <v>3</v>
      </c>
      <c r="CT43" s="631" t="str">
        <f ca="1">IF(COUNTIFS($CS$6:$CS$53,CS43,$BC$6:$BC$53,INDEX(T_Equipos[Grupo],MATCH(BD43,T_Equipos[NombreEquipo],0)))=1,"-","P."&amp;CS43&amp;" ("&amp;COUNTIFS($CS$6:$CS$53,CS43,$BC$6:$BC$53,INDEX(T_Equipos[Grupo],MATCH(BD43,T_Equipos[NombreEquipo],0)))&amp;")")</f>
        <v>P.3 (2)</v>
      </c>
      <c r="CU43" s="631">
        <f t="shared" ca="1" si="28"/>
        <v>-2</v>
      </c>
      <c r="CV43" s="631">
        <f ca="1">CS43+COUNTIFS($CT$6:$CT$53,CT43,$CU$6:CU$53,"&gt;"&amp;CU43,$BC$6:$BC$53,INDEX(T_Equipos[Grupo],MATCH(BD43,T_Equipos[NombreEquipo],0)))</f>
        <v>3</v>
      </c>
      <c r="CW43" s="631" t="str">
        <f ca="1">IF(COUNTIFS($CV$6:$CV$53,CV43,$BC$6:$BC$53,INDEX(T_Equipos[Grupo],MATCH(BD43,T_Equipos[NombreEquipo],0)))=1,"-","P."&amp;CV43&amp;" ("&amp;COUNTIFS($CV$6:$CV$53,CV43,$BC$6:$BC$53,INDEX(T_Equipos[Grupo],MATCH(BD43,T_Equipos[NombreEquipo],0)))&amp;")")</f>
        <v>-</v>
      </c>
      <c r="CX43" s="631" t="str">
        <f t="shared" ca="1" si="29"/>
        <v>-</v>
      </c>
      <c r="CY43" s="632">
        <f ca="1">CV43+COUNTIFS($CW$6:$CW$53,CW43,$CX$6:CX$53,"&gt;"&amp;CX43,$BC$6:$BC$53,INDEX(T_Equipos[Grupo],MATCH(BD43,T_Equipos[NombreEquipo],0)))</f>
        <v>3</v>
      </c>
      <c r="CZ43" s="631" t="str">
        <f ca="1">IF(COUNTIFS($CY$6:$CY$53,CY43,$BC$6:$BC$53,INDEX(T_Equipos[Grupo],MATCH(BD43,T_Equipos[NombreEquipo],0)))=1,"-","P."&amp;CY43&amp;" ("&amp;COUNTIFS($CY$6:$CY$53,CY43,$BC$6:$BC$53,INDEX(T_Equipos[Grupo],MATCH(BD43,T_Equipos[NombreEquipo],0)))&amp;")")</f>
        <v>-</v>
      </c>
      <c r="DA43" s="633" t="str">
        <f ca="1">IF(CZ43="-","-",COUNTIFS(T_Equipos[Rank],"&lt;"&amp;INDEX(T_Equipos[Rank],MATCH(BD43,T_Equipos[NombreEquipo],0)),$BC$6:$BC$53,INDEX(T_Equipos[Grupo],MATCH(BD43,T_Equipos[NombreEquipo],0)))+1)</f>
        <v>-</v>
      </c>
      <c r="DB43" s="630">
        <f ca="1">CY43+COUNTIFS($CZ$6:$CZ$53,CZ43,$DA$6:DA$53,"&lt;"&amp;DA43,$BC$6:$BC$53,INDEX(T_Equipos[Grupo],MATCH(BD43,T_Equipos[NombreEquipo],0)))</f>
        <v>3</v>
      </c>
      <c r="DC43" s="630"/>
      <c r="DD43" s="630">
        <f t="shared" ca="1" si="50"/>
        <v>3</v>
      </c>
      <c r="DE43" s="630" t="str">
        <f ca="1">IF(CZ43="-","-",COUNTIFS(DD$6:DD$53,"&lt;"&amp;DD43,$BC$6:$BC$53,INDEX(T_Equipos[Grupo],MATCH(BD43,T_Equipos[NombreEquipo],0))))</f>
        <v>-</v>
      </c>
      <c r="DF43" s="630">
        <f ca="1">CY43+COUNTIFS(CZ$6:CZ$53,CZ43,DE$6:DE$53,"&lt;"&amp;DE43,$BC$6:$BC$53,INDEX(T_Equipos[Grupo],MATCH(BD43,T_Equipos[NombreEquipo],0)))</f>
        <v>3</v>
      </c>
      <c r="DH43" s="10">
        <f t="shared" ca="1" si="51"/>
        <v>2</v>
      </c>
      <c r="DI43" s="10">
        <f t="shared" ca="1" si="24"/>
        <v>12</v>
      </c>
      <c r="DJ43" s="10">
        <f t="shared" ca="1" si="31"/>
        <v>1</v>
      </c>
      <c r="DK43" s="19" t="str">
        <f t="shared" ca="1" si="32"/>
        <v>2.1</v>
      </c>
      <c r="DL43" s="10" cm="1">
        <f t="array" aca="1" ref="DL43" ca="1">OFFSET(Horarios!$P$3,DH43-1,0,DJ43,1)</f>
        <v>2</v>
      </c>
      <c r="DN43" s="10" t="s">
        <v>696</v>
      </c>
      <c r="DO43" s="10" t="str">
        <f t="shared" ca="1" si="33"/>
        <v>Austria</v>
      </c>
    </row>
    <row r="44" spans="1:119" ht="16.05" customHeight="1" thickBot="1">
      <c r="A44" s="645" t="s">
        <v>32</v>
      </c>
      <c r="B44" s="11" t="s">
        <v>4</v>
      </c>
      <c r="C44" s="441">
        <f>COUNTIF(Equipos!$C$2:$C$49,WORLDCUP!B44)</f>
        <v>4</v>
      </c>
      <c r="D44" s="10" t="str">
        <f t="shared" ref="D44:D49" si="130">IF(OR(AC44="",AD44=""),"Pendiente",IF(AC44&gt;AD44,"Local",IF(AC44&lt;AD44,"Visitante","Empate")))</f>
        <v>Local</v>
      </c>
      <c r="E44" s="10" t="str">
        <f t="shared" ref="E44:E49" ca="1" si="131">IF(D44="Pendiente","-",INDEX($BR$6:$BR$53,MATCH($AA44,$BD$6:$BD$53,0)))</f>
        <v>P.1 (2)</v>
      </c>
      <c r="F44" s="10" t="str">
        <f t="shared" ref="F44:F49" ca="1" si="132">IF(D44="Pendiente","-",INDEX($BR$6:$BR$53,MATCH($AF44,$BD$6:$BD$53,0)))</f>
        <v>P.3 (2)</v>
      </c>
      <c r="G44" s="10"/>
      <c r="H44" s="10" t="str">
        <f t="shared" ref="H44:H49" ca="1" si="133">IF(D44="Pendiente","-",INDEX($BX$6:$BX$53,MATCH($AA44,$BD$6:$BD$53,0)))</f>
        <v>-</v>
      </c>
      <c r="I44" s="10" t="str">
        <f t="shared" ref="I44:I49" ca="1" si="134">IF(D44="Pendiente","-",INDEX($BX$6:$BX$53,MATCH($AF44,$BD$6:$BD$53,0)))</f>
        <v>-</v>
      </c>
      <c r="J44" s="10"/>
      <c r="K44" s="10" t="str">
        <f t="shared" ref="K44:K49" ca="1" si="135">IF(D44="Pendiente","-",INDEX($CC$6:$CC$53,MATCH($AA44,$BD$6:$BD$53,0)))</f>
        <v>-</v>
      </c>
      <c r="L44" s="10" t="str">
        <f t="shared" ref="L44:L49" ca="1" si="136">IF(D44="Pendiente","-",INDEX($CC$6:$CC$53,MATCH($AF44,$BD$6:$BD$53,0)))</f>
        <v>-</v>
      </c>
      <c r="M44" s="10"/>
      <c r="N44" s="10" t="str">
        <f t="shared" ref="N44:N49" ca="1" si="137">IF(D44="Pendiente","-",INDEX($CF$6:$CF$53,MATCH($AA44,$BD$6:$BD$53,0)))</f>
        <v>-</v>
      </c>
      <c r="O44" s="10" t="str">
        <f t="shared" ref="O44:O49" ca="1" si="138">IF(D44="Pendiente","-",INDEX($CF$6:$CF$53,MATCH($AF44,$BD$6:$BD$53,0)))</f>
        <v>-</v>
      </c>
      <c r="P44" s="10"/>
      <c r="Q44" s="10" t="str">
        <f t="shared" ref="Q44:Q49" ca="1" si="139">IF(D44="Pendiente","-",INDEX($CL$6:$CL$53,MATCH($AA44,$BD$6:$BD$53,0)))</f>
        <v>-</v>
      </c>
      <c r="R44" s="10" t="str">
        <f t="shared" ref="R44:R49" ca="1" si="140">IF(D44="Pendiente","-",INDEX($CL$6:$CL$53,MATCH($AF44,$BD$6:$BD$53,0)))</f>
        <v>-</v>
      </c>
      <c r="S44" s="10"/>
      <c r="T44" s="10" t="str">
        <f t="shared" ref="T44:T49" ca="1" si="141">IF(D44="Pendiente","-",INDEX($CQ$6:$CQ$53,MATCH($AA44,$BD$6:$BD$53,0)))</f>
        <v>-</v>
      </c>
      <c r="U44" s="10" t="str">
        <f t="shared" ref="U44:U49" ca="1" si="142">IF(D44="Pendiente","-",INDEX($CQ$6:$CQ$53,MATCH($AF44,$BD$6:$BD$53,0)))</f>
        <v>-</v>
      </c>
      <c r="V44" s="20"/>
      <c r="W44" s="659" t="s">
        <v>4</v>
      </c>
      <c r="X44" s="27">
        <f ca="1">Horarios!C44</f>
        <v>46187.916666666664</v>
      </c>
      <c r="Y44" s="28">
        <f ca="1">Horarios!C44</f>
        <v>46187.916666666664</v>
      </c>
      <c r="Z44" s="29" t="str">
        <f>$Z$4</f>
        <v>J1</v>
      </c>
      <c r="AA44" s="30" t="str">
        <f ca="1">A45</f>
        <v>Países Bajos</v>
      </c>
      <c r="AB44" s="55" t="str">
        <f ca="1">+INDEX(Equipos!$L$2:$L$49,MATCH(WORLDCUP!AA44,Equipos!$K$2:$K$49,0))</f>
        <v>🇳🇱</v>
      </c>
      <c r="AC44" s="56">
        <v>1</v>
      </c>
      <c r="AD44" s="57">
        <v>0</v>
      </c>
      <c r="AE44" s="58" t="str">
        <f ca="1">+INDEX(Equipos!$L$2:$L$49,MATCH(WORLDCUP!AF44,Equipos!$K$2:$K$49,0))</f>
        <v>🇯🇵</v>
      </c>
      <c r="AF44" s="35" t="str">
        <f ca="1">A46</f>
        <v>Japón</v>
      </c>
      <c r="AG44" s="335">
        <f t="shared" ref="AG44:AG49" si="143">IF(NOT(OR(ISBLANK(AC44),ISBLANK(AD44))),1,0)</f>
        <v>1</v>
      </c>
      <c r="AH44" s="204">
        <v>11</v>
      </c>
      <c r="AI44" s="190"/>
      <c r="AJ44" s="67" t="str">
        <f>CONCATENATE(AJ3," ",B44)</f>
        <v>Grupo F</v>
      </c>
      <c r="AK44" s="68"/>
      <c r="AL44" s="68"/>
      <c r="AM44" s="68"/>
      <c r="AN44" s="68"/>
      <c r="AO44" s="68"/>
      <c r="AP44" s="68"/>
      <c r="AQ44" s="68"/>
      <c r="AR44" s="68"/>
      <c r="AS44" s="68"/>
      <c r="AT44" s="69"/>
      <c r="AU44" s="343"/>
      <c r="AV44" s="295" t="str">
        <f ca="1">IF(AU45&gt;0,$AV$3,"")</f>
        <v/>
      </c>
      <c r="AW44" s="175"/>
      <c r="AX44" s="175"/>
      <c r="AY44" s="162"/>
      <c r="AZ44" s="163"/>
      <c r="BA44" s="155"/>
      <c r="BC44" s="630" t="str">
        <f ca="1">+INDEX(T_Equipos[Grupo],MATCH(WORLDCUP!BD44,T_Equipos[NombreEquipo],0))</f>
        <v>J</v>
      </c>
      <c r="BD44" s="10" t="str">
        <f ca="1">+Equipos!B40</f>
        <v>Austria</v>
      </c>
      <c r="BE44" s="424">
        <f t="shared" ca="1" si="16"/>
        <v>6</v>
      </c>
      <c r="BF44" s="424">
        <f t="shared" ca="1" si="25"/>
        <v>3</v>
      </c>
      <c r="BG44" s="424">
        <f t="shared" ca="1" si="17"/>
        <v>2</v>
      </c>
      <c r="BH44" s="424">
        <f t="shared" ca="1" si="18"/>
        <v>0</v>
      </c>
      <c r="BI44" s="424">
        <f t="shared" ca="1" si="19"/>
        <v>1</v>
      </c>
      <c r="BJ44" s="424">
        <f t="shared" ca="1" si="20"/>
        <v>2</v>
      </c>
      <c r="BK44" s="424">
        <f t="shared" ca="1" si="21"/>
        <v>1</v>
      </c>
      <c r="BL44" s="424">
        <f t="shared" ca="1" si="26"/>
        <v>1</v>
      </c>
      <c r="BM44" s="424" t="str">
        <f t="shared" ca="1" si="22"/>
        <v>2J</v>
      </c>
      <c r="BN44" s="424" t="str">
        <f t="shared" ca="1" si="23"/>
        <v>2J</v>
      </c>
      <c r="BO44" s="630"/>
      <c r="BP44" s="632">
        <f t="shared" ca="1" si="27"/>
        <v>6</v>
      </c>
      <c r="BQ44" s="631">
        <f ca="1">COUNTIFS($BE$6:$BE$53,"&gt;"&amp;BE44,$BC$6:$BC$53,INDEX(T_Equipos[Grupo],MATCH(BD44,T_Equipos[NombreEquipo],0)))+1</f>
        <v>2</v>
      </c>
      <c r="BR44" s="631" t="str">
        <f ca="1">IF(COUNTIFS($BQ$6:$BQ$53,BQ44,$BC$6:$BC$53,INDEX(T_Equipos[Grupo],MATCH(BD44,T_Equipos[NombreEquipo],0)))=1,"-","P."&amp;BQ44&amp;" ("&amp;COUNTIFS($BQ$6:$BQ$53,BQ44,$BC$6:$BC$53,INDEX(T_Equipos[Grupo],MATCH(BD44,T_Equipos[NombreEquipo],0)))&amp;")")</f>
        <v>-</v>
      </c>
      <c r="BS44" s="632" t="str">
        <f t="shared" ca="1" si="34"/>
        <v>-</v>
      </c>
      <c r="BT44" s="632" t="str">
        <f t="shared" ca="1" si="35"/>
        <v>-</v>
      </c>
      <c r="BU44" s="632" t="str">
        <f t="shared" ca="1" si="36"/>
        <v>-</v>
      </c>
      <c r="BV44" s="632" t="str">
        <f t="shared" ca="1" si="37"/>
        <v>-</v>
      </c>
      <c r="BW44" s="632">
        <f ca="1">BQ44+COUNTIFS($BR$6:$BR$53,BR44,$BV$6:BV$53,"&gt;"&amp;BV44,$BC$6:$BC$53,INDEX(T_Equipos[Grupo],MATCH(BD44,T_Equipos[NombreEquipo],0)))</f>
        <v>2</v>
      </c>
      <c r="BX44" s="631" t="str">
        <f ca="1">IF(COUNTIFS($BW$6:$BW$53,BW44,$BC$6:$BC$53,INDEX(T_Equipos[Grupo],MATCH(BD44,T_Equipos[NombreEquipo],0)))=1,"-","P."&amp;BW44&amp;" ("&amp;COUNTIFS($BW$6:$BW$53,BW44,$BC$6:$BC$53,INDEX(T_Equipos[Grupo],MATCH(BD44,T_Equipos[NombreEquipo],0)))&amp;")")</f>
        <v>-</v>
      </c>
      <c r="BY44" s="632" t="str">
        <f t="shared" ca="1" si="38"/>
        <v>-</v>
      </c>
      <c r="BZ44" s="632" t="str">
        <f t="shared" ca="1" si="39"/>
        <v>-</v>
      </c>
      <c r="CA44" s="632" t="str">
        <f t="shared" ca="1" si="40"/>
        <v>-</v>
      </c>
      <c r="CB44" s="632">
        <f ca="1">BW44+COUNTIFS($BX$6:$BX$53,BX44,$CA$6:CA$53,"&gt;"&amp;CA44,$BC$6:$BC$53,INDEX(T_Equipos[Grupo],MATCH(BD44,T_Equipos[NombreEquipo],0)))</f>
        <v>2</v>
      </c>
      <c r="CC44" s="631" t="str">
        <f ca="1">IF(COUNTIFS($CB$6:$CB$53,CB44,$BC$6:$BC$53,INDEX(T_Equipos[Grupo],MATCH(BD44,T_Equipos[NombreEquipo],0)))=1,"-","P."&amp;CB44&amp;" ("&amp;COUNTIFS($CB$6:$CB$53,CB44,$BC$6:$BC$53,INDEX(T_Equipos[Grupo],MATCH(BD44,T_Equipos[NombreEquipo],0)))&amp;")")</f>
        <v>-</v>
      </c>
      <c r="CD44" s="632" t="str">
        <f t="shared" ca="1" si="41"/>
        <v>-</v>
      </c>
      <c r="CE44" s="632">
        <f ca="1">CB44+COUNTIFS($CC$6:$CC$53,CC44,$CD$6:CD$53,"&gt;"&amp;CD44,$BC$6:$BC$53,INDEX(T_Equipos[Grupo],MATCH(BD44,T_Equipos[NombreEquipo],0)))</f>
        <v>2</v>
      </c>
      <c r="CF44" s="631" t="str">
        <f ca="1">IF(COUNTIFS($CE$6:$CE$53,CE44,$BC$6:$BC$53,INDEX(T_Equipos[Grupo],MATCH(BD44,T_Equipos[NombreEquipo],0)))=1,"-","P."&amp;CE44&amp;" ("&amp;COUNTIFS($CE$6:$CE$53,CE44,$BC$6:$BC$53,INDEX(T_Equipos[Grupo],MATCH(BD44,T_Equipos[NombreEquipo],0)))&amp;")")</f>
        <v>-</v>
      </c>
      <c r="CG44" s="632" t="str">
        <f t="shared" ca="1" si="42"/>
        <v>-</v>
      </c>
      <c r="CH44" s="632" t="str">
        <f t="shared" ca="1" si="43"/>
        <v>-</v>
      </c>
      <c r="CI44" s="632" t="str">
        <f t="shared" ca="1" si="44"/>
        <v>-</v>
      </c>
      <c r="CJ44" s="632" t="str">
        <f t="shared" ca="1" si="45"/>
        <v>-</v>
      </c>
      <c r="CK44" s="632">
        <f ca="1">CE44+COUNTIFS($CF$6:$CF$53,CF44,$CJ$6:CJ$53,"&gt;"&amp;CJ44,$BC$6:$BC$53,INDEX(T_Equipos[Grupo],MATCH(BD44,T_Equipos[NombreEquipo],0)))</f>
        <v>2</v>
      </c>
      <c r="CL44" s="631" t="str">
        <f ca="1">IF(COUNTIFS($CK$6:$CK$53,CK44,$BC$6:$BC$53,INDEX(T_Equipos[Grupo],MATCH(BD44,T_Equipos[NombreEquipo],0)))=1,"-","P."&amp;CK44&amp;" ("&amp;COUNTIFS($CK$6:$CK$53,CK44,$BC$6:$BC$53,INDEX(T_Equipos[Grupo],MATCH(BD44,T_Equipos[NombreEquipo],0)))&amp;")")</f>
        <v>-</v>
      </c>
      <c r="CM44" s="632" t="str">
        <f t="shared" ca="1" si="46"/>
        <v>-</v>
      </c>
      <c r="CN44" s="632" t="str">
        <f t="shared" ca="1" si="47"/>
        <v>-</v>
      </c>
      <c r="CO44" s="632" t="str">
        <f t="shared" ca="1" si="48"/>
        <v>-</v>
      </c>
      <c r="CP44" s="632">
        <f ca="1">CK44+COUNTIFS($CL$6:$CL$53,CL44,$CO$6:CO$53,"&gt;"&amp;CO44,$BC$6:$BC$53,INDEX(T_Equipos[Grupo],MATCH(BD44,T_Equipos[NombreEquipo],0)))</f>
        <v>2</v>
      </c>
      <c r="CQ44" s="631" t="str">
        <f ca="1">IF(COUNTIFS($CP$6:$CP$53,CP44,$BC$6:$BC$53,INDEX(T_Equipos[Grupo],MATCH(BD44,T_Equipos[NombreEquipo],0)))=1,"-","P."&amp;CP44&amp;" ("&amp;COUNTIFS($CP$6:$CP$53,CP44,$BC$6:$BC$53,INDEX(T_Equipos[Grupo],MATCH(BD44,T_Equipos[NombreEquipo],0)))&amp;")")</f>
        <v>-</v>
      </c>
      <c r="CR44" s="632" t="str">
        <f t="shared" ca="1" si="49"/>
        <v>-</v>
      </c>
      <c r="CS44" s="632">
        <f ca="1">CP44+COUNTIFS($CQ$6:$CQ$53,CQ44,$CR$6:CR$53,"&gt;"&amp;CR44,$BC$6:$BC$53,INDEX(T_Equipos[Grupo],MATCH(BD44,T_Equipos[NombreEquipo],0)))</f>
        <v>2</v>
      </c>
      <c r="CT44" s="631" t="str">
        <f ca="1">IF(COUNTIFS($CS$6:$CS$53,CS44,$BC$6:$BC$53,INDEX(T_Equipos[Grupo],MATCH(BD44,T_Equipos[NombreEquipo],0)))=1,"-","P."&amp;CS44&amp;" ("&amp;COUNTIFS($CS$6:$CS$53,CS44,$BC$6:$BC$53,INDEX(T_Equipos[Grupo],MATCH(BD44,T_Equipos[NombreEquipo],0)))&amp;")")</f>
        <v>-</v>
      </c>
      <c r="CU44" s="631" t="str">
        <f t="shared" ca="1" si="28"/>
        <v>-</v>
      </c>
      <c r="CV44" s="631">
        <f ca="1">CS44+COUNTIFS($CT$6:$CT$53,CT44,$CU$6:CU$53,"&gt;"&amp;CU44,$BC$6:$BC$53,INDEX(T_Equipos[Grupo],MATCH(BD44,T_Equipos[NombreEquipo],0)))</f>
        <v>2</v>
      </c>
      <c r="CW44" s="631" t="str">
        <f ca="1">IF(COUNTIFS($CV$6:$CV$53,CV44,$BC$6:$BC$53,INDEX(T_Equipos[Grupo],MATCH(BD44,T_Equipos[NombreEquipo],0)))=1,"-","P."&amp;CV44&amp;" ("&amp;COUNTIFS($CV$6:$CV$53,CV44,$BC$6:$BC$53,INDEX(T_Equipos[Grupo],MATCH(BD44,T_Equipos[NombreEquipo],0)))&amp;")")</f>
        <v>-</v>
      </c>
      <c r="CX44" s="631" t="str">
        <f t="shared" ca="1" si="29"/>
        <v>-</v>
      </c>
      <c r="CY44" s="632">
        <f ca="1">CV44+COUNTIFS($CW$6:$CW$53,CW44,$CX$6:CX$53,"&gt;"&amp;CX44,$BC$6:$BC$53,INDEX(T_Equipos[Grupo],MATCH(BD44,T_Equipos[NombreEquipo],0)))</f>
        <v>2</v>
      </c>
      <c r="CZ44" s="631" t="str">
        <f ca="1">IF(COUNTIFS($CY$6:$CY$53,CY44,$BC$6:$BC$53,INDEX(T_Equipos[Grupo],MATCH(BD44,T_Equipos[NombreEquipo],0)))=1,"-","P."&amp;CY44&amp;" ("&amp;COUNTIFS($CY$6:$CY$53,CY44,$BC$6:$BC$53,INDEX(T_Equipos[Grupo],MATCH(BD44,T_Equipos[NombreEquipo],0)))&amp;")")</f>
        <v>-</v>
      </c>
      <c r="DA44" s="633" t="str">
        <f ca="1">IF(CZ44="-","-",COUNTIFS(T_Equipos[Rank],"&lt;"&amp;INDEX(T_Equipos[Rank],MATCH(BD44,T_Equipos[NombreEquipo],0)),$BC$6:$BC$53,INDEX(T_Equipos[Grupo],MATCH(BD44,T_Equipos[NombreEquipo],0)))+1)</f>
        <v>-</v>
      </c>
      <c r="DB44" s="630">
        <f ca="1">CY44+COUNTIFS($CZ$6:$CZ$53,CZ44,$DA$6:DA$53,"&lt;"&amp;DA44,$BC$6:$BC$53,INDEX(T_Equipos[Grupo],MATCH(BD44,T_Equipos[NombreEquipo],0)))</f>
        <v>2</v>
      </c>
      <c r="DC44" s="630"/>
      <c r="DD44" s="630">
        <f t="shared" ca="1" si="50"/>
        <v>2</v>
      </c>
      <c r="DE44" s="630" t="str">
        <f ca="1">IF(CZ44="-","-",COUNTIFS(DD$6:DD$53,"&lt;"&amp;DD44,$BC$6:$BC$53,INDEX(T_Equipos[Grupo],MATCH(BD44,T_Equipos[NombreEquipo],0))))</f>
        <v>-</v>
      </c>
      <c r="DF44" s="630">
        <f ca="1">CY44+COUNTIFS(CZ$6:CZ$53,CZ44,DE$6:DE$53,"&lt;"&amp;DE44,$BC$6:$BC$53,INDEX(T_Equipos[Grupo],MATCH(BD44,T_Equipos[NombreEquipo],0)))</f>
        <v>2</v>
      </c>
      <c r="DH44" s="10">
        <f t="shared" ca="1" si="51"/>
        <v>3</v>
      </c>
      <c r="DI44" s="10">
        <f t="shared" ca="1" si="24"/>
        <v>12</v>
      </c>
      <c r="DJ44" s="10">
        <f t="shared" ca="1" si="31"/>
        <v>1</v>
      </c>
      <c r="DK44" s="19" t="str">
        <f t="shared" ca="1" si="32"/>
        <v>3.1</v>
      </c>
      <c r="DL44" s="10" cm="1">
        <f t="array" aca="1" ref="DL44" ca="1">OFFSET(Horarios!$P$3,DH44-1,0,DJ44,1)</f>
        <v>3</v>
      </c>
      <c r="DN44" s="10" t="s">
        <v>458</v>
      </c>
      <c r="DO44" s="10" t="str">
        <f t="shared" ca="1" si="33"/>
        <v>Argelia</v>
      </c>
    </row>
    <row r="45" spans="1:119" ht="16.05" customHeight="1">
      <c r="A45" s="646" t="str">
        <f ca="1">+Equipos!B22</f>
        <v>Países Bajos</v>
      </c>
      <c r="B45" s="11"/>
      <c r="C45" s="11"/>
      <c r="D45" s="10" t="str">
        <f t="shared" si="130"/>
        <v>Local</v>
      </c>
      <c r="E45" s="10" t="str">
        <f t="shared" ca="1" si="131"/>
        <v>P.3 (2)</v>
      </c>
      <c r="F45" s="10" t="str">
        <f t="shared" ca="1" si="132"/>
        <v>P.1 (2)</v>
      </c>
      <c r="G45" s="10"/>
      <c r="H45" s="10" t="str">
        <f t="shared" ca="1" si="133"/>
        <v>-</v>
      </c>
      <c r="I45" s="10" t="str">
        <f t="shared" ca="1" si="134"/>
        <v>-</v>
      </c>
      <c r="J45" s="10"/>
      <c r="K45" s="10" t="str">
        <f t="shared" ca="1" si="135"/>
        <v>-</v>
      </c>
      <c r="L45" s="10" t="str">
        <f t="shared" ca="1" si="136"/>
        <v>-</v>
      </c>
      <c r="M45" s="10"/>
      <c r="N45" s="10" t="str">
        <f t="shared" ca="1" si="137"/>
        <v>-</v>
      </c>
      <c r="O45" s="10" t="str">
        <f t="shared" ca="1" si="138"/>
        <v>-</v>
      </c>
      <c r="P45" s="10"/>
      <c r="Q45" s="10" t="str">
        <f t="shared" ca="1" si="139"/>
        <v>-</v>
      </c>
      <c r="R45" s="10" t="str">
        <f t="shared" ca="1" si="140"/>
        <v>-</v>
      </c>
      <c r="S45" s="10"/>
      <c r="T45" s="10" t="str">
        <f t="shared" ca="1" si="141"/>
        <v>-</v>
      </c>
      <c r="U45" s="10" t="str">
        <f t="shared" ca="1" si="142"/>
        <v>-</v>
      </c>
      <c r="V45" s="20"/>
      <c r="W45" s="659"/>
      <c r="X45" s="27">
        <f ca="1">Horarios!C45</f>
        <v>46188.166666666664</v>
      </c>
      <c r="Y45" s="28">
        <f ca="1">Horarios!C45</f>
        <v>46188.166666666664</v>
      </c>
      <c r="Z45" s="29" t="str">
        <f>$Z$4</f>
        <v>J1</v>
      </c>
      <c r="AA45" s="30" t="str">
        <f ca="1">A47</f>
        <v>PO B: UKR/SWE/POL/ALB</v>
      </c>
      <c r="AB45" s="55" t="str">
        <f ca="1">+INDEX(Equipos!$L$2:$L$49,MATCH(WORLDCUP!AA45,Equipos!$K$2:$K$49,0))</f>
        <v xml:space="preserve"> </v>
      </c>
      <c r="AC45" s="56">
        <v>1</v>
      </c>
      <c r="AD45" s="57">
        <v>0</v>
      </c>
      <c r="AE45" s="58" t="str">
        <f ca="1">+INDEX(Equipos!$L$2:$L$49,MATCH(WORLDCUP!AF45,Equipos!$K$2:$K$49,0))</f>
        <v>🇹🇳</v>
      </c>
      <c r="AF45" s="35" t="str">
        <f ca="1">A48</f>
        <v>Túnez</v>
      </c>
      <c r="AG45" s="335">
        <f t="shared" si="143"/>
        <v>1</v>
      </c>
      <c r="AH45" s="204">
        <v>12</v>
      </c>
      <c r="AI45" s="190"/>
      <c r="AJ45" s="70" t="str">
        <f>AJ5</f>
        <v>Pos</v>
      </c>
      <c r="AK45" s="71"/>
      <c r="AL45" s="72" t="str">
        <f t="shared" ref="AL45:AT45" si="144">AL5</f>
        <v>Selección</v>
      </c>
      <c r="AM45" s="71" t="str">
        <f t="shared" si="144"/>
        <v>Pts</v>
      </c>
      <c r="AN45" s="71" t="str">
        <f t="shared" si="144"/>
        <v>J</v>
      </c>
      <c r="AO45" s="71" t="str">
        <f t="shared" si="144"/>
        <v>G</v>
      </c>
      <c r="AP45" s="71" t="str">
        <f t="shared" si="144"/>
        <v>E</v>
      </c>
      <c r="AQ45" s="71" t="str">
        <f t="shared" si="144"/>
        <v>P</v>
      </c>
      <c r="AR45" s="71" t="str">
        <f t="shared" si="144"/>
        <v>GF</v>
      </c>
      <c r="AS45" s="71" t="str">
        <f t="shared" si="144"/>
        <v>GC</v>
      </c>
      <c r="AT45" s="73" t="str">
        <f t="shared" si="144"/>
        <v>DG</v>
      </c>
      <c r="AU45" s="343">
        <f t="shared" ref="AU45" ca="1" si="145">COUNTIF(AU46:AU49,"&gt;1")</f>
        <v>0</v>
      </c>
      <c r="AV45" s="201"/>
      <c r="AW45" s="175"/>
      <c r="AX45" s="175"/>
      <c r="AY45" s="216" t="str">
        <f>AL45</f>
        <v>Selección</v>
      </c>
      <c r="AZ45" s="217" t="str">
        <f>+Idiomas!$D$67</f>
        <v>Puntos penalizados</v>
      </c>
      <c r="BA45" s="155"/>
      <c r="BC45" s="630" t="str">
        <f ca="1">+INDEX(T_Equipos[Grupo],MATCH(WORLDCUP!BD45,T_Equipos[NombreEquipo],0))</f>
        <v>J</v>
      </c>
      <c r="BD45" s="10" t="str">
        <f ca="1">+Equipos!B41</f>
        <v>Jordania</v>
      </c>
      <c r="BE45" s="424">
        <f t="shared" ca="1" si="16"/>
        <v>1</v>
      </c>
      <c r="BF45" s="424">
        <f t="shared" ca="1" si="25"/>
        <v>3</v>
      </c>
      <c r="BG45" s="424">
        <f t="shared" ca="1" si="17"/>
        <v>0</v>
      </c>
      <c r="BH45" s="424">
        <f t="shared" ca="1" si="18"/>
        <v>1</v>
      </c>
      <c r="BI45" s="424">
        <f t="shared" ca="1" si="19"/>
        <v>2</v>
      </c>
      <c r="BJ45" s="424">
        <f t="shared" ca="1" si="20"/>
        <v>0</v>
      </c>
      <c r="BK45" s="424">
        <f t="shared" ca="1" si="21"/>
        <v>3</v>
      </c>
      <c r="BL45" s="424">
        <f t="shared" ca="1" si="26"/>
        <v>-3</v>
      </c>
      <c r="BM45" s="424" t="str">
        <f t="shared" ca="1" si="22"/>
        <v>4J</v>
      </c>
      <c r="BN45" s="424" t="str">
        <f t="shared" ca="1" si="23"/>
        <v>4J</v>
      </c>
      <c r="BO45" s="630"/>
      <c r="BP45" s="632">
        <f t="shared" ca="1" si="27"/>
        <v>1</v>
      </c>
      <c r="BQ45" s="631">
        <f ca="1">COUNTIFS($BE$6:$BE$53,"&gt;"&amp;BE45,$BC$6:$BC$53,INDEX(T_Equipos[Grupo],MATCH(BD45,T_Equipos[NombreEquipo],0)))+1</f>
        <v>3</v>
      </c>
      <c r="BR45" s="631" t="str">
        <f ca="1">IF(COUNTIFS($BQ$6:$BQ$53,BQ45,$BC$6:$BC$53,INDEX(T_Equipos[Grupo],MATCH(BD45,T_Equipos[NombreEquipo],0)))=1,"-","P."&amp;BQ45&amp;" ("&amp;COUNTIFS($BQ$6:$BQ$53,BQ45,$BC$6:$BC$53,INDEX(T_Equipos[Grupo],MATCH(BD45,T_Equipos[NombreEquipo],0)))&amp;")")</f>
        <v>P.3 (2)</v>
      </c>
      <c r="BS45" s="632">
        <f t="shared" ca="1" si="34"/>
        <v>0</v>
      </c>
      <c r="BT45" s="632">
        <f t="shared" ca="1" si="35"/>
        <v>1</v>
      </c>
      <c r="BU45" s="632">
        <f t="shared" ca="1" si="36"/>
        <v>0</v>
      </c>
      <c r="BV45" s="632">
        <f t="shared" ca="1" si="37"/>
        <v>1</v>
      </c>
      <c r="BW45" s="632">
        <f ca="1">BQ45+COUNTIFS($BR$6:$BR$53,BR45,$BV$6:BV$53,"&gt;"&amp;BV45,$BC$6:$BC$53,INDEX(T_Equipos[Grupo],MATCH(BD45,T_Equipos[NombreEquipo],0)))</f>
        <v>3</v>
      </c>
      <c r="BX45" s="631" t="str">
        <f ca="1">IF(COUNTIFS($BW$6:$BW$53,BW45,$BC$6:$BC$53,INDEX(T_Equipos[Grupo],MATCH(BD45,T_Equipos[NombreEquipo],0)))=1,"-","P."&amp;BW45&amp;" ("&amp;COUNTIFS($BW$6:$BW$53,BW45,$BC$6:$BC$53,INDEX(T_Equipos[Grupo],MATCH(BD45,T_Equipos[NombreEquipo],0)))&amp;")")</f>
        <v>P.3 (2)</v>
      </c>
      <c r="BY45" s="632">
        <f t="shared" ca="1" si="38"/>
        <v>0</v>
      </c>
      <c r="BZ45" s="632">
        <f t="shared" ca="1" si="39"/>
        <v>0</v>
      </c>
      <c r="CA45" s="632">
        <f t="shared" ca="1" si="40"/>
        <v>0</v>
      </c>
      <c r="CB45" s="632">
        <f ca="1">BW45+COUNTIFS($BX$6:$BX$53,BX45,$CA$6:CA$53,"&gt;"&amp;CA45,$BC$6:$BC$53,INDEX(T_Equipos[Grupo],MATCH(BD45,T_Equipos[NombreEquipo],0)))</f>
        <v>3</v>
      </c>
      <c r="CC45" s="631" t="str">
        <f ca="1">IF(COUNTIFS($CB$6:$CB$53,CB45,$BC$6:$BC$53,INDEX(T_Equipos[Grupo],MATCH(BD45,T_Equipos[NombreEquipo],0)))=1,"-","P."&amp;CB45&amp;" ("&amp;COUNTIFS($CB$6:$CB$53,CB45,$BC$6:$BC$53,INDEX(T_Equipos[Grupo],MATCH(BD45,T_Equipos[NombreEquipo],0)))&amp;")")</f>
        <v>P.3 (2)</v>
      </c>
      <c r="CD45" s="632">
        <f t="shared" ca="1" si="41"/>
        <v>0</v>
      </c>
      <c r="CE45" s="632">
        <f ca="1">CB45+COUNTIFS($CC$6:$CC$53,CC45,$CD$6:CD$53,"&gt;"&amp;CD45,$BC$6:$BC$53,INDEX(T_Equipos[Grupo],MATCH(BD45,T_Equipos[NombreEquipo],0)))</f>
        <v>3</v>
      </c>
      <c r="CF45" s="631" t="str">
        <f ca="1">IF(COUNTIFS($CE$6:$CE$53,CE45,$BC$6:$BC$53,INDEX(T_Equipos[Grupo],MATCH(BD45,T_Equipos[NombreEquipo],0)))=1,"-","P."&amp;CE45&amp;" ("&amp;COUNTIFS($CE$6:$CE$53,CE45,$BC$6:$BC$53,INDEX(T_Equipos[Grupo],MATCH(BD45,T_Equipos[NombreEquipo],0)))&amp;")")</f>
        <v>P.3 (2)</v>
      </c>
      <c r="CG45" s="632">
        <f t="shared" ca="1" si="42"/>
        <v>0</v>
      </c>
      <c r="CH45" s="632">
        <f t="shared" ca="1" si="43"/>
        <v>1</v>
      </c>
      <c r="CI45" s="632">
        <f t="shared" ca="1" si="44"/>
        <v>0</v>
      </c>
      <c r="CJ45" s="632">
        <f t="shared" ca="1" si="45"/>
        <v>1</v>
      </c>
      <c r="CK45" s="632">
        <f ca="1">CE45+COUNTIFS($CF$6:$CF$53,CF45,$CJ$6:CJ$53,"&gt;"&amp;CJ45,$BC$6:$BC$53,INDEX(T_Equipos[Grupo],MATCH(BD45,T_Equipos[NombreEquipo],0)))</f>
        <v>3</v>
      </c>
      <c r="CL45" s="631" t="str">
        <f ca="1">IF(COUNTIFS($CK$6:$CK$53,CK45,$BC$6:$BC$53,INDEX(T_Equipos[Grupo],MATCH(BD45,T_Equipos[NombreEquipo],0)))=1,"-","P."&amp;CK45&amp;" ("&amp;COUNTIFS($CK$6:$CK$53,CK45,$BC$6:$BC$53,INDEX(T_Equipos[Grupo],MATCH(BD45,T_Equipos[NombreEquipo],0)))&amp;")")</f>
        <v>P.3 (2)</v>
      </c>
      <c r="CM45" s="632">
        <f t="shared" ca="1" si="46"/>
        <v>0</v>
      </c>
      <c r="CN45" s="632">
        <f t="shared" ca="1" si="47"/>
        <v>0</v>
      </c>
      <c r="CO45" s="632">
        <f t="shared" ca="1" si="48"/>
        <v>0</v>
      </c>
      <c r="CP45" s="632">
        <f ca="1">CK45+COUNTIFS($CL$6:$CL$53,CL45,$CO$6:CO$53,"&gt;"&amp;CO45,$BC$6:$BC$53,INDEX(T_Equipos[Grupo],MATCH(BD45,T_Equipos[NombreEquipo],0)))</f>
        <v>3</v>
      </c>
      <c r="CQ45" s="631" t="str">
        <f ca="1">IF(COUNTIFS($CP$6:$CP$53,CP45,$BC$6:$BC$53,INDEX(T_Equipos[Grupo],MATCH(BD45,T_Equipos[NombreEquipo],0)))=1,"-","P."&amp;CP45&amp;" ("&amp;COUNTIFS($CP$6:$CP$53,CP45,$BC$6:$BC$53,INDEX(T_Equipos[Grupo],MATCH(BD45,T_Equipos[NombreEquipo],0)))&amp;")")</f>
        <v>P.3 (2)</v>
      </c>
      <c r="CR45" s="632">
        <f t="shared" ca="1" si="49"/>
        <v>0</v>
      </c>
      <c r="CS45" s="632">
        <f ca="1">CP45+COUNTIFS($CQ$6:$CQ$53,CQ45,$CR$6:CR$53,"&gt;"&amp;CR45,$BC$6:$BC$53,INDEX(T_Equipos[Grupo],MATCH(BD45,T_Equipos[NombreEquipo],0)))</f>
        <v>3</v>
      </c>
      <c r="CT45" s="631" t="str">
        <f ca="1">IF(COUNTIFS($CS$6:$CS$53,CS45,$BC$6:$BC$53,INDEX(T_Equipos[Grupo],MATCH(BD45,T_Equipos[NombreEquipo],0)))=1,"-","P."&amp;CS45&amp;" ("&amp;COUNTIFS($CS$6:$CS$53,CS45,$BC$6:$BC$53,INDEX(T_Equipos[Grupo],MATCH(BD45,T_Equipos[NombreEquipo],0)))&amp;")")</f>
        <v>P.3 (2)</v>
      </c>
      <c r="CU45" s="631">
        <f t="shared" ca="1" si="28"/>
        <v>-3</v>
      </c>
      <c r="CV45" s="631">
        <f ca="1">CS45+COUNTIFS($CT$6:$CT$53,CT45,$CU$6:CU$53,"&gt;"&amp;CU45,$BC$6:$BC$53,INDEX(T_Equipos[Grupo],MATCH(BD45,T_Equipos[NombreEquipo],0)))</f>
        <v>4</v>
      </c>
      <c r="CW45" s="631" t="str">
        <f ca="1">IF(COUNTIFS($CV$6:$CV$53,CV45,$BC$6:$BC$53,INDEX(T_Equipos[Grupo],MATCH(BD45,T_Equipos[NombreEquipo],0)))=1,"-","P."&amp;CV45&amp;" ("&amp;COUNTIFS($CV$6:$CV$53,CV45,$BC$6:$BC$53,INDEX(T_Equipos[Grupo],MATCH(BD45,T_Equipos[NombreEquipo],0)))&amp;")")</f>
        <v>-</v>
      </c>
      <c r="CX45" s="631" t="str">
        <f t="shared" ca="1" si="29"/>
        <v>-</v>
      </c>
      <c r="CY45" s="632">
        <f ca="1">CV45+COUNTIFS($CW$6:$CW$53,CW45,$CX$6:CX$53,"&gt;"&amp;CX45,$BC$6:$BC$53,INDEX(T_Equipos[Grupo],MATCH(BD45,T_Equipos[NombreEquipo],0)))</f>
        <v>4</v>
      </c>
      <c r="CZ45" s="631" t="str">
        <f ca="1">IF(COUNTIFS($CY$6:$CY$53,CY45,$BC$6:$BC$53,INDEX(T_Equipos[Grupo],MATCH(BD45,T_Equipos[NombreEquipo],0)))=1,"-","P."&amp;CY45&amp;" ("&amp;COUNTIFS($CY$6:$CY$53,CY45,$BC$6:$BC$53,INDEX(T_Equipos[Grupo],MATCH(BD45,T_Equipos[NombreEquipo],0)))&amp;")")</f>
        <v>-</v>
      </c>
      <c r="DA45" s="633" t="str">
        <f ca="1">IF(CZ45="-","-",COUNTIFS(T_Equipos[Rank],"&lt;"&amp;INDEX(T_Equipos[Rank],MATCH(BD45,T_Equipos[NombreEquipo],0)),$BC$6:$BC$53,INDEX(T_Equipos[Grupo],MATCH(BD45,T_Equipos[NombreEquipo],0)))+1)</f>
        <v>-</v>
      </c>
      <c r="DB45" s="630">
        <f ca="1">CY45+COUNTIFS($CZ$6:$CZ$53,CZ45,$DA$6:DA$53,"&lt;"&amp;DA45,$BC$6:$BC$53,INDEX(T_Equipos[Grupo],MATCH(BD45,T_Equipos[NombreEquipo],0)))</f>
        <v>4</v>
      </c>
      <c r="DC45" s="630"/>
      <c r="DD45" s="630">
        <f t="shared" ca="1" si="50"/>
        <v>4</v>
      </c>
      <c r="DE45" s="630" t="str">
        <f ca="1">IF(CZ45="-","-",COUNTIFS(DD$6:DD$53,"&lt;"&amp;DD45,$BC$6:$BC$53,INDEX(T_Equipos[Grupo],MATCH(BD45,T_Equipos[NombreEquipo],0))))</f>
        <v>-</v>
      </c>
      <c r="DF45" s="630">
        <f ca="1">CY45+COUNTIFS(CZ$6:CZ$53,CZ45,DE$6:DE$53,"&lt;"&amp;DE45,$BC$6:$BC$53,INDEX(T_Equipos[Grupo],MATCH(BD45,T_Equipos[NombreEquipo],0)))</f>
        <v>4</v>
      </c>
      <c r="DH45" s="10">
        <f t="shared" ca="1" si="51"/>
        <v>4</v>
      </c>
      <c r="DI45" s="10">
        <f t="shared" ca="1" si="24"/>
        <v>12</v>
      </c>
      <c r="DJ45" s="10">
        <f t="shared" ca="1" si="31"/>
        <v>1</v>
      </c>
      <c r="DK45" s="19" t="str">
        <f t="shared" ca="1" si="32"/>
        <v>4.1</v>
      </c>
      <c r="DL45" s="10" cm="1">
        <f t="array" aca="1" ref="DL45" ca="1">OFFSET(Horarios!$P$3,DH45-1,0,DJ45,1)</f>
        <v>4</v>
      </c>
      <c r="DN45" s="10" t="s">
        <v>697</v>
      </c>
      <c r="DO45" s="10" t="str">
        <f t="shared" ca="1" si="33"/>
        <v>Jordania</v>
      </c>
    </row>
    <row r="46" spans="1:119" ht="16.05" customHeight="1">
      <c r="A46" s="646" t="str">
        <f ca="1">+Equipos!B23</f>
        <v>Japón</v>
      </c>
      <c r="B46" s="11"/>
      <c r="C46" s="429"/>
      <c r="D46" s="10" t="str">
        <f t="shared" si="130"/>
        <v>Local</v>
      </c>
      <c r="E46" s="10" t="str">
        <f t="shared" ca="1" si="131"/>
        <v>P.1 (2)</v>
      </c>
      <c r="F46" s="10" t="str">
        <f t="shared" ca="1" si="132"/>
        <v>P.3 (2)</v>
      </c>
      <c r="G46" s="10"/>
      <c r="H46" s="10" t="str">
        <f t="shared" ca="1" si="133"/>
        <v>-</v>
      </c>
      <c r="I46" s="10" t="str">
        <f t="shared" ca="1" si="134"/>
        <v>-</v>
      </c>
      <c r="J46" s="10"/>
      <c r="K46" s="10" t="str">
        <f t="shared" ca="1" si="135"/>
        <v>-</v>
      </c>
      <c r="L46" s="10" t="str">
        <f t="shared" ca="1" si="136"/>
        <v>-</v>
      </c>
      <c r="M46" s="10"/>
      <c r="N46" s="10" t="str">
        <f t="shared" ca="1" si="137"/>
        <v>-</v>
      </c>
      <c r="O46" s="10" t="str">
        <f t="shared" ca="1" si="138"/>
        <v>-</v>
      </c>
      <c r="P46" s="10"/>
      <c r="Q46" s="10" t="str">
        <f t="shared" ca="1" si="139"/>
        <v>-</v>
      </c>
      <c r="R46" s="10" t="str">
        <f t="shared" ca="1" si="140"/>
        <v>-</v>
      </c>
      <c r="S46" s="10"/>
      <c r="T46" s="10" t="str">
        <f t="shared" ca="1" si="141"/>
        <v>-</v>
      </c>
      <c r="U46" s="10" t="str">
        <f t="shared" ca="1" si="142"/>
        <v>-</v>
      </c>
      <c r="V46" s="20"/>
      <c r="W46" s="659"/>
      <c r="X46" s="27">
        <f ca="1">Horarios!C46</f>
        <v>46193.25</v>
      </c>
      <c r="Y46" s="28">
        <f ca="1">Horarios!C46</f>
        <v>46193.25</v>
      </c>
      <c r="Z46" s="29" t="str">
        <f>$Z$6</f>
        <v>J2</v>
      </c>
      <c r="AA46" s="30" t="str">
        <f ca="1">A48</f>
        <v>Túnez</v>
      </c>
      <c r="AB46" s="55" t="str">
        <f ca="1">+INDEX(Equipos!$L$2:$L$49,MATCH(WORLDCUP!AA46,Equipos!$K$2:$K$49,0))</f>
        <v>🇹🇳</v>
      </c>
      <c r="AC46" s="56">
        <v>1</v>
      </c>
      <c r="AD46" s="57">
        <v>0</v>
      </c>
      <c r="AE46" s="58" t="str">
        <f ca="1">+INDEX(Equipos!$L$2:$L$49,MATCH(WORLDCUP!AF46,Equipos!$K$2:$K$49,0))</f>
        <v>🇯🇵</v>
      </c>
      <c r="AF46" s="35" t="str">
        <f ca="1">A46</f>
        <v>Japón</v>
      </c>
      <c r="AG46" s="335">
        <f t="shared" si="143"/>
        <v>1</v>
      </c>
      <c r="AH46" s="204">
        <v>35</v>
      </c>
      <c r="AI46" s="190" t="str">
        <f>AJ46&amp;$B$44</f>
        <v>1F</v>
      </c>
      <c r="AJ46" s="43">
        <v>1</v>
      </c>
      <c r="AK46" s="37" t="str">
        <f ca="1">+INDEX(Equipos!$L$2:$L$49,MATCH(WORLDCUP!AL46,Equipos!$K$2:$K$49,0))</f>
        <v>🇹🇳</v>
      </c>
      <c r="AL46" s="37" t="str">
        <f ca="1">IFERROR(INDEX($BD$6:$BD$53,MATCH(AI46,$BN$6:$BN$53,0)),"")</f>
        <v>Túnez</v>
      </c>
      <c r="AM46" s="38">
        <f t="shared" ref="AM46:AT49" ca="1" si="146">INDEX($BE$6:$BN$53,MATCH($AL46,$BD$6:$BD$53,0),MATCH(AM$5,$BE$5:$BN$5,0))</f>
        <v>6</v>
      </c>
      <c r="AN46" s="39">
        <f t="shared" ca="1" si="146"/>
        <v>3</v>
      </c>
      <c r="AO46" s="39">
        <f t="shared" ca="1" si="146"/>
        <v>2</v>
      </c>
      <c r="AP46" s="39">
        <f t="shared" ca="1" si="146"/>
        <v>0</v>
      </c>
      <c r="AQ46" s="39">
        <f t="shared" ca="1" si="146"/>
        <v>1</v>
      </c>
      <c r="AR46" s="39">
        <f t="shared" ca="1" si="146"/>
        <v>3</v>
      </c>
      <c r="AS46" s="39">
        <f t="shared" ca="1" si="146"/>
        <v>1</v>
      </c>
      <c r="AT46" s="45">
        <f t="shared" ca="1" si="146"/>
        <v>2</v>
      </c>
      <c r="AU46" s="342">
        <f ca="1">INDEX($DJ$6:$DJ$53,MATCH(AI46,$DN$6:$DN$53,0))</f>
        <v>1</v>
      </c>
      <c r="AV46" s="191" t="str">
        <f ca="1">INDEX($BD$6:$BD$53,MATCH(AI46,$BM$6:$BM$53,0))</f>
        <v>Túnez</v>
      </c>
      <c r="AW46" s="219"/>
      <c r="AX46" s="179"/>
      <c r="AY46" s="210" t="str">
        <f ca="1">+A45</f>
        <v>Países Bajos</v>
      </c>
      <c r="AZ46" s="211"/>
      <c r="BA46" s="155"/>
      <c r="BC46" s="630" t="str">
        <f ca="1">+INDEX(T_Equipos[Grupo],MATCH(WORLDCUP!BD46,T_Equipos[NombreEquipo],0))</f>
        <v>K</v>
      </c>
      <c r="BD46" s="10" t="str">
        <f ca="1">+Equipos!B42</f>
        <v>Portugal</v>
      </c>
      <c r="BE46" s="424">
        <f t="shared" ca="1" si="16"/>
        <v>6</v>
      </c>
      <c r="BF46" s="424">
        <f t="shared" ca="1" si="25"/>
        <v>3</v>
      </c>
      <c r="BG46" s="424">
        <f t="shared" ca="1" si="17"/>
        <v>2</v>
      </c>
      <c r="BH46" s="424">
        <f t="shared" ca="1" si="18"/>
        <v>0</v>
      </c>
      <c r="BI46" s="424">
        <f t="shared" ca="1" si="19"/>
        <v>1</v>
      </c>
      <c r="BJ46" s="424">
        <f t="shared" ca="1" si="20"/>
        <v>2</v>
      </c>
      <c r="BK46" s="424">
        <f t="shared" ca="1" si="21"/>
        <v>1</v>
      </c>
      <c r="BL46" s="424">
        <f t="shared" ca="1" si="26"/>
        <v>1</v>
      </c>
      <c r="BM46" s="424" t="str">
        <f t="shared" ca="1" si="22"/>
        <v>2K</v>
      </c>
      <c r="BN46" s="424" t="str">
        <f t="shared" ca="1" si="23"/>
        <v>2K</v>
      </c>
      <c r="BO46" s="630"/>
      <c r="BP46" s="631">
        <f t="shared" ca="1" si="27"/>
        <v>6</v>
      </c>
      <c r="BQ46" s="631">
        <f ca="1">COUNTIFS($BE$6:$BE$53,"&gt;"&amp;BE46,$BC$6:$BC$53,INDEX(T_Equipos[Grupo],MATCH(BD46,T_Equipos[NombreEquipo],0)))+1</f>
        <v>2</v>
      </c>
      <c r="BR46" s="631" t="str">
        <f ca="1">IF(COUNTIFS($BQ$6:$BQ$53,BQ46,$BC$6:$BC$53,INDEX(T_Equipos[Grupo],MATCH(BD46,T_Equipos[NombreEquipo],0)))=1,"-","P."&amp;BQ46&amp;" ("&amp;COUNTIFS($BQ$6:$BQ$53,BQ46,$BC$6:$BC$53,INDEX(T_Equipos[Grupo],MATCH(BD46,T_Equipos[NombreEquipo],0)))&amp;")")</f>
        <v>-</v>
      </c>
      <c r="BS46" s="632" t="str">
        <f t="shared" ca="1" si="34"/>
        <v>-</v>
      </c>
      <c r="BT46" s="632" t="str">
        <f t="shared" ca="1" si="35"/>
        <v>-</v>
      </c>
      <c r="BU46" s="632" t="str">
        <f t="shared" ca="1" si="36"/>
        <v>-</v>
      </c>
      <c r="BV46" s="632" t="str">
        <f t="shared" ca="1" si="37"/>
        <v>-</v>
      </c>
      <c r="BW46" s="632">
        <f ca="1">BQ46+COUNTIFS($BR$6:$BR$53,BR46,$BV$6:BV$53,"&gt;"&amp;BV46,$BC$6:$BC$53,INDEX(T_Equipos[Grupo],MATCH(BD46,T_Equipos[NombreEquipo],0)))</f>
        <v>2</v>
      </c>
      <c r="BX46" s="631" t="str">
        <f ca="1">IF(COUNTIFS($BW$6:$BW$53,BW46,$BC$6:$BC$53,INDEX(T_Equipos[Grupo],MATCH(BD46,T_Equipos[NombreEquipo],0)))=1,"-","P."&amp;BW46&amp;" ("&amp;COUNTIFS($BW$6:$BW$53,BW46,$BC$6:$BC$53,INDEX(T_Equipos[Grupo],MATCH(BD46,T_Equipos[NombreEquipo],0)))&amp;")")</f>
        <v>-</v>
      </c>
      <c r="BY46" s="632" t="str">
        <f t="shared" ca="1" si="38"/>
        <v>-</v>
      </c>
      <c r="BZ46" s="632" t="str">
        <f t="shared" ca="1" si="39"/>
        <v>-</v>
      </c>
      <c r="CA46" s="632" t="str">
        <f t="shared" ca="1" si="40"/>
        <v>-</v>
      </c>
      <c r="CB46" s="632">
        <f ca="1">BW46+COUNTIFS($BX$6:$BX$53,BX46,$CA$6:CA$53,"&gt;"&amp;CA46,$BC$6:$BC$53,INDEX(T_Equipos[Grupo],MATCH(BD46,T_Equipos[NombreEquipo],0)))</f>
        <v>2</v>
      </c>
      <c r="CC46" s="631" t="str">
        <f ca="1">IF(COUNTIFS($CB$6:$CB$53,CB46,$BC$6:$BC$53,INDEX(T_Equipos[Grupo],MATCH(BD46,T_Equipos[NombreEquipo],0)))=1,"-","P."&amp;CB46&amp;" ("&amp;COUNTIFS($CB$6:$CB$53,CB46,$BC$6:$BC$53,INDEX(T_Equipos[Grupo],MATCH(BD46,T_Equipos[NombreEquipo],0)))&amp;")")</f>
        <v>-</v>
      </c>
      <c r="CD46" s="632" t="str">
        <f t="shared" ca="1" si="41"/>
        <v>-</v>
      </c>
      <c r="CE46" s="632">
        <f ca="1">CB46+COUNTIFS($CC$6:$CC$53,CC46,$CD$6:CD$53,"&gt;"&amp;CD46,$BC$6:$BC$53,INDEX(T_Equipos[Grupo],MATCH(BD46,T_Equipos[NombreEquipo],0)))</f>
        <v>2</v>
      </c>
      <c r="CF46" s="631" t="str">
        <f ca="1">IF(COUNTIFS($CE$6:$CE$53,CE46,$BC$6:$BC$53,INDEX(T_Equipos[Grupo],MATCH(BD46,T_Equipos[NombreEquipo],0)))=1,"-","P."&amp;CE46&amp;" ("&amp;COUNTIFS($CE$6:$CE$53,CE46,$BC$6:$BC$53,INDEX(T_Equipos[Grupo],MATCH(BD46,T_Equipos[NombreEquipo],0)))&amp;")")</f>
        <v>-</v>
      </c>
      <c r="CG46" s="632" t="str">
        <f t="shared" ca="1" si="42"/>
        <v>-</v>
      </c>
      <c r="CH46" s="632" t="str">
        <f t="shared" ca="1" si="43"/>
        <v>-</v>
      </c>
      <c r="CI46" s="632" t="str">
        <f t="shared" ca="1" si="44"/>
        <v>-</v>
      </c>
      <c r="CJ46" s="632" t="str">
        <f t="shared" ca="1" si="45"/>
        <v>-</v>
      </c>
      <c r="CK46" s="632">
        <f ca="1">CE46+COUNTIFS($CF$6:$CF$53,CF46,$CJ$6:CJ$53,"&gt;"&amp;CJ46,$BC$6:$BC$53,INDEX(T_Equipos[Grupo],MATCH(BD46,T_Equipos[NombreEquipo],0)))</f>
        <v>2</v>
      </c>
      <c r="CL46" s="631" t="str">
        <f ca="1">IF(COUNTIFS($CK$6:$CK$53,CK46,$BC$6:$BC$53,INDEX(T_Equipos[Grupo],MATCH(BD46,T_Equipos[NombreEquipo],0)))=1,"-","P."&amp;CK46&amp;" ("&amp;COUNTIFS($CK$6:$CK$53,CK46,$BC$6:$BC$53,INDEX(T_Equipos[Grupo],MATCH(BD46,T_Equipos[NombreEquipo],0)))&amp;")")</f>
        <v>-</v>
      </c>
      <c r="CM46" s="632" t="str">
        <f t="shared" ca="1" si="46"/>
        <v>-</v>
      </c>
      <c r="CN46" s="632" t="str">
        <f t="shared" ca="1" si="47"/>
        <v>-</v>
      </c>
      <c r="CO46" s="632" t="str">
        <f t="shared" ca="1" si="48"/>
        <v>-</v>
      </c>
      <c r="CP46" s="632">
        <f ca="1">CK46+COUNTIFS($CL$6:$CL$53,CL46,$CO$6:CO$53,"&gt;"&amp;CO46,$BC$6:$BC$53,INDEX(T_Equipos[Grupo],MATCH(BD46,T_Equipos[NombreEquipo],0)))</f>
        <v>2</v>
      </c>
      <c r="CQ46" s="631" t="str">
        <f ca="1">IF(COUNTIFS($CP$6:$CP$53,CP46,$BC$6:$BC$53,INDEX(T_Equipos[Grupo],MATCH(BD46,T_Equipos[NombreEquipo],0)))=1,"-","P."&amp;CP46&amp;" ("&amp;COUNTIFS($CP$6:$CP$53,CP46,$BC$6:$BC$53,INDEX(T_Equipos[Grupo],MATCH(BD46,T_Equipos[NombreEquipo],0)))&amp;")")</f>
        <v>-</v>
      </c>
      <c r="CR46" s="632" t="str">
        <f t="shared" ca="1" si="49"/>
        <v>-</v>
      </c>
      <c r="CS46" s="632">
        <f ca="1">CP46+COUNTIFS($CQ$6:$CQ$53,CQ46,$CR$6:CR$53,"&gt;"&amp;CR46,$BC$6:$BC$53,INDEX(T_Equipos[Grupo],MATCH(BD46,T_Equipos[NombreEquipo],0)))</f>
        <v>2</v>
      </c>
      <c r="CT46" s="631" t="str">
        <f ca="1">IF(COUNTIFS($CS$6:$CS$53,CS46,$BC$6:$BC$53,INDEX(T_Equipos[Grupo],MATCH(BD46,T_Equipos[NombreEquipo],0)))=1,"-","P."&amp;CS46&amp;" ("&amp;COUNTIFS($CS$6:$CS$53,CS46,$BC$6:$BC$53,INDEX(T_Equipos[Grupo],MATCH(BD46,T_Equipos[NombreEquipo],0)))&amp;")")</f>
        <v>-</v>
      </c>
      <c r="CU46" s="631" t="str">
        <f t="shared" ca="1" si="28"/>
        <v>-</v>
      </c>
      <c r="CV46" s="631">
        <f ca="1">CS46+COUNTIFS($CT$6:$CT$53,CT46,$CU$6:CU$53,"&gt;"&amp;CU46,$BC$6:$BC$53,INDEX(T_Equipos[Grupo],MATCH(BD46,T_Equipos[NombreEquipo],0)))</f>
        <v>2</v>
      </c>
      <c r="CW46" s="631" t="str">
        <f ca="1">IF(COUNTIFS($CV$6:$CV$53,CV46,$BC$6:$BC$53,INDEX(T_Equipos[Grupo],MATCH(BD46,T_Equipos[NombreEquipo],0)))=1,"-","P."&amp;CV46&amp;" ("&amp;COUNTIFS($CV$6:$CV$53,CV46,$BC$6:$BC$53,INDEX(T_Equipos[Grupo],MATCH(BD46,T_Equipos[NombreEquipo],0)))&amp;")")</f>
        <v>-</v>
      </c>
      <c r="CX46" s="631" t="str">
        <f t="shared" ca="1" si="29"/>
        <v>-</v>
      </c>
      <c r="CY46" s="632">
        <f ca="1">CV46+COUNTIFS($CW$6:$CW$53,CW46,$CX$6:CX$53,"&gt;"&amp;CX46,$BC$6:$BC$53,INDEX(T_Equipos[Grupo],MATCH(BD46,T_Equipos[NombreEquipo],0)))</f>
        <v>2</v>
      </c>
      <c r="CZ46" s="631" t="str">
        <f ca="1">IF(COUNTIFS($CY$6:$CY$53,CY46,$BC$6:$BC$53,INDEX(T_Equipos[Grupo],MATCH(BD46,T_Equipos[NombreEquipo],0)))=1,"-","P."&amp;CY46&amp;" ("&amp;COUNTIFS($CY$6:$CY$53,CY46,$BC$6:$BC$53,INDEX(T_Equipos[Grupo],MATCH(BD46,T_Equipos[NombreEquipo],0)))&amp;")")</f>
        <v>-</v>
      </c>
      <c r="DA46" s="633" t="str">
        <f ca="1">IF(CZ46="-","-",COUNTIFS(T_Equipos[Rank],"&lt;"&amp;INDEX(T_Equipos[Rank],MATCH(BD46,T_Equipos[NombreEquipo],0)),$BC$6:$BC$53,INDEX(T_Equipos[Grupo],MATCH(BD46,T_Equipos[NombreEquipo],0)))+1)</f>
        <v>-</v>
      </c>
      <c r="DB46" s="630">
        <f ca="1">CY46+COUNTIFS($CZ$6:$CZ$53,CZ46,$DA$6:DA$53,"&lt;"&amp;DA46,$BC$6:$BC$53,INDEX(T_Equipos[Grupo],MATCH(BD46,T_Equipos[NombreEquipo],0)))</f>
        <v>2</v>
      </c>
      <c r="DC46" s="630"/>
      <c r="DD46" s="630">
        <f t="shared" ca="1" si="50"/>
        <v>2</v>
      </c>
      <c r="DE46" s="630" t="str">
        <f ca="1">IF(CZ46="-","-",COUNTIFS(DD$6:DD$53,"&lt;"&amp;DD46,$BC$6:$BC$53,INDEX(T_Equipos[Grupo],MATCH(BD46,T_Equipos[NombreEquipo],0))))</f>
        <v>-</v>
      </c>
      <c r="DF46" s="630">
        <f ca="1">CY46+COUNTIFS(CZ$6:CZ$53,CZ46,DE$6:DE$53,"&lt;"&amp;DE46,$BC$6:$BC$53,INDEX(T_Equipos[Grupo],MATCH(BD46,T_Equipos[NombreEquipo],0)))</f>
        <v>2</v>
      </c>
      <c r="DH46" s="10">
        <f t="shared" ca="1" si="51"/>
        <v>1</v>
      </c>
      <c r="DI46" s="10">
        <f t="shared" ca="1" si="24"/>
        <v>12</v>
      </c>
      <c r="DJ46" s="10">
        <f t="shared" ca="1" si="31"/>
        <v>1</v>
      </c>
      <c r="DK46" s="19" t="str">
        <f t="shared" ca="1" si="32"/>
        <v>1.1</v>
      </c>
      <c r="DL46" s="10" cm="1">
        <f t="array" aca="1" ref="DL46" ca="1">OFFSET(Horarios!$P$3,DH46-1,0,DJ46,1)</f>
        <v>1</v>
      </c>
      <c r="DN46" s="10" t="s">
        <v>698</v>
      </c>
      <c r="DO46" s="10" t="str">
        <f t="shared" ca="1" si="33"/>
        <v>Colombia</v>
      </c>
    </row>
    <row r="47" spans="1:119" ht="16.05" customHeight="1">
      <c r="A47" s="646" t="str">
        <f ca="1">+Equipos!B24</f>
        <v>PO B: UKR/SWE/POL/ALB</v>
      </c>
      <c r="B47" s="11"/>
      <c r="C47" s="10"/>
      <c r="D47" s="10" t="str">
        <f t="shared" si="130"/>
        <v>Local</v>
      </c>
      <c r="E47" s="10" t="str">
        <f t="shared" ca="1" si="131"/>
        <v>P.1 (2)</v>
      </c>
      <c r="F47" s="10" t="str">
        <f t="shared" ca="1" si="132"/>
        <v>P.3 (2)</v>
      </c>
      <c r="G47" s="10"/>
      <c r="H47" s="10" t="str">
        <f t="shared" ca="1" si="133"/>
        <v>-</v>
      </c>
      <c r="I47" s="10" t="str">
        <f t="shared" ca="1" si="134"/>
        <v>-</v>
      </c>
      <c r="J47" s="10"/>
      <c r="K47" s="10" t="str">
        <f t="shared" ca="1" si="135"/>
        <v>-</v>
      </c>
      <c r="L47" s="10" t="str">
        <f t="shared" ca="1" si="136"/>
        <v>-</v>
      </c>
      <c r="M47" s="10"/>
      <c r="N47" s="10" t="str">
        <f t="shared" ca="1" si="137"/>
        <v>-</v>
      </c>
      <c r="O47" s="10" t="str">
        <f t="shared" ca="1" si="138"/>
        <v>-</v>
      </c>
      <c r="P47" s="10"/>
      <c r="Q47" s="10" t="str">
        <f t="shared" ca="1" si="139"/>
        <v>-</v>
      </c>
      <c r="R47" s="10" t="str">
        <f t="shared" ca="1" si="140"/>
        <v>-</v>
      </c>
      <c r="S47" s="10"/>
      <c r="T47" s="10" t="str">
        <f t="shared" ca="1" si="141"/>
        <v>-</v>
      </c>
      <c r="U47" s="10" t="str">
        <f t="shared" ca="1" si="142"/>
        <v>-</v>
      </c>
      <c r="V47" s="20"/>
      <c r="W47" s="659"/>
      <c r="X47" s="27">
        <f ca="1">Horarios!C47</f>
        <v>46193.791666666664</v>
      </c>
      <c r="Y47" s="28">
        <f ca="1">Horarios!C47</f>
        <v>46193.791666666664</v>
      </c>
      <c r="Z47" s="29" t="str">
        <f>$Z$6</f>
        <v>J2</v>
      </c>
      <c r="AA47" s="30" t="str">
        <f ca="1">A45</f>
        <v>Países Bajos</v>
      </c>
      <c r="AB47" s="55" t="str">
        <f ca="1">+INDEX(Equipos!$L$2:$L$49,MATCH(WORLDCUP!AA47,Equipos!$K$2:$K$49,0))</f>
        <v>🇳🇱</v>
      </c>
      <c r="AC47" s="56">
        <v>1</v>
      </c>
      <c r="AD47" s="57">
        <v>0</v>
      </c>
      <c r="AE47" s="58" t="str">
        <f ca="1">+INDEX(Equipos!$L$2:$L$49,MATCH(WORLDCUP!AF47,Equipos!$K$2:$K$49,0))</f>
        <v xml:space="preserve"> </v>
      </c>
      <c r="AF47" s="35" t="str">
        <f ca="1">A47</f>
        <v>PO B: UKR/SWE/POL/ALB</v>
      </c>
      <c r="AG47" s="335">
        <f t="shared" si="143"/>
        <v>1</v>
      </c>
      <c r="AH47" s="204">
        <v>36</v>
      </c>
      <c r="AI47" s="190" t="str">
        <f t="shared" ref="AI47:AI49" si="147">AJ47&amp;$B$44</f>
        <v>2F</v>
      </c>
      <c r="AJ47" s="46">
        <v>2</v>
      </c>
      <c r="AK47" s="40" t="str">
        <f ca="1">+INDEX(Equipos!$L$2:$L$49,MATCH(WORLDCUP!AL47,Equipos!$K$2:$K$49,0))</f>
        <v>🇳🇱</v>
      </c>
      <c r="AL47" s="40" t="str">
        <f ca="1">IFERROR(INDEX($BD$6:$BD$53,MATCH(AI47,$BN$6:$BN$53,0)),"")</f>
        <v>Países Bajos</v>
      </c>
      <c r="AM47" s="41">
        <f t="shared" ca="1" si="146"/>
        <v>6</v>
      </c>
      <c r="AN47" s="42">
        <f t="shared" ca="1" si="146"/>
        <v>3</v>
      </c>
      <c r="AO47" s="42">
        <f t="shared" ca="1" si="146"/>
        <v>2</v>
      </c>
      <c r="AP47" s="42">
        <f t="shared" ca="1" si="146"/>
        <v>0</v>
      </c>
      <c r="AQ47" s="42">
        <f t="shared" ca="1" si="146"/>
        <v>1</v>
      </c>
      <c r="AR47" s="42">
        <f t="shared" ca="1" si="146"/>
        <v>2</v>
      </c>
      <c r="AS47" s="42">
        <f t="shared" ca="1" si="146"/>
        <v>2</v>
      </c>
      <c r="AT47" s="48">
        <f t="shared" ca="1" si="146"/>
        <v>0</v>
      </c>
      <c r="AU47" s="342">
        <f ca="1">INDEX($DJ$6:$DJ$53,MATCH(AI47,$DN$6:$DN$53,0))</f>
        <v>1</v>
      </c>
      <c r="AV47" s="191" t="str">
        <f ca="1">INDEX($BD$6:$BD$53,MATCH(AI47,$BM$6:$BM$53,0))</f>
        <v>Países Bajos</v>
      </c>
      <c r="AW47" s="219"/>
      <c r="AX47" s="179"/>
      <c r="AY47" s="212" t="str">
        <f ca="1">+A46</f>
        <v>Japón</v>
      </c>
      <c r="AZ47" s="213"/>
      <c r="BA47" s="155"/>
      <c r="BC47" s="630" t="str">
        <f ca="1">+INDEX(T_Equipos[Grupo],MATCH(WORLDCUP!BD47,T_Equipos[NombreEquipo],0))</f>
        <v>K</v>
      </c>
      <c r="BD47" s="10" t="str">
        <f ca="1">+Equipos!B43</f>
        <v>PO 1: COD/JAM/NCL</v>
      </c>
      <c r="BE47" s="424">
        <f t="shared" ca="1" si="16"/>
        <v>1</v>
      </c>
      <c r="BF47" s="424">
        <f t="shared" ca="1" si="25"/>
        <v>3</v>
      </c>
      <c r="BG47" s="424">
        <f t="shared" ca="1" si="17"/>
        <v>0</v>
      </c>
      <c r="BH47" s="424">
        <f t="shared" ca="1" si="18"/>
        <v>1</v>
      </c>
      <c r="BI47" s="424">
        <f t="shared" ca="1" si="19"/>
        <v>2</v>
      </c>
      <c r="BJ47" s="424">
        <f t="shared" ca="1" si="20"/>
        <v>0</v>
      </c>
      <c r="BK47" s="424">
        <f t="shared" ca="1" si="21"/>
        <v>2</v>
      </c>
      <c r="BL47" s="424">
        <f t="shared" ca="1" si="26"/>
        <v>-2</v>
      </c>
      <c r="BM47" s="424" t="str">
        <f t="shared" ca="1" si="22"/>
        <v>3K</v>
      </c>
      <c r="BN47" s="424" t="str">
        <f t="shared" ca="1" si="23"/>
        <v>3K</v>
      </c>
      <c r="BO47" s="630"/>
      <c r="BP47" s="631">
        <f t="shared" ca="1" si="27"/>
        <v>1</v>
      </c>
      <c r="BQ47" s="631">
        <f ca="1">COUNTIFS($BE$6:$BE$53,"&gt;"&amp;BE47,$BC$6:$BC$53,INDEX(T_Equipos[Grupo],MATCH(BD47,T_Equipos[NombreEquipo],0)))+1</f>
        <v>3</v>
      </c>
      <c r="BR47" s="631" t="str">
        <f ca="1">IF(COUNTIFS($BQ$6:$BQ$53,BQ47,$BC$6:$BC$53,INDEX(T_Equipos[Grupo],MATCH(BD47,T_Equipos[NombreEquipo],0)))=1,"-","P."&amp;BQ47&amp;" ("&amp;COUNTIFS($BQ$6:$BQ$53,BQ47,$BC$6:$BC$53,INDEX(T_Equipos[Grupo],MATCH(BD47,T_Equipos[NombreEquipo],0)))&amp;")")</f>
        <v>P.3 (2)</v>
      </c>
      <c r="BS47" s="632">
        <f t="shared" ca="1" si="34"/>
        <v>0</v>
      </c>
      <c r="BT47" s="632">
        <f t="shared" ca="1" si="35"/>
        <v>1</v>
      </c>
      <c r="BU47" s="632">
        <f t="shared" ca="1" si="36"/>
        <v>0</v>
      </c>
      <c r="BV47" s="632">
        <f t="shared" ca="1" si="37"/>
        <v>1</v>
      </c>
      <c r="BW47" s="632">
        <f ca="1">BQ47+COUNTIFS($BR$6:$BR$53,BR47,$BV$6:BV$53,"&gt;"&amp;BV47,$BC$6:$BC$53,INDEX(T_Equipos[Grupo],MATCH(BD47,T_Equipos[NombreEquipo],0)))</f>
        <v>3</v>
      </c>
      <c r="BX47" s="631" t="str">
        <f ca="1">IF(COUNTIFS($BW$6:$BW$53,BW47,$BC$6:$BC$53,INDEX(T_Equipos[Grupo],MATCH(BD47,T_Equipos[NombreEquipo],0)))=1,"-","P."&amp;BW47&amp;" ("&amp;COUNTIFS($BW$6:$BW$53,BW47,$BC$6:$BC$53,INDEX(T_Equipos[Grupo],MATCH(BD47,T_Equipos[NombreEquipo],0)))&amp;")")</f>
        <v>P.3 (2)</v>
      </c>
      <c r="BY47" s="632">
        <f t="shared" ca="1" si="38"/>
        <v>0</v>
      </c>
      <c r="BZ47" s="632">
        <f t="shared" ca="1" si="39"/>
        <v>0</v>
      </c>
      <c r="CA47" s="632">
        <f t="shared" ca="1" si="40"/>
        <v>0</v>
      </c>
      <c r="CB47" s="632">
        <f ca="1">BW47+COUNTIFS($BX$6:$BX$53,BX47,$CA$6:CA$53,"&gt;"&amp;CA47,$BC$6:$BC$53,INDEX(T_Equipos[Grupo],MATCH(BD47,T_Equipos[NombreEquipo],0)))</f>
        <v>3</v>
      </c>
      <c r="CC47" s="631" t="str">
        <f ca="1">IF(COUNTIFS($CB$6:$CB$53,CB47,$BC$6:$BC$53,INDEX(T_Equipos[Grupo],MATCH(BD47,T_Equipos[NombreEquipo],0)))=1,"-","P."&amp;CB47&amp;" ("&amp;COUNTIFS($CB$6:$CB$53,CB47,$BC$6:$BC$53,INDEX(T_Equipos[Grupo],MATCH(BD47,T_Equipos[NombreEquipo],0)))&amp;")")</f>
        <v>P.3 (2)</v>
      </c>
      <c r="CD47" s="632">
        <f t="shared" ca="1" si="41"/>
        <v>0</v>
      </c>
      <c r="CE47" s="632">
        <f ca="1">CB47+COUNTIFS($CC$6:$CC$53,CC47,$CD$6:CD$53,"&gt;"&amp;CD47,$BC$6:$BC$53,INDEX(T_Equipos[Grupo],MATCH(BD47,T_Equipos[NombreEquipo],0)))</f>
        <v>3</v>
      </c>
      <c r="CF47" s="631" t="str">
        <f ca="1">IF(COUNTIFS($CE$6:$CE$53,CE47,$BC$6:$BC$53,INDEX(T_Equipos[Grupo],MATCH(BD47,T_Equipos[NombreEquipo],0)))=1,"-","P."&amp;CE47&amp;" ("&amp;COUNTIFS($CE$6:$CE$53,CE47,$BC$6:$BC$53,INDEX(T_Equipos[Grupo],MATCH(BD47,T_Equipos[NombreEquipo],0)))&amp;")")</f>
        <v>P.3 (2)</v>
      </c>
      <c r="CG47" s="632">
        <f t="shared" ca="1" si="42"/>
        <v>0</v>
      </c>
      <c r="CH47" s="632">
        <f t="shared" ca="1" si="43"/>
        <v>1</v>
      </c>
      <c r="CI47" s="632">
        <f t="shared" ca="1" si="44"/>
        <v>0</v>
      </c>
      <c r="CJ47" s="632">
        <f t="shared" ca="1" si="45"/>
        <v>1</v>
      </c>
      <c r="CK47" s="632">
        <f ca="1">CE47+COUNTIFS($CF$6:$CF$53,CF47,$CJ$6:CJ$53,"&gt;"&amp;CJ47,$BC$6:$BC$53,INDEX(T_Equipos[Grupo],MATCH(BD47,T_Equipos[NombreEquipo],0)))</f>
        <v>3</v>
      </c>
      <c r="CL47" s="631" t="str">
        <f ca="1">IF(COUNTIFS($CK$6:$CK$53,CK47,$BC$6:$BC$53,INDEX(T_Equipos[Grupo],MATCH(BD47,T_Equipos[NombreEquipo],0)))=1,"-","P."&amp;CK47&amp;" ("&amp;COUNTIFS($CK$6:$CK$53,CK47,$BC$6:$BC$53,INDEX(T_Equipos[Grupo],MATCH(BD47,T_Equipos[NombreEquipo],0)))&amp;")")</f>
        <v>P.3 (2)</v>
      </c>
      <c r="CM47" s="632">
        <f t="shared" ca="1" si="46"/>
        <v>0</v>
      </c>
      <c r="CN47" s="632">
        <f t="shared" ca="1" si="47"/>
        <v>0</v>
      </c>
      <c r="CO47" s="632">
        <f t="shared" ca="1" si="48"/>
        <v>0</v>
      </c>
      <c r="CP47" s="632">
        <f ca="1">CK47+COUNTIFS($CL$6:$CL$53,CL47,$CO$6:CO$53,"&gt;"&amp;CO47,$BC$6:$BC$53,INDEX(T_Equipos[Grupo],MATCH(BD47,T_Equipos[NombreEquipo],0)))</f>
        <v>3</v>
      </c>
      <c r="CQ47" s="631" t="str">
        <f ca="1">IF(COUNTIFS($CP$6:$CP$53,CP47,$BC$6:$BC$53,INDEX(T_Equipos[Grupo],MATCH(BD47,T_Equipos[NombreEquipo],0)))=1,"-","P."&amp;CP47&amp;" ("&amp;COUNTIFS($CP$6:$CP$53,CP47,$BC$6:$BC$53,INDEX(T_Equipos[Grupo],MATCH(BD47,T_Equipos[NombreEquipo],0)))&amp;")")</f>
        <v>P.3 (2)</v>
      </c>
      <c r="CR47" s="632">
        <f t="shared" ca="1" si="49"/>
        <v>0</v>
      </c>
      <c r="CS47" s="632">
        <f ca="1">CP47+COUNTIFS($CQ$6:$CQ$53,CQ47,$CR$6:CR$53,"&gt;"&amp;CR47,$BC$6:$BC$53,INDEX(T_Equipos[Grupo],MATCH(BD47,T_Equipos[NombreEquipo],0)))</f>
        <v>3</v>
      </c>
      <c r="CT47" s="631" t="str">
        <f ca="1">IF(COUNTIFS($CS$6:$CS$53,CS47,$BC$6:$BC$53,INDEX(T_Equipos[Grupo],MATCH(BD47,T_Equipos[NombreEquipo],0)))=1,"-","P."&amp;CS47&amp;" ("&amp;COUNTIFS($CS$6:$CS$53,CS47,$BC$6:$BC$53,INDEX(T_Equipos[Grupo],MATCH(BD47,T_Equipos[NombreEquipo],0)))&amp;")")</f>
        <v>P.3 (2)</v>
      </c>
      <c r="CU47" s="631">
        <f t="shared" ca="1" si="28"/>
        <v>-2</v>
      </c>
      <c r="CV47" s="631">
        <f ca="1">CS47+COUNTIFS($CT$6:$CT$53,CT47,$CU$6:CU$53,"&gt;"&amp;CU47,$BC$6:$BC$53,INDEX(T_Equipos[Grupo],MATCH(BD47,T_Equipos[NombreEquipo],0)))</f>
        <v>3</v>
      </c>
      <c r="CW47" s="631" t="str">
        <f ca="1">IF(COUNTIFS($CV$6:$CV$53,CV47,$BC$6:$BC$53,INDEX(T_Equipos[Grupo],MATCH(BD47,T_Equipos[NombreEquipo],0)))=1,"-","P."&amp;CV47&amp;" ("&amp;COUNTIFS($CV$6:$CV$53,CV47,$BC$6:$BC$53,INDEX(T_Equipos[Grupo],MATCH(BD47,T_Equipos[NombreEquipo],0)))&amp;")")</f>
        <v>-</v>
      </c>
      <c r="CX47" s="631" t="str">
        <f t="shared" ca="1" si="29"/>
        <v>-</v>
      </c>
      <c r="CY47" s="632">
        <f ca="1">CV47+COUNTIFS($CW$6:$CW$53,CW47,$CX$6:CX$53,"&gt;"&amp;CX47,$BC$6:$BC$53,INDEX(T_Equipos[Grupo],MATCH(BD47,T_Equipos[NombreEquipo],0)))</f>
        <v>3</v>
      </c>
      <c r="CZ47" s="631" t="str">
        <f ca="1">IF(COUNTIFS($CY$6:$CY$53,CY47,$BC$6:$BC$53,INDEX(T_Equipos[Grupo],MATCH(BD47,T_Equipos[NombreEquipo],0)))=1,"-","P."&amp;CY47&amp;" ("&amp;COUNTIFS($CY$6:$CY$53,CY47,$BC$6:$BC$53,INDEX(T_Equipos[Grupo],MATCH(BD47,T_Equipos[NombreEquipo],0)))&amp;")")</f>
        <v>-</v>
      </c>
      <c r="DA47" s="633" t="str">
        <f ca="1">IF(CZ47="-","-",COUNTIFS(T_Equipos[Rank],"&lt;"&amp;INDEX(T_Equipos[Rank],MATCH(BD47,T_Equipos[NombreEquipo],0)),$BC$6:$BC$53,INDEX(T_Equipos[Grupo],MATCH(BD47,T_Equipos[NombreEquipo],0)))+1)</f>
        <v>-</v>
      </c>
      <c r="DB47" s="630">
        <f ca="1">CY47+COUNTIFS($CZ$6:$CZ$53,CZ47,$DA$6:DA$53,"&lt;"&amp;DA47,$BC$6:$BC$53,INDEX(T_Equipos[Grupo],MATCH(BD47,T_Equipos[NombreEquipo],0)))</f>
        <v>3</v>
      </c>
      <c r="DC47" s="630"/>
      <c r="DD47" s="630">
        <f t="shared" ca="1" si="50"/>
        <v>3</v>
      </c>
      <c r="DE47" s="630" t="str">
        <f ca="1">IF(CZ47="-","-",COUNTIFS(DD$6:DD$53,"&lt;"&amp;DD47,$BC$6:$BC$53,INDEX(T_Equipos[Grupo],MATCH(BD47,T_Equipos[NombreEquipo],0))))</f>
        <v>-</v>
      </c>
      <c r="DF47" s="630">
        <f ca="1">CY47+COUNTIFS(CZ$6:CZ$53,CZ47,DE$6:DE$53,"&lt;"&amp;DE47,$BC$6:$BC$53,INDEX(T_Equipos[Grupo],MATCH(BD47,T_Equipos[NombreEquipo],0)))</f>
        <v>3</v>
      </c>
      <c r="DH47" s="10">
        <f t="shared" ca="1" si="51"/>
        <v>2</v>
      </c>
      <c r="DI47" s="10">
        <f t="shared" ca="1" si="24"/>
        <v>12</v>
      </c>
      <c r="DJ47" s="10">
        <f t="shared" ca="1" si="31"/>
        <v>1</v>
      </c>
      <c r="DK47" s="19" t="str">
        <f t="shared" ca="1" si="32"/>
        <v>2.1</v>
      </c>
      <c r="DL47" s="10" cm="1">
        <f t="array" aca="1" ref="DL47" ca="1">OFFSET(Horarios!$P$3,DH47-1,0,DJ47,1)</f>
        <v>2</v>
      </c>
      <c r="DN47" s="10" t="s">
        <v>699</v>
      </c>
      <c r="DO47" s="10" t="str">
        <f t="shared" ca="1" si="33"/>
        <v>Portugal</v>
      </c>
    </row>
    <row r="48" spans="1:119" ht="16.05" customHeight="1">
      <c r="A48" s="646" t="str">
        <f ca="1">+Equipos!B25</f>
        <v>Túnez</v>
      </c>
      <c r="B48" s="11"/>
      <c r="C48" s="10"/>
      <c r="D48" s="10" t="str">
        <f t="shared" si="130"/>
        <v>Local</v>
      </c>
      <c r="E48" s="10" t="str">
        <f t="shared" ca="1" si="131"/>
        <v>P.3 (2)</v>
      </c>
      <c r="F48" s="10" t="str">
        <f t="shared" ca="1" si="132"/>
        <v>P.3 (2)</v>
      </c>
      <c r="G48" s="10"/>
      <c r="H48" s="10" t="str">
        <f t="shared" ca="1" si="133"/>
        <v>-</v>
      </c>
      <c r="I48" s="10" t="str">
        <f t="shared" ca="1" si="134"/>
        <v>-</v>
      </c>
      <c r="J48" s="10"/>
      <c r="K48" s="10" t="str">
        <f t="shared" ca="1" si="135"/>
        <v>-</v>
      </c>
      <c r="L48" s="10" t="str">
        <f t="shared" ca="1" si="136"/>
        <v>-</v>
      </c>
      <c r="M48" s="10"/>
      <c r="N48" s="10" t="str">
        <f t="shared" ca="1" si="137"/>
        <v>-</v>
      </c>
      <c r="O48" s="10" t="str">
        <f t="shared" ca="1" si="138"/>
        <v>-</v>
      </c>
      <c r="P48" s="10"/>
      <c r="Q48" s="10" t="str">
        <f t="shared" ca="1" si="139"/>
        <v>-</v>
      </c>
      <c r="R48" s="10" t="str">
        <f t="shared" ca="1" si="140"/>
        <v>-</v>
      </c>
      <c r="S48" s="10"/>
      <c r="T48" s="10" t="str">
        <f t="shared" ca="1" si="141"/>
        <v>-</v>
      </c>
      <c r="U48" s="10" t="str">
        <f t="shared" ca="1" si="142"/>
        <v>-</v>
      </c>
      <c r="V48" s="20"/>
      <c r="W48" s="659"/>
      <c r="X48" s="27">
        <f ca="1">Horarios!C48</f>
        <v>46199.041666666664</v>
      </c>
      <c r="Y48" s="28">
        <f ca="1">Horarios!C48</f>
        <v>46199.041666666664</v>
      </c>
      <c r="Z48" s="29" t="str">
        <f>$Z$8</f>
        <v>J3</v>
      </c>
      <c r="AA48" s="30" t="str">
        <f ca="1">A46</f>
        <v>Japón</v>
      </c>
      <c r="AB48" s="55" t="str">
        <f ca="1">+INDEX(Equipos!$L$2:$L$49,MATCH(WORLDCUP!AA48,Equipos!$K$2:$K$49,0))</f>
        <v>🇯🇵</v>
      </c>
      <c r="AC48" s="56">
        <v>1</v>
      </c>
      <c r="AD48" s="57">
        <v>0</v>
      </c>
      <c r="AE48" s="58" t="str">
        <f ca="1">+INDEX(Equipos!$L$2:$L$49,MATCH(WORLDCUP!AF48,Equipos!$K$2:$K$49,0))</f>
        <v xml:space="preserve"> </v>
      </c>
      <c r="AF48" s="35" t="str">
        <f ca="1">A47</f>
        <v>PO B: UKR/SWE/POL/ALB</v>
      </c>
      <c r="AG48" s="335">
        <f t="shared" si="143"/>
        <v>1</v>
      </c>
      <c r="AH48" s="204">
        <v>57</v>
      </c>
      <c r="AI48" s="190" t="str">
        <f t="shared" si="147"/>
        <v>3F</v>
      </c>
      <c r="AJ48" s="46">
        <v>3</v>
      </c>
      <c r="AK48" s="40" t="str">
        <f ca="1">+INDEX(Equipos!$L$2:$L$49,MATCH(WORLDCUP!AL48,Equipos!$K$2:$K$49,0))</f>
        <v>🇯🇵</v>
      </c>
      <c r="AL48" s="40" t="str">
        <f ca="1">IFERROR(INDEX($BD$6:$BD$53,MATCH(AI48,$BN$6:$BN$53,0)),"")</f>
        <v>Japón</v>
      </c>
      <c r="AM48" s="41">
        <f t="shared" ca="1" si="146"/>
        <v>3</v>
      </c>
      <c r="AN48" s="42">
        <f t="shared" ca="1" si="146"/>
        <v>3</v>
      </c>
      <c r="AO48" s="42">
        <f t="shared" ca="1" si="146"/>
        <v>1</v>
      </c>
      <c r="AP48" s="42">
        <f t="shared" ca="1" si="146"/>
        <v>0</v>
      </c>
      <c r="AQ48" s="42">
        <f t="shared" ca="1" si="146"/>
        <v>2</v>
      </c>
      <c r="AR48" s="42">
        <f t="shared" ca="1" si="146"/>
        <v>1</v>
      </c>
      <c r="AS48" s="42">
        <f t="shared" ca="1" si="146"/>
        <v>2</v>
      </c>
      <c r="AT48" s="48">
        <f t="shared" ca="1" si="146"/>
        <v>-1</v>
      </c>
      <c r="AU48" s="342">
        <f ca="1">INDEX($DJ$6:$DJ$53,MATCH(AI48,$DN$6:$DN$53,0))</f>
        <v>1</v>
      </c>
      <c r="AV48" s="191" t="str">
        <f ca="1">INDEX($BD$6:$BD$53,MATCH(AI48,$BM$6:$BM$53,0))</f>
        <v>Japón</v>
      </c>
      <c r="AW48" s="219"/>
      <c r="AX48" s="179"/>
      <c r="AY48" s="210" t="str">
        <f ca="1">+A47</f>
        <v>PO B: UKR/SWE/POL/ALB</v>
      </c>
      <c r="AZ48" s="211"/>
      <c r="BA48" s="155"/>
      <c r="BC48" s="630" t="str">
        <f ca="1">+INDEX(T_Equipos[Grupo],MATCH(WORLDCUP!BD48,T_Equipos[NombreEquipo],0))</f>
        <v>K</v>
      </c>
      <c r="BD48" s="10" t="str">
        <f ca="1">+Equipos!B44</f>
        <v>Uzbekistán</v>
      </c>
      <c r="BE48" s="424">
        <f t="shared" ca="1" si="16"/>
        <v>1</v>
      </c>
      <c r="BF48" s="424">
        <f t="shared" ca="1" si="25"/>
        <v>3</v>
      </c>
      <c r="BG48" s="424">
        <f t="shared" ca="1" si="17"/>
        <v>0</v>
      </c>
      <c r="BH48" s="424">
        <f t="shared" ca="1" si="18"/>
        <v>1</v>
      </c>
      <c r="BI48" s="424">
        <f t="shared" ca="1" si="19"/>
        <v>2</v>
      </c>
      <c r="BJ48" s="424">
        <f t="shared" ca="1" si="20"/>
        <v>0</v>
      </c>
      <c r="BK48" s="424">
        <f t="shared" ca="1" si="21"/>
        <v>3</v>
      </c>
      <c r="BL48" s="424">
        <f t="shared" ca="1" si="26"/>
        <v>-3</v>
      </c>
      <c r="BM48" s="424" t="str">
        <f t="shared" ca="1" si="22"/>
        <v>4K</v>
      </c>
      <c r="BN48" s="424" t="str">
        <f t="shared" ca="1" si="23"/>
        <v>4K</v>
      </c>
      <c r="BO48" s="630"/>
      <c r="BP48" s="631">
        <f t="shared" ca="1" si="27"/>
        <v>1</v>
      </c>
      <c r="BQ48" s="631">
        <f ca="1">COUNTIFS($BE$6:$BE$53,"&gt;"&amp;BE48,$BC$6:$BC$53,INDEX(T_Equipos[Grupo],MATCH(BD48,T_Equipos[NombreEquipo],0)))+1</f>
        <v>3</v>
      </c>
      <c r="BR48" s="631" t="str">
        <f ca="1">IF(COUNTIFS($BQ$6:$BQ$53,BQ48,$BC$6:$BC$53,INDEX(T_Equipos[Grupo],MATCH(BD48,T_Equipos[NombreEquipo],0)))=1,"-","P."&amp;BQ48&amp;" ("&amp;COUNTIFS($BQ$6:$BQ$53,BQ48,$BC$6:$BC$53,INDEX(T_Equipos[Grupo],MATCH(BD48,T_Equipos[NombreEquipo],0)))&amp;")")</f>
        <v>P.3 (2)</v>
      </c>
      <c r="BS48" s="632">
        <f t="shared" ca="1" si="34"/>
        <v>0</v>
      </c>
      <c r="BT48" s="632">
        <f t="shared" ca="1" si="35"/>
        <v>1</v>
      </c>
      <c r="BU48" s="632">
        <f t="shared" ca="1" si="36"/>
        <v>0</v>
      </c>
      <c r="BV48" s="632">
        <f t="shared" ca="1" si="37"/>
        <v>1</v>
      </c>
      <c r="BW48" s="632">
        <f ca="1">BQ48+COUNTIFS($BR$6:$BR$53,BR48,$BV$6:BV$53,"&gt;"&amp;BV48,$BC$6:$BC$53,INDEX(T_Equipos[Grupo],MATCH(BD48,T_Equipos[NombreEquipo],0)))</f>
        <v>3</v>
      </c>
      <c r="BX48" s="631" t="str">
        <f ca="1">IF(COUNTIFS($BW$6:$BW$53,BW48,$BC$6:$BC$53,INDEX(T_Equipos[Grupo],MATCH(BD48,T_Equipos[NombreEquipo],0)))=1,"-","P."&amp;BW48&amp;" ("&amp;COUNTIFS($BW$6:$BW$53,BW48,$BC$6:$BC$53,INDEX(T_Equipos[Grupo],MATCH(BD48,T_Equipos[NombreEquipo],0)))&amp;")")</f>
        <v>P.3 (2)</v>
      </c>
      <c r="BY48" s="632">
        <f t="shared" ca="1" si="38"/>
        <v>0</v>
      </c>
      <c r="BZ48" s="632">
        <f t="shared" ca="1" si="39"/>
        <v>0</v>
      </c>
      <c r="CA48" s="632">
        <f t="shared" ca="1" si="40"/>
        <v>0</v>
      </c>
      <c r="CB48" s="632">
        <f ca="1">BW48+COUNTIFS($BX$6:$BX$53,BX48,$CA$6:CA$53,"&gt;"&amp;CA48,$BC$6:$BC$53,INDEX(T_Equipos[Grupo],MATCH(BD48,T_Equipos[NombreEquipo],0)))</f>
        <v>3</v>
      </c>
      <c r="CC48" s="631" t="str">
        <f ca="1">IF(COUNTIFS($CB$6:$CB$53,CB48,$BC$6:$BC$53,INDEX(T_Equipos[Grupo],MATCH(BD48,T_Equipos[NombreEquipo],0)))=1,"-","P."&amp;CB48&amp;" ("&amp;COUNTIFS($CB$6:$CB$53,CB48,$BC$6:$BC$53,INDEX(T_Equipos[Grupo],MATCH(BD48,T_Equipos[NombreEquipo],0)))&amp;")")</f>
        <v>P.3 (2)</v>
      </c>
      <c r="CD48" s="632">
        <f t="shared" ca="1" si="41"/>
        <v>0</v>
      </c>
      <c r="CE48" s="632">
        <f ca="1">CB48+COUNTIFS($CC$6:$CC$53,CC48,$CD$6:CD$53,"&gt;"&amp;CD48,$BC$6:$BC$53,INDEX(T_Equipos[Grupo],MATCH(BD48,T_Equipos[NombreEquipo],0)))</f>
        <v>3</v>
      </c>
      <c r="CF48" s="631" t="str">
        <f ca="1">IF(COUNTIFS($CE$6:$CE$53,CE48,$BC$6:$BC$53,INDEX(T_Equipos[Grupo],MATCH(BD48,T_Equipos[NombreEquipo],0)))=1,"-","P."&amp;CE48&amp;" ("&amp;COUNTIFS($CE$6:$CE$53,CE48,$BC$6:$BC$53,INDEX(T_Equipos[Grupo],MATCH(BD48,T_Equipos[NombreEquipo],0)))&amp;")")</f>
        <v>P.3 (2)</v>
      </c>
      <c r="CG48" s="632">
        <f t="shared" ca="1" si="42"/>
        <v>0</v>
      </c>
      <c r="CH48" s="632">
        <f t="shared" ca="1" si="43"/>
        <v>1</v>
      </c>
      <c r="CI48" s="632">
        <f t="shared" ca="1" si="44"/>
        <v>0</v>
      </c>
      <c r="CJ48" s="632">
        <f t="shared" ca="1" si="45"/>
        <v>1</v>
      </c>
      <c r="CK48" s="632">
        <f ca="1">CE48+COUNTIFS($CF$6:$CF$53,CF48,$CJ$6:CJ$53,"&gt;"&amp;CJ48,$BC$6:$BC$53,INDEX(T_Equipos[Grupo],MATCH(BD48,T_Equipos[NombreEquipo],0)))</f>
        <v>3</v>
      </c>
      <c r="CL48" s="631" t="str">
        <f ca="1">IF(COUNTIFS($CK$6:$CK$53,CK48,$BC$6:$BC$53,INDEX(T_Equipos[Grupo],MATCH(BD48,T_Equipos[NombreEquipo],0)))=1,"-","P."&amp;CK48&amp;" ("&amp;COUNTIFS($CK$6:$CK$53,CK48,$BC$6:$BC$53,INDEX(T_Equipos[Grupo],MATCH(BD48,T_Equipos[NombreEquipo],0)))&amp;")")</f>
        <v>P.3 (2)</v>
      </c>
      <c r="CM48" s="632">
        <f t="shared" ca="1" si="46"/>
        <v>0</v>
      </c>
      <c r="CN48" s="632">
        <f t="shared" ca="1" si="47"/>
        <v>0</v>
      </c>
      <c r="CO48" s="632">
        <f t="shared" ca="1" si="48"/>
        <v>0</v>
      </c>
      <c r="CP48" s="632">
        <f ca="1">CK48+COUNTIFS($CL$6:$CL$53,CL48,$CO$6:CO$53,"&gt;"&amp;CO48,$BC$6:$BC$53,INDEX(T_Equipos[Grupo],MATCH(BD48,T_Equipos[NombreEquipo],0)))</f>
        <v>3</v>
      </c>
      <c r="CQ48" s="631" t="str">
        <f ca="1">IF(COUNTIFS($CP$6:$CP$53,CP48,$BC$6:$BC$53,INDEX(T_Equipos[Grupo],MATCH(BD48,T_Equipos[NombreEquipo],0)))=1,"-","P."&amp;CP48&amp;" ("&amp;COUNTIFS($CP$6:$CP$53,CP48,$BC$6:$BC$53,INDEX(T_Equipos[Grupo],MATCH(BD48,T_Equipos[NombreEquipo],0)))&amp;")")</f>
        <v>P.3 (2)</v>
      </c>
      <c r="CR48" s="632">
        <f t="shared" ca="1" si="49"/>
        <v>0</v>
      </c>
      <c r="CS48" s="632">
        <f ca="1">CP48+COUNTIFS($CQ$6:$CQ$53,CQ48,$CR$6:CR$53,"&gt;"&amp;CR48,$BC$6:$BC$53,INDEX(T_Equipos[Grupo],MATCH(BD48,T_Equipos[NombreEquipo],0)))</f>
        <v>3</v>
      </c>
      <c r="CT48" s="631" t="str">
        <f ca="1">IF(COUNTIFS($CS$6:$CS$53,CS48,$BC$6:$BC$53,INDEX(T_Equipos[Grupo],MATCH(BD48,T_Equipos[NombreEquipo],0)))=1,"-","P."&amp;CS48&amp;" ("&amp;COUNTIFS($CS$6:$CS$53,CS48,$BC$6:$BC$53,INDEX(T_Equipos[Grupo],MATCH(BD48,T_Equipos[NombreEquipo],0)))&amp;")")</f>
        <v>P.3 (2)</v>
      </c>
      <c r="CU48" s="631">
        <f t="shared" ca="1" si="28"/>
        <v>-3</v>
      </c>
      <c r="CV48" s="631">
        <f ca="1">CS48+COUNTIFS($CT$6:$CT$53,CT48,$CU$6:CU$53,"&gt;"&amp;CU48,$BC$6:$BC$53,INDEX(T_Equipos[Grupo],MATCH(BD48,T_Equipos[NombreEquipo],0)))</f>
        <v>4</v>
      </c>
      <c r="CW48" s="631" t="str">
        <f ca="1">IF(COUNTIFS($CV$6:$CV$53,CV48,$BC$6:$BC$53,INDEX(T_Equipos[Grupo],MATCH(BD48,T_Equipos[NombreEquipo],0)))=1,"-","P."&amp;CV48&amp;" ("&amp;COUNTIFS($CV$6:$CV$53,CV48,$BC$6:$BC$53,INDEX(T_Equipos[Grupo],MATCH(BD48,T_Equipos[NombreEquipo],0)))&amp;")")</f>
        <v>-</v>
      </c>
      <c r="CX48" s="631" t="str">
        <f t="shared" ca="1" si="29"/>
        <v>-</v>
      </c>
      <c r="CY48" s="632">
        <f ca="1">CV48+COUNTIFS($CW$6:$CW$53,CW48,$CX$6:CX$53,"&gt;"&amp;CX48,$BC$6:$BC$53,INDEX(T_Equipos[Grupo],MATCH(BD48,T_Equipos[NombreEquipo],0)))</f>
        <v>4</v>
      </c>
      <c r="CZ48" s="631" t="str">
        <f ca="1">IF(COUNTIFS($CY$6:$CY$53,CY48,$BC$6:$BC$53,INDEX(T_Equipos[Grupo],MATCH(BD48,T_Equipos[NombreEquipo],0)))=1,"-","P."&amp;CY48&amp;" ("&amp;COUNTIFS($CY$6:$CY$53,CY48,$BC$6:$BC$53,INDEX(T_Equipos[Grupo],MATCH(BD48,T_Equipos[NombreEquipo],0)))&amp;")")</f>
        <v>-</v>
      </c>
      <c r="DA48" s="633" t="str">
        <f ca="1">IF(CZ48="-","-",COUNTIFS(T_Equipos[Rank],"&lt;"&amp;INDEX(T_Equipos[Rank],MATCH(BD48,T_Equipos[NombreEquipo],0)),$BC$6:$BC$53,INDEX(T_Equipos[Grupo],MATCH(BD48,T_Equipos[NombreEquipo],0)))+1)</f>
        <v>-</v>
      </c>
      <c r="DB48" s="630">
        <f ca="1">CY48+COUNTIFS($CZ$6:$CZ$53,CZ48,$DA$6:DA$53,"&lt;"&amp;DA48,$BC$6:$BC$53,INDEX(T_Equipos[Grupo],MATCH(BD48,T_Equipos[NombreEquipo],0)))</f>
        <v>4</v>
      </c>
      <c r="DC48" s="630"/>
      <c r="DD48" s="630">
        <f t="shared" ca="1" si="50"/>
        <v>4</v>
      </c>
      <c r="DE48" s="630" t="str">
        <f ca="1">IF(CZ48="-","-",COUNTIFS(DD$6:DD$53,"&lt;"&amp;DD48,$BC$6:$BC$53,INDEX(T_Equipos[Grupo],MATCH(BD48,T_Equipos[NombreEquipo],0))))</f>
        <v>-</v>
      </c>
      <c r="DF48" s="630">
        <f ca="1">CY48+COUNTIFS(CZ$6:CZ$53,CZ48,DE$6:DE$53,"&lt;"&amp;DE48,$BC$6:$BC$53,INDEX(T_Equipos[Grupo],MATCH(BD48,T_Equipos[NombreEquipo],0)))</f>
        <v>4</v>
      </c>
      <c r="DH48" s="10">
        <f t="shared" ca="1" si="51"/>
        <v>3</v>
      </c>
      <c r="DI48" s="10">
        <f t="shared" ca="1" si="24"/>
        <v>12</v>
      </c>
      <c r="DJ48" s="10">
        <f t="shared" ca="1" si="31"/>
        <v>1</v>
      </c>
      <c r="DK48" s="19" t="str">
        <f t="shared" ca="1" si="32"/>
        <v>3.1</v>
      </c>
      <c r="DL48" s="10" cm="1">
        <f t="array" aca="1" ref="DL48" ca="1">OFFSET(Horarios!$P$3,DH48-1,0,DJ48,1)</f>
        <v>3</v>
      </c>
      <c r="DN48" s="10" t="s">
        <v>459</v>
      </c>
      <c r="DO48" s="10" t="str">
        <f t="shared" ca="1" si="33"/>
        <v>PO 1: COD/JAM/NCL</v>
      </c>
    </row>
    <row r="49" spans="1:119 5612:5612 8867:8867 13370:13370" ht="16.95" customHeight="1" thickBot="1">
      <c r="A49" s="643"/>
      <c r="B49" s="643"/>
      <c r="C49" s="643"/>
      <c r="D49" s="10" t="str">
        <f t="shared" si="130"/>
        <v>Local</v>
      </c>
      <c r="E49" s="10" t="str">
        <f t="shared" ca="1" si="131"/>
        <v>P.1 (2)</v>
      </c>
      <c r="F49" s="10" t="str">
        <f t="shared" ca="1" si="132"/>
        <v>P.1 (2)</v>
      </c>
      <c r="G49" s="10"/>
      <c r="H49" s="10" t="str">
        <f t="shared" ca="1" si="133"/>
        <v>-</v>
      </c>
      <c r="I49" s="10" t="str">
        <f t="shared" ca="1" si="134"/>
        <v>-</v>
      </c>
      <c r="J49" s="10"/>
      <c r="K49" s="10" t="str">
        <f t="shared" ca="1" si="135"/>
        <v>-</v>
      </c>
      <c r="L49" s="10" t="str">
        <f t="shared" ca="1" si="136"/>
        <v>-</v>
      </c>
      <c r="M49" s="10"/>
      <c r="N49" s="10" t="str">
        <f t="shared" ca="1" si="137"/>
        <v>-</v>
      </c>
      <c r="O49" s="10" t="str">
        <f t="shared" ca="1" si="138"/>
        <v>-</v>
      </c>
      <c r="P49" s="10"/>
      <c r="Q49" s="10" t="str">
        <f t="shared" ca="1" si="139"/>
        <v>-</v>
      </c>
      <c r="R49" s="10" t="str">
        <f t="shared" ca="1" si="140"/>
        <v>-</v>
      </c>
      <c r="S49" s="10"/>
      <c r="T49" s="10" t="str">
        <f t="shared" ca="1" si="141"/>
        <v>-</v>
      </c>
      <c r="U49" s="10" t="str">
        <f t="shared" ca="1" si="142"/>
        <v>-</v>
      </c>
      <c r="V49" s="20"/>
      <c r="W49" s="660"/>
      <c r="X49" s="31">
        <f ca="1">Horarios!C49</f>
        <v>46199.041666666664</v>
      </c>
      <c r="Y49" s="32">
        <f ca="1">Horarios!C49</f>
        <v>46199.041666666664</v>
      </c>
      <c r="Z49" s="33" t="str">
        <f>$Z$8</f>
        <v>J3</v>
      </c>
      <c r="AA49" s="34" t="str">
        <f ca="1">A48</f>
        <v>Túnez</v>
      </c>
      <c r="AB49" s="59" t="str">
        <f ca="1">+INDEX(Equipos!$L$2:$L$49,MATCH(WORLDCUP!AA49,Equipos!$K$2:$K$49,0))</f>
        <v>🇹🇳</v>
      </c>
      <c r="AC49" s="60">
        <v>2</v>
      </c>
      <c r="AD49" s="61">
        <v>0</v>
      </c>
      <c r="AE49" s="62" t="str">
        <f ca="1">+INDEX(Equipos!$L$2:$L$49,MATCH(WORLDCUP!AF49,Equipos!$K$2:$K$49,0))</f>
        <v>🇳🇱</v>
      </c>
      <c r="AF49" s="36" t="str">
        <f ca="1">A45</f>
        <v>Países Bajos</v>
      </c>
      <c r="AG49" s="335">
        <f t="shared" si="143"/>
        <v>1</v>
      </c>
      <c r="AH49" s="204">
        <v>58</v>
      </c>
      <c r="AI49" s="190" t="str">
        <f t="shared" si="147"/>
        <v>4F</v>
      </c>
      <c r="AJ49" s="49">
        <v>4</v>
      </c>
      <c r="AK49" s="51" t="str">
        <f ca="1">+INDEX(Equipos!$L$2:$L$49,MATCH(WORLDCUP!AL49,Equipos!$K$2:$K$49,0))</f>
        <v xml:space="preserve"> </v>
      </c>
      <c r="AL49" s="51" t="str">
        <f ca="1">IFERROR(INDEX($BD$6:$BD$53,MATCH(AI49,$BN$6:$BN$53,0)),"")</f>
        <v>PO B: UKR/SWE/POL/ALB</v>
      </c>
      <c r="AM49" s="52">
        <f t="shared" ca="1" si="146"/>
        <v>3</v>
      </c>
      <c r="AN49" s="53">
        <f t="shared" ca="1" si="146"/>
        <v>3</v>
      </c>
      <c r="AO49" s="53">
        <f t="shared" ca="1" si="146"/>
        <v>1</v>
      </c>
      <c r="AP49" s="53">
        <f t="shared" ca="1" si="146"/>
        <v>0</v>
      </c>
      <c r="AQ49" s="53">
        <f t="shared" ca="1" si="146"/>
        <v>2</v>
      </c>
      <c r="AR49" s="53">
        <f t="shared" ca="1" si="146"/>
        <v>1</v>
      </c>
      <c r="AS49" s="53">
        <f t="shared" ca="1" si="146"/>
        <v>2</v>
      </c>
      <c r="AT49" s="54">
        <f t="shared" ca="1" si="146"/>
        <v>-1</v>
      </c>
      <c r="AU49" s="342">
        <f ca="1">INDEX($DJ$6:$DJ$53,MATCH(AI49,$DN$6:$DN$53,0))</f>
        <v>1</v>
      </c>
      <c r="AV49" s="191" t="str">
        <f ca="1">INDEX($BD$6:$BD$53,MATCH(AI49,$BM$6:$BM$53,0))</f>
        <v>PO B: UKR/SWE/POL/ALB</v>
      </c>
      <c r="AW49" s="219"/>
      <c r="AX49" s="179"/>
      <c r="AY49" s="214" t="str">
        <f ca="1">+A48</f>
        <v>Túnez</v>
      </c>
      <c r="AZ49" s="215"/>
      <c r="BA49" s="155"/>
      <c r="BC49" s="630" t="str">
        <f ca="1">+INDEX(T_Equipos[Grupo],MATCH(WORLDCUP!BD49,T_Equipos[NombreEquipo],0))</f>
        <v>K</v>
      </c>
      <c r="BD49" s="10" t="str">
        <f ca="1">+Equipos!B45</f>
        <v>Colombia</v>
      </c>
      <c r="BE49" s="424">
        <f t="shared" ca="1" si="16"/>
        <v>9</v>
      </c>
      <c r="BF49" s="424">
        <f t="shared" ca="1" si="25"/>
        <v>3</v>
      </c>
      <c r="BG49" s="424">
        <f t="shared" ca="1" si="17"/>
        <v>3</v>
      </c>
      <c r="BH49" s="424">
        <f t="shared" ca="1" si="18"/>
        <v>0</v>
      </c>
      <c r="BI49" s="424">
        <f t="shared" ca="1" si="19"/>
        <v>0</v>
      </c>
      <c r="BJ49" s="424">
        <f t="shared" ca="1" si="20"/>
        <v>4</v>
      </c>
      <c r="BK49" s="424">
        <f t="shared" ca="1" si="21"/>
        <v>0</v>
      </c>
      <c r="BL49" s="424">
        <f t="shared" ca="1" si="26"/>
        <v>4</v>
      </c>
      <c r="BM49" s="424" t="str">
        <f t="shared" ca="1" si="22"/>
        <v>1K</v>
      </c>
      <c r="BN49" s="424" t="str">
        <f t="shared" ca="1" si="23"/>
        <v>1K</v>
      </c>
      <c r="BO49" s="630"/>
      <c r="BP49" s="631">
        <f t="shared" ca="1" si="27"/>
        <v>9</v>
      </c>
      <c r="BQ49" s="631">
        <f ca="1">COUNTIFS($BE$6:$BE$53,"&gt;"&amp;BE49,$BC$6:$BC$53,INDEX(T_Equipos[Grupo],MATCH(BD49,T_Equipos[NombreEquipo],0)))+1</f>
        <v>1</v>
      </c>
      <c r="BR49" s="631" t="str">
        <f ca="1">IF(COUNTIFS($BQ$6:$BQ$53,BQ49,$BC$6:$BC$53,INDEX(T_Equipos[Grupo],MATCH(BD49,T_Equipos[NombreEquipo],0)))=1,"-","P."&amp;BQ49&amp;" ("&amp;COUNTIFS($BQ$6:$BQ$53,BQ49,$BC$6:$BC$53,INDEX(T_Equipos[Grupo],MATCH(BD49,T_Equipos[NombreEquipo],0)))&amp;")")</f>
        <v>-</v>
      </c>
      <c r="BS49" s="632" t="str">
        <f t="shared" ca="1" si="34"/>
        <v>-</v>
      </c>
      <c r="BT49" s="632" t="str">
        <f t="shared" ca="1" si="35"/>
        <v>-</v>
      </c>
      <c r="BU49" s="632" t="str">
        <f t="shared" ca="1" si="36"/>
        <v>-</v>
      </c>
      <c r="BV49" s="632" t="str">
        <f t="shared" ca="1" si="37"/>
        <v>-</v>
      </c>
      <c r="BW49" s="632">
        <f ca="1">BQ49+COUNTIFS($BR$6:$BR$53,BR49,$BV$6:BV$53,"&gt;"&amp;BV49,$BC$6:$BC$53,INDEX(T_Equipos[Grupo],MATCH(BD49,T_Equipos[NombreEquipo],0)))</f>
        <v>1</v>
      </c>
      <c r="BX49" s="631" t="str">
        <f ca="1">IF(COUNTIFS($BW$6:$BW$53,BW49,$BC$6:$BC$53,INDEX(T_Equipos[Grupo],MATCH(BD49,T_Equipos[NombreEquipo],0)))=1,"-","P."&amp;BW49&amp;" ("&amp;COUNTIFS($BW$6:$BW$53,BW49,$BC$6:$BC$53,INDEX(T_Equipos[Grupo],MATCH(BD49,T_Equipos[NombreEquipo],0)))&amp;")")</f>
        <v>-</v>
      </c>
      <c r="BY49" s="632" t="str">
        <f t="shared" ca="1" si="38"/>
        <v>-</v>
      </c>
      <c r="BZ49" s="632" t="str">
        <f t="shared" ca="1" si="39"/>
        <v>-</v>
      </c>
      <c r="CA49" s="632" t="str">
        <f t="shared" ca="1" si="40"/>
        <v>-</v>
      </c>
      <c r="CB49" s="632">
        <f ca="1">BW49+COUNTIFS($BX$6:$BX$53,BX49,$CA$6:CA$53,"&gt;"&amp;CA49,$BC$6:$BC$53,INDEX(T_Equipos[Grupo],MATCH(BD49,T_Equipos[NombreEquipo],0)))</f>
        <v>1</v>
      </c>
      <c r="CC49" s="631" t="str">
        <f ca="1">IF(COUNTIFS($CB$6:$CB$53,CB49,$BC$6:$BC$53,INDEX(T_Equipos[Grupo],MATCH(BD49,T_Equipos[NombreEquipo],0)))=1,"-","P."&amp;CB49&amp;" ("&amp;COUNTIFS($CB$6:$CB$53,CB49,$BC$6:$BC$53,INDEX(T_Equipos[Grupo],MATCH(BD49,T_Equipos[NombreEquipo],0)))&amp;")")</f>
        <v>-</v>
      </c>
      <c r="CD49" s="632" t="str">
        <f t="shared" ca="1" si="41"/>
        <v>-</v>
      </c>
      <c r="CE49" s="632">
        <f ca="1">CB49+COUNTIFS($CC$6:$CC$53,CC49,$CD$6:CD$53,"&gt;"&amp;CD49,$BC$6:$BC$53,INDEX(T_Equipos[Grupo],MATCH(BD49,T_Equipos[NombreEquipo],0)))</f>
        <v>1</v>
      </c>
      <c r="CF49" s="631" t="str">
        <f ca="1">IF(COUNTIFS($CE$6:$CE$53,CE49,$BC$6:$BC$53,INDEX(T_Equipos[Grupo],MATCH(BD49,T_Equipos[NombreEquipo],0)))=1,"-","P."&amp;CE49&amp;" ("&amp;COUNTIFS($CE$6:$CE$53,CE49,$BC$6:$BC$53,INDEX(T_Equipos[Grupo],MATCH(BD49,T_Equipos[NombreEquipo],0)))&amp;")")</f>
        <v>-</v>
      </c>
      <c r="CG49" s="632" t="str">
        <f t="shared" ca="1" si="42"/>
        <v>-</v>
      </c>
      <c r="CH49" s="632" t="str">
        <f t="shared" ca="1" si="43"/>
        <v>-</v>
      </c>
      <c r="CI49" s="632" t="str">
        <f t="shared" ca="1" si="44"/>
        <v>-</v>
      </c>
      <c r="CJ49" s="632" t="str">
        <f t="shared" ca="1" si="45"/>
        <v>-</v>
      </c>
      <c r="CK49" s="632">
        <f ca="1">CE49+COUNTIFS($CF$6:$CF$53,CF49,$CJ$6:CJ$53,"&gt;"&amp;CJ49,$BC$6:$BC$53,INDEX(T_Equipos[Grupo],MATCH(BD49,T_Equipos[NombreEquipo],0)))</f>
        <v>1</v>
      </c>
      <c r="CL49" s="631" t="str">
        <f ca="1">IF(COUNTIFS($CK$6:$CK$53,CK49,$BC$6:$BC$53,INDEX(T_Equipos[Grupo],MATCH(BD49,T_Equipos[NombreEquipo],0)))=1,"-","P."&amp;CK49&amp;" ("&amp;COUNTIFS($CK$6:$CK$53,CK49,$BC$6:$BC$53,INDEX(T_Equipos[Grupo],MATCH(BD49,T_Equipos[NombreEquipo],0)))&amp;")")</f>
        <v>-</v>
      </c>
      <c r="CM49" s="632" t="str">
        <f t="shared" ca="1" si="46"/>
        <v>-</v>
      </c>
      <c r="CN49" s="632" t="str">
        <f t="shared" ca="1" si="47"/>
        <v>-</v>
      </c>
      <c r="CO49" s="632" t="str">
        <f t="shared" ca="1" si="48"/>
        <v>-</v>
      </c>
      <c r="CP49" s="632">
        <f ca="1">CK49+COUNTIFS($CL$6:$CL$53,CL49,$CO$6:CO$53,"&gt;"&amp;CO49,$BC$6:$BC$53,INDEX(T_Equipos[Grupo],MATCH(BD49,T_Equipos[NombreEquipo],0)))</f>
        <v>1</v>
      </c>
      <c r="CQ49" s="631" t="str">
        <f ca="1">IF(COUNTIFS($CP$6:$CP$53,CP49,$BC$6:$BC$53,INDEX(T_Equipos[Grupo],MATCH(BD49,T_Equipos[NombreEquipo],0)))=1,"-","P."&amp;CP49&amp;" ("&amp;COUNTIFS($CP$6:$CP$53,CP49,$BC$6:$BC$53,INDEX(T_Equipos[Grupo],MATCH(BD49,T_Equipos[NombreEquipo],0)))&amp;")")</f>
        <v>-</v>
      </c>
      <c r="CR49" s="632" t="str">
        <f t="shared" ca="1" si="49"/>
        <v>-</v>
      </c>
      <c r="CS49" s="632">
        <f ca="1">CP49+COUNTIFS($CQ$6:$CQ$53,CQ49,$CR$6:CR$53,"&gt;"&amp;CR49,$BC$6:$BC$53,INDEX(T_Equipos[Grupo],MATCH(BD49,T_Equipos[NombreEquipo],0)))</f>
        <v>1</v>
      </c>
      <c r="CT49" s="631" t="str">
        <f ca="1">IF(COUNTIFS($CS$6:$CS$53,CS49,$BC$6:$BC$53,INDEX(T_Equipos[Grupo],MATCH(BD49,T_Equipos[NombreEquipo],0)))=1,"-","P."&amp;CS49&amp;" ("&amp;COUNTIFS($CS$6:$CS$53,CS49,$BC$6:$BC$53,INDEX(T_Equipos[Grupo],MATCH(BD49,T_Equipos[NombreEquipo],0)))&amp;")")</f>
        <v>-</v>
      </c>
      <c r="CU49" s="631" t="str">
        <f t="shared" ca="1" si="28"/>
        <v>-</v>
      </c>
      <c r="CV49" s="631">
        <f ca="1">CS49+COUNTIFS($CT$6:$CT$53,CT49,$CU$6:CU$53,"&gt;"&amp;CU49,$BC$6:$BC$53,INDEX(T_Equipos[Grupo],MATCH(BD49,T_Equipos[NombreEquipo],0)))</f>
        <v>1</v>
      </c>
      <c r="CW49" s="631" t="str">
        <f ca="1">IF(COUNTIFS($CV$6:$CV$53,CV49,$BC$6:$BC$53,INDEX(T_Equipos[Grupo],MATCH(BD49,T_Equipos[NombreEquipo],0)))=1,"-","P."&amp;CV49&amp;" ("&amp;COUNTIFS($CV$6:$CV$53,CV49,$BC$6:$BC$53,INDEX(T_Equipos[Grupo],MATCH(BD49,T_Equipos[NombreEquipo],0)))&amp;")")</f>
        <v>-</v>
      </c>
      <c r="CX49" s="631" t="str">
        <f t="shared" ca="1" si="29"/>
        <v>-</v>
      </c>
      <c r="CY49" s="632">
        <f ca="1">CV49+COUNTIFS($CW$6:$CW$53,CW49,$CX$6:CX$53,"&gt;"&amp;CX49,$BC$6:$BC$53,INDEX(T_Equipos[Grupo],MATCH(BD49,T_Equipos[NombreEquipo],0)))</f>
        <v>1</v>
      </c>
      <c r="CZ49" s="631" t="str">
        <f ca="1">IF(COUNTIFS($CY$6:$CY$53,CY49,$BC$6:$BC$53,INDEX(T_Equipos[Grupo],MATCH(BD49,T_Equipos[NombreEquipo],0)))=1,"-","P."&amp;CY49&amp;" ("&amp;COUNTIFS($CY$6:$CY$53,CY49,$BC$6:$BC$53,INDEX(T_Equipos[Grupo],MATCH(BD49,T_Equipos[NombreEquipo],0)))&amp;")")</f>
        <v>-</v>
      </c>
      <c r="DA49" s="633" t="str">
        <f ca="1">IF(CZ49="-","-",COUNTIFS(T_Equipos[Rank],"&lt;"&amp;INDEX(T_Equipos[Rank],MATCH(BD49,T_Equipos[NombreEquipo],0)),$BC$6:$BC$53,INDEX(T_Equipos[Grupo],MATCH(BD49,T_Equipos[NombreEquipo],0)))+1)</f>
        <v>-</v>
      </c>
      <c r="DB49" s="630">
        <f ca="1">CY49+COUNTIFS($CZ$6:$CZ$53,CZ49,$DA$6:DA$53,"&lt;"&amp;DA49,$BC$6:$BC$53,INDEX(T_Equipos[Grupo],MATCH(BD49,T_Equipos[NombreEquipo],0)))</f>
        <v>1</v>
      </c>
      <c r="DC49" s="630"/>
      <c r="DD49" s="630">
        <f t="shared" ca="1" si="50"/>
        <v>1</v>
      </c>
      <c r="DE49" s="630" t="str">
        <f ca="1">IF(CZ49="-","-",COUNTIFS(DD$6:DD$53,"&lt;"&amp;DD49,$BC$6:$BC$53,INDEX(T_Equipos[Grupo],MATCH(BD49,T_Equipos[NombreEquipo],0))))</f>
        <v>-</v>
      </c>
      <c r="DF49" s="630">
        <f ca="1">CY49+COUNTIFS(CZ$6:CZ$53,CZ49,DE$6:DE$53,"&lt;"&amp;DE49,$BC$6:$BC$53,INDEX(T_Equipos[Grupo],MATCH(BD49,T_Equipos[NombreEquipo],0)))</f>
        <v>1</v>
      </c>
      <c r="DH49" s="10">
        <f t="shared" ca="1" si="51"/>
        <v>4</v>
      </c>
      <c r="DI49" s="10">
        <f t="shared" ca="1" si="24"/>
        <v>12</v>
      </c>
      <c r="DJ49" s="10">
        <f t="shared" ca="1" si="31"/>
        <v>1</v>
      </c>
      <c r="DK49" s="19" t="str">
        <f t="shared" ca="1" si="32"/>
        <v>4.1</v>
      </c>
      <c r="DL49" s="10" cm="1">
        <f t="array" aca="1" ref="DL49" ca="1">OFFSET(Horarios!$P$3,DH49-1,0,DJ49,1)</f>
        <v>4</v>
      </c>
      <c r="DN49" s="10" t="s">
        <v>700</v>
      </c>
      <c r="DO49" s="10" t="str">
        <f t="shared" ca="1" si="33"/>
        <v>Uzbekistán</v>
      </c>
    </row>
    <row r="50" spans="1:119 5612:5612 8867:8867 13370:13370" ht="15" thickBot="1">
      <c r="A50" s="643"/>
      <c r="B50" s="643"/>
      <c r="C50" s="643"/>
      <c r="D50" s="10"/>
      <c r="E50" s="10"/>
      <c r="F50" s="10"/>
      <c r="G50" s="10"/>
      <c r="H50" s="10"/>
      <c r="I50" s="10"/>
      <c r="J50" s="10"/>
      <c r="K50" s="10"/>
      <c r="L50" s="10"/>
      <c r="M50" s="10"/>
      <c r="N50" s="10"/>
      <c r="O50" s="10"/>
      <c r="P50" s="10"/>
      <c r="Q50" s="10"/>
      <c r="R50" s="10"/>
      <c r="S50" s="10"/>
      <c r="T50" s="10"/>
      <c r="U50" s="10"/>
      <c r="V50" s="20"/>
      <c r="W50" s="162"/>
      <c r="X50" s="163"/>
      <c r="Y50" s="162"/>
      <c r="Z50" s="164"/>
      <c r="AA50" s="165"/>
      <c r="AB50" s="166"/>
      <c r="AC50" s="159"/>
      <c r="AD50" s="159"/>
      <c r="AE50" s="166"/>
      <c r="AF50" s="167"/>
      <c r="AG50" s="337"/>
      <c r="AH50" s="204"/>
      <c r="AI50" s="189"/>
      <c r="AJ50" s="168"/>
      <c r="AK50" s="169"/>
      <c r="AL50" s="170"/>
      <c r="AM50" s="171"/>
      <c r="AN50" s="168"/>
      <c r="AO50" s="168"/>
      <c r="AP50" s="168"/>
      <c r="AQ50" s="168"/>
      <c r="AR50" s="168"/>
      <c r="AS50" s="168"/>
      <c r="AT50" s="168"/>
      <c r="AU50" s="342"/>
      <c r="AV50" s="198"/>
      <c r="AW50" s="220"/>
      <c r="AX50" s="179"/>
      <c r="AY50" s="162"/>
      <c r="AZ50" s="163"/>
      <c r="BA50" s="155"/>
      <c r="BC50" s="630" t="str">
        <f ca="1">+INDEX(T_Equipos[Grupo],MATCH(WORLDCUP!BD50,T_Equipos[NombreEquipo],0))</f>
        <v>L</v>
      </c>
      <c r="BD50" s="10" t="str">
        <f ca="1">+Equipos!B46</f>
        <v>Inglaterra</v>
      </c>
      <c r="BE50" s="424">
        <f t="shared" ca="1" si="16"/>
        <v>7</v>
      </c>
      <c r="BF50" s="424">
        <f t="shared" ca="1" si="25"/>
        <v>3</v>
      </c>
      <c r="BG50" s="424">
        <f t="shared" ca="1" si="17"/>
        <v>2</v>
      </c>
      <c r="BH50" s="424">
        <f t="shared" ca="1" si="18"/>
        <v>1</v>
      </c>
      <c r="BI50" s="424">
        <f t="shared" ca="1" si="19"/>
        <v>0</v>
      </c>
      <c r="BJ50" s="424">
        <f t="shared" ca="1" si="20"/>
        <v>4</v>
      </c>
      <c r="BK50" s="424">
        <f t="shared" ca="1" si="21"/>
        <v>1</v>
      </c>
      <c r="BL50" s="424">
        <f t="shared" ca="1" si="26"/>
        <v>3</v>
      </c>
      <c r="BM50" s="424" t="str">
        <f t="shared" ca="1" si="22"/>
        <v>1L</v>
      </c>
      <c r="BN50" s="424" t="str">
        <f t="shared" ca="1" si="23"/>
        <v>1L</v>
      </c>
      <c r="BO50" s="630"/>
      <c r="BP50" s="632">
        <f t="shared" ca="1" si="27"/>
        <v>7</v>
      </c>
      <c r="BQ50" s="631">
        <f ca="1">COUNTIFS($BE$6:$BE$53,"&gt;"&amp;BE50,$BC$6:$BC$53,INDEX(T_Equipos[Grupo],MATCH(BD50,T_Equipos[NombreEquipo],0)))+1</f>
        <v>1</v>
      </c>
      <c r="BR50" s="631" t="str">
        <f ca="1">IF(COUNTIFS($BQ$6:$BQ$53,BQ50,$BC$6:$BC$53,INDEX(T_Equipos[Grupo],MATCH(BD50,T_Equipos[NombreEquipo],0)))=1,"-","P."&amp;BQ50&amp;" ("&amp;COUNTIFS($BQ$6:$BQ$53,BQ50,$BC$6:$BC$53,INDEX(T_Equipos[Grupo],MATCH(BD50,T_Equipos[NombreEquipo],0)))&amp;")")</f>
        <v>-</v>
      </c>
      <c r="BS50" s="632" t="str">
        <f t="shared" ca="1" si="34"/>
        <v>-</v>
      </c>
      <c r="BT50" s="632" t="str">
        <f t="shared" ca="1" si="35"/>
        <v>-</v>
      </c>
      <c r="BU50" s="632" t="str">
        <f t="shared" ca="1" si="36"/>
        <v>-</v>
      </c>
      <c r="BV50" s="632" t="str">
        <f t="shared" ca="1" si="37"/>
        <v>-</v>
      </c>
      <c r="BW50" s="632">
        <f ca="1">BQ50+COUNTIFS($BR$6:$BR$53,BR50,$BV$6:BV$53,"&gt;"&amp;BV50,$BC$6:$BC$53,INDEX(T_Equipos[Grupo],MATCH(BD50,T_Equipos[NombreEquipo],0)))</f>
        <v>1</v>
      </c>
      <c r="BX50" s="631" t="str">
        <f ca="1">IF(COUNTIFS($BW$6:$BW$53,BW50,$BC$6:$BC$53,INDEX(T_Equipos[Grupo],MATCH(BD50,T_Equipos[NombreEquipo],0)))=1,"-","P."&amp;BW50&amp;" ("&amp;COUNTIFS($BW$6:$BW$53,BW50,$BC$6:$BC$53,INDEX(T_Equipos[Grupo],MATCH(BD50,T_Equipos[NombreEquipo],0)))&amp;")")</f>
        <v>-</v>
      </c>
      <c r="BY50" s="632" t="str">
        <f t="shared" ca="1" si="38"/>
        <v>-</v>
      </c>
      <c r="BZ50" s="632" t="str">
        <f t="shared" ca="1" si="39"/>
        <v>-</v>
      </c>
      <c r="CA50" s="632" t="str">
        <f t="shared" ca="1" si="40"/>
        <v>-</v>
      </c>
      <c r="CB50" s="632">
        <f ca="1">BW50+COUNTIFS($BX$6:$BX$53,BX50,$CA$6:CA$53,"&gt;"&amp;CA50,$BC$6:$BC$53,INDEX(T_Equipos[Grupo],MATCH(BD50,T_Equipos[NombreEquipo],0)))</f>
        <v>1</v>
      </c>
      <c r="CC50" s="631" t="str">
        <f ca="1">IF(COUNTIFS($CB$6:$CB$53,CB50,$BC$6:$BC$53,INDEX(T_Equipos[Grupo],MATCH(BD50,T_Equipos[NombreEquipo],0)))=1,"-","P."&amp;CB50&amp;" ("&amp;COUNTIFS($CB$6:$CB$53,CB50,$BC$6:$BC$53,INDEX(T_Equipos[Grupo],MATCH(BD50,T_Equipos[NombreEquipo],0)))&amp;")")</f>
        <v>-</v>
      </c>
      <c r="CD50" s="632" t="str">
        <f t="shared" ca="1" si="41"/>
        <v>-</v>
      </c>
      <c r="CE50" s="632">
        <f ca="1">CB50+COUNTIFS($CC$6:$CC$53,CC50,$CD$6:CD$53,"&gt;"&amp;CD50,$BC$6:$BC$53,INDEX(T_Equipos[Grupo],MATCH(BD50,T_Equipos[NombreEquipo],0)))</f>
        <v>1</v>
      </c>
      <c r="CF50" s="631" t="str">
        <f ca="1">IF(COUNTIFS($CE$6:$CE$53,CE50,$BC$6:$BC$53,INDEX(T_Equipos[Grupo],MATCH(BD50,T_Equipos[NombreEquipo],0)))=1,"-","P."&amp;CE50&amp;" ("&amp;COUNTIFS($CE$6:$CE$53,CE50,$BC$6:$BC$53,INDEX(T_Equipos[Grupo],MATCH(BD50,T_Equipos[NombreEquipo],0)))&amp;")")</f>
        <v>-</v>
      </c>
      <c r="CG50" s="632" t="str">
        <f t="shared" ca="1" si="42"/>
        <v>-</v>
      </c>
      <c r="CH50" s="632" t="str">
        <f t="shared" ca="1" si="43"/>
        <v>-</v>
      </c>
      <c r="CI50" s="632" t="str">
        <f t="shared" ca="1" si="44"/>
        <v>-</v>
      </c>
      <c r="CJ50" s="632" t="str">
        <f t="shared" ca="1" si="45"/>
        <v>-</v>
      </c>
      <c r="CK50" s="632">
        <f ca="1">CE50+COUNTIFS($CF$6:$CF$53,CF50,$CJ$6:CJ$53,"&gt;"&amp;CJ50,$BC$6:$BC$53,INDEX(T_Equipos[Grupo],MATCH(BD50,T_Equipos[NombreEquipo],0)))</f>
        <v>1</v>
      </c>
      <c r="CL50" s="631" t="str">
        <f ca="1">IF(COUNTIFS($CK$6:$CK$53,CK50,$BC$6:$BC$53,INDEX(T_Equipos[Grupo],MATCH(BD50,T_Equipos[NombreEquipo],0)))=1,"-","P."&amp;CK50&amp;" ("&amp;COUNTIFS($CK$6:$CK$53,CK50,$BC$6:$BC$53,INDEX(T_Equipos[Grupo],MATCH(BD50,T_Equipos[NombreEquipo],0)))&amp;")")</f>
        <v>-</v>
      </c>
      <c r="CM50" s="632" t="str">
        <f t="shared" ca="1" si="46"/>
        <v>-</v>
      </c>
      <c r="CN50" s="632" t="str">
        <f t="shared" ca="1" si="47"/>
        <v>-</v>
      </c>
      <c r="CO50" s="632" t="str">
        <f t="shared" ca="1" si="48"/>
        <v>-</v>
      </c>
      <c r="CP50" s="632">
        <f ca="1">CK50+COUNTIFS($CL$6:$CL$53,CL50,$CO$6:CO$53,"&gt;"&amp;CO50,$BC$6:$BC$53,INDEX(T_Equipos[Grupo],MATCH(BD50,T_Equipos[NombreEquipo],0)))</f>
        <v>1</v>
      </c>
      <c r="CQ50" s="631" t="str">
        <f ca="1">IF(COUNTIFS($CP$6:$CP$53,CP50,$BC$6:$BC$53,INDEX(T_Equipos[Grupo],MATCH(BD50,T_Equipos[NombreEquipo],0)))=1,"-","P."&amp;CP50&amp;" ("&amp;COUNTIFS($CP$6:$CP$53,CP50,$BC$6:$BC$53,INDEX(T_Equipos[Grupo],MATCH(BD50,T_Equipos[NombreEquipo],0)))&amp;")")</f>
        <v>-</v>
      </c>
      <c r="CR50" s="632" t="str">
        <f t="shared" ca="1" si="49"/>
        <v>-</v>
      </c>
      <c r="CS50" s="632">
        <f ca="1">CP50+COUNTIFS($CQ$6:$CQ$53,CQ50,$CR$6:CR$53,"&gt;"&amp;CR50,$BC$6:$BC$53,INDEX(T_Equipos[Grupo],MATCH(BD50,T_Equipos[NombreEquipo],0)))</f>
        <v>1</v>
      </c>
      <c r="CT50" s="631" t="str">
        <f ca="1">IF(COUNTIFS($CS$6:$CS$53,CS50,$BC$6:$BC$53,INDEX(T_Equipos[Grupo],MATCH(BD50,T_Equipos[NombreEquipo],0)))=1,"-","P."&amp;CS50&amp;" ("&amp;COUNTIFS($CS$6:$CS$53,CS50,$BC$6:$BC$53,INDEX(T_Equipos[Grupo],MATCH(BD50,T_Equipos[NombreEquipo],0)))&amp;")")</f>
        <v>-</v>
      </c>
      <c r="CU50" s="631" t="str">
        <f t="shared" ca="1" si="28"/>
        <v>-</v>
      </c>
      <c r="CV50" s="631">
        <f ca="1">CS50+COUNTIFS($CT$6:$CT$53,CT50,$CU$6:CU$53,"&gt;"&amp;CU50,$BC$6:$BC$53,INDEX(T_Equipos[Grupo],MATCH(BD50,T_Equipos[NombreEquipo],0)))</f>
        <v>1</v>
      </c>
      <c r="CW50" s="631" t="str">
        <f ca="1">IF(COUNTIFS($CV$6:$CV$53,CV50,$BC$6:$BC$53,INDEX(T_Equipos[Grupo],MATCH(BD50,T_Equipos[NombreEquipo],0)))=1,"-","P."&amp;CV50&amp;" ("&amp;COUNTIFS($CV$6:$CV$53,CV50,$BC$6:$BC$53,INDEX(T_Equipos[Grupo],MATCH(BD50,T_Equipos[NombreEquipo],0)))&amp;")")</f>
        <v>-</v>
      </c>
      <c r="CX50" s="631" t="str">
        <f t="shared" ca="1" si="29"/>
        <v>-</v>
      </c>
      <c r="CY50" s="632">
        <f ca="1">CV50+COUNTIFS($CW$6:$CW$53,CW50,$CX$6:CX$53,"&gt;"&amp;CX50,$BC$6:$BC$53,INDEX(T_Equipos[Grupo],MATCH(BD50,T_Equipos[NombreEquipo],0)))</f>
        <v>1</v>
      </c>
      <c r="CZ50" s="631" t="str">
        <f ca="1">IF(COUNTIFS($CY$6:$CY$53,CY50,$BC$6:$BC$53,INDEX(T_Equipos[Grupo],MATCH(BD50,T_Equipos[NombreEquipo],0)))=1,"-","P."&amp;CY50&amp;" ("&amp;COUNTIFS($CY$6:$CY$53,CY50,$BC$6:$BC$53,INDEX(T_Equipos[Grupo],MATCH(BD50,T_Equipos[NombreEquipo],0)))&amp;")")</f>
        <v>-</v>
      </c>
      <c r="DA50" s="633" t="str">
        <f ca="1">IF(CZ50="-","-",COUNTIFS(T_Equipos[Rank],"&lt;"&amp;INDEX(T_Equipos[Rank],MATCH(BD50,T_Equipos[NombreEquipo],0)),$BC$6:$BC$53,INDEX(T_Equipos[Grupo],MATCH(BD50,T_Equipos[NombreEquipo],0)))+1)</f>
        <v>-</v>
      </c>
      <c r="DB50" s="630">
        <f ca="1">CY50+COUNTIFS($CZ$6:$CZ$53,CZ50,$DA$6:DA$53,"&lt;"&amp;DA50,$BC$6:$BC$53,INDEX(T_Equipos[Grupo],MATCH(BD50,T_Equipos[NombreEquipo],0)))</f>
        <v>1</v>
      </c>
      <c r="DC50" s="630"/>
      <c r="DD50" s="630">
        <f t="shared" ca="1" si="50"/>
        <v>1</v>
      </c>
      <c r="DE50" s="630" t="str">
        <f ca="1">IF(CZ50="-","-",COUNTIFS(DD$6:DD$53,"&lt;"&amp;DD50,$BC$6:$BC$53,INDEX(T_Equipos[Grupo],MATCH(BD50,T_Equipos[NombreEquipo],0))))</f>
        <v>-</v>
      </c>
      <c r="DF50" s="630">
        <f ca="1">CY50+COUNTIFS(CZ$6:CZ$53,CZ50,DE$6:DE$53,"&lt;"&amp;DE50,$BC$6:$BC$53,INDEX(T_Equipos[Grupo],MATCH(BD50,T_Equipos[NombreEquipo],0)))</f>
        <v>1</v>
      </c>
      <c r="DH50" s="10">
        <f t="shared" ca="1" si="51"/>
        <v>1</v>
      </c>
      <c r="DI50" s="10">
        <f t="shared" ca="1" si="24"/>
        <v>12</v>
      </c>
      <c r="DJ50" s="10">
        <f t="shared" ca="1" si="31"/>
        <v>1</v>
      </c>
      <c r="DK50" s="19" t="str">
        <f t="shared" ca="1" si="32"/>
        <v>1.1</v>
      </c>
      <c r="DL50" s="10" cm="1">
        <f t="array" aca="1" ref="DL50" ca="1">OFFSET(Horarios!$P$3,DH50-1,0,DJ50,1)</f>
        <v>1</v>
      </c>
      <c r="DN50" s="10" t="s">
        <v>701</v>
      </c>
      <c r="DO50" s="10" t="str">
        <f t="shared" ca="1" si="33"/>
        <v>Inglaterra</v>
      </c>
    </row>
    <row r="51" spans="1:119 5612:5612 8867:8867 13370:13370" ht="15" thickBot="1">
      <c r="A51" s="643"/>
      <c r="B51" s="643"/>
      <c r="C51" s="643"/>
      <c r="D51" s="643"/>
      <c r="E51" s="643"/>
      <c r="F51" s="643"/>
      <c r="G51" s="643"/>
      <c r="H51" s="643"/>
      <c r="I51" s="643"/>
      <c r="J51" s="643"/>
      <c r="K51" s="643"/>
      <c r="L51" s="643"/>
      <c r="M51" s="643"/>
      <c r="N51" s="10"/>
      <c r="O51" s="10"/>
      <c r="P51" s="10"/>
      <c r="Q51" s="10"/>
      <c r="R51" s="10"/>
      <c r="S51" s="10"/>
      <c r="T51" s="10"/>
      <c r="U51" s="10"/>
      <c r="V51" s="20"/>
      <c r="W51" s="9"/>
      <c r="X51" s="77" t="str">
        <f>X3</f>
        <v>Fecha</v>
      </c>
      <c r="Y51" s="77" t="str">
        <f>Y3</f>
        <v>Hora</v>
      </c>
      <c r="Z51" s="63" t="str">
        <f>Z3</f>
        <v>Jor.</v>
      </c>
      <c r="AA51" s="65" t="str">
        <f>AA3</f>
        <v>Casa</v>
      </c>
      <c r="AB51" s="64"/>
      <c r="AC51" s="63" t="str">
        <f>AC3</f>
        <v>Gol</v>
      </c>
      <c r="AD51" s="63" t="str">
        <f>AD3</f>
        <v>Gol</v>
      </c>
      <c r="AE51" s="64"/>
      <c r="AF51" s="66" t="str">
        <f>AF3</f>
        <v>Fuera</v>
      </c>
      <c r="AG51" s="336"/>
      <c r="AH51" s="204"/>
      <c r="AI51" s="188"/>
      <c r="AJ51" s="170"/>
      <c r="AK51" s="172"/>
      <c r="AL51" s="170"/>
      <c r="AM51" s="170"/>
      <c r="AN51" s="170"/>
      <c r="AO51" s="170"/>
      <c r="AP51" s="170"/>
      <c r="AQ51" s="170"/>
      <c r="AR51" s="170"/>
      <c r="AS51" s="170"/>
      <c r="AT51" s="170"/>
      <c r="AU51" s="343"/>
      <c r="AV51" s="197"/>
      <c r="AW51" s="221"/>
      <c r="AX51" s="180"/>
      <c r="AY51" s="162"/>
      <c r="AZ51" s="163"/>
      <c r="BA51" s="155"/>
      <c r="BC51" s="630" t="str">
        <f ca="1">+INDEX(T_Equipos[Grupo],MATCH(WORLDCUP!BD51,T_Equipos[NombreEquipo],0))</f>
        <v>L</v>
      </c>
      <c r="BD51" s="10" t="str">
        <f ca="1">+Equipos!B47</f>
        <v>Croacia</v>
      </c>
      <c r="BE51" s="424">
        <f t="shared" ca="1" si="16"/>
        <v>5</v>
      </c>
      <c r="BF51" s="424">
        <f t="shared" ca="1" si="25"/>
        <v>3</v>
      </c>
      <c r="BG51" s="424">
        <f t="shared" ca="1" si="17"/>
        <v>1</v>
      </c>
      <c r="BH51" s="424">
        <f t="shared" ca="1" si="18"/>
        <v>2</v>
      </c>
      <c r="BI51" s="424">
        <f t="shared" ca="1" si="19"/>
        <v>0</v>
      </c>
      <c r="BJ51" s="424">
        <f t="shared" ca="1" si="20"/>
        <v>3</v>
      </c>
      <c r="BK51" s="424">
        <f t="shared" ca="1" si="21"/>
        <v>2</v>
      </c>
      <c r="BL51" s="424">
        <f t="shared" ca="1" si="26"/>
        <v>1</v>
      </c>
      <c r="BM51" s="424" t="str">
        <f t="shared" ca="1" si="22"/>
        <v>2L</v>
      </c>
      <c r="BN51" s="424" t="str">
        <f t="shared" ca="1" si="23"/>
        <v>2L</v>
      </c>
      <c r="BO51" s="630"/>
      <c r="BP51" s="632">
        <f t="shared" ca="1" si="27"/>
        <v>5</v>
      </c>
      <c r="BQ51" s="631">
        <f ca="1">COUNTIFS($BE$6:$BE$53,"&gt;"&amp;BE51,$BC$6:$BC$53,INDEX(T_Equipos[Grupo],MATCH(BD51,T_Equipos[NombreEquipo],0)))+1</f>
        <v>2</v>
      </c>
      <c r="BR51" s="631" t="str">
        <f ca="1">IF(COUNTIFS($BQ$6:$BQ$53,BQ51,$BC$6:$BC$53,INDEX(T_Equipos[Grupo],MATCH(BD51,T_Equipos[NombreEquipo],0)))=1,"-","P."&amp;BQ51&amp;" ("&amp;COUNTIFS($BQ$6:$BQ$53,BQ51,$BC$6:$BC$53,INDEX(T_Equipos[Grupo],MATCH(BD51,T_Equipos[NombreEquipo],0)))&amp;")")</f>
        <v>-</v>
      </c>
      <c r="BS51" s="632" t="str">
        <f t="shared" ca="1" si="34"/>
        <v>-</v>
      </c>
      <c r="BT51" s="632" t="str">
        <f t="shared" ca="1" si="35"/>
        <v>-</v>
      </c>
      <c r="BU51" s="632" t="str">
        <f t="shared" ca="1" si="36"/>
        <v>-</v>
      </c>
      <c r="BV51" s="632" t="str">
        <f t="shared" ca="1" si="37"/>
        <v>-</v>
      </c>
      <c r="BW51" s="632">
        <f ca="1">BQ51+COUNTIFS($BR$6:$BR$53,BR51,$BV$6:BV$53,"&gt;"&amp;BV51,$BC$6:$BC$53,INDEX(T_Equipos[Grupo],MATCH(BD51,T_Equipos[NombreEquipo],0)))</f>
        <v>2</v>
      </c>
      <c r="BX51" s="631" t="str">
        <f ca="1">IF(COUNTIFS($BW$6:$BW$53,BW51,$BC$6:$BC$53,INDEX(T_Equipos[Grupo],MATCH(BD51,T_Equipos[NombreEquipo],0)))=1,"-","P."&amp;BW51&amp;" ("&amp;COUNTIFS($BW$6:$BW$53,BW51,$BC$6:$BC$53,INDEX(T_Equipos[Grupo],MATCH(BD51,T_Equipos[NombreEquipo],0)))&amp;")")</f>
        <v>-</v>
      </c>
      <c r="BY51" s="632" t="str">
        <f t="shared" ca="1" si="38"/>
        <v>-</v>
      </c>
      <c r="BZ51" s="632" t="str">
        <f t="shared" ca="1" si="39"/>
        <v>-</v>
      </c>
      <c r="CA51" s="632" t="str">
        <f t="shared" ca="1" si="40"/>
        <v>-</v>
      </c>
      <c r="CB51" s="632">
        <f ca="1">BW51+COUNTIFS($BX$6:$BX$53,BX51,$CA$6:CA$53,"&gt;"&amp;CA51,$BC$6:$BC$53,INDEX(T_Equipos[Grupo],MATCH(BD51,T_Equipos[NombreEquipo],0)))</f>
        <v>2</v>
      </c>
      <c r="CC51" s="631" t="str">
        <f ca="1">IF(COUNTIFS($CB$6:$CB$53,CB51,$BC$6:$BC$53,INDEX(T_Equipos[Grupo],MATCH(BD51,T_Equipos[NombreEquipo],0)))=1,"-","P."&amp;CB51&amp;" ("&amp;COUNTIFS($CB$6:$CB$53,CB51,$BC$6:$BC$53,INDEX(T_Equipos[Grupo],MATCH(BD51,T_Equipos[NombreEquipo],0)))&amp;")")</f>
        <v>-</v>
      </c>
      <c r="CD51" s="632" t="str">
        <f t="shared" ca="1" si="41"/>
        <v>-</v>
      </c>
      <c r="CE51" s="632">
        <f ca="1">CB51+COUNTIFS($CC$6:$CC$53,CC51,$CD$6:CD$53,"&gt;"&amp;CD51,$BC$6:$BC$53,INDEX(T_Equipos[Grupo],MATCH(BD51,T_Equipos[NombreEquipo],0)))</f>
        <v>2</v>
      </c>
      <c r="CF51" s="631" t="str">
        <f ca="1">IF(COUNTIFS($CE$6:$CE$53,CE51,$BC$6:$BC$53,INDEX(T_Equipos[Grupo],MATCH(BD51,T_Equipos[NombreEquipo],0)))=1,"-","P."&amp;CE51&amp;" ("&amp;COUNTIFS($CE$6:$CE$53,CE51,$BC$6:$BC$53,INDEX(T_Equipos[Grupo],MATCH(BD51,T_Equipos[NombreEquipo],0)))&amp;")")</f>
        <v>-</v>
      </c>
      <c r="CG51" s="632" t="str">
        <f t="shared" ca="1" si="42"/>
        <v>-</v>
      </c>
      <c r="CH51" s="632" t="str">
        <f t="shared" ca="1" si="43"/>
        <v>-</v>
      </c>
      <c r="CI51" s="632" t="str">
        <f t="shared" ca="1" si="44"/>
        <v>-</v>
      </c>
      <c r="CJ51" s="632" t="str">
        <f t="shared" ca="1" si="45"/>
        <v>-</v>
      </c>
      <c r="CK51" s="632">
        <f ca="1">CE51+COUNTIFS($CF$6:$CF$53,CF51,$CJ$6:CJ$53,"&gt;"&amp;CJ51,$BC$6:$BC$53,INDEX(T_Equipos[Grupo],MATCH(BD51,T_Equipos[NombreEquipo],0)))</f>
        <v>2</v>
      </c>
      <c r="CL51" s="631" t="str">
        <f ca="1">IF(COUNTIFS($CK$6:$CK$53,CK51,$BC$6:$BC$53,INDEX(T_Equipos[Grupo],MATCH(BD51,T_Equipos[NombreEquipo],0)))=1,"-","P."&amp;CK51&amp;" ("&amp;COUNTIFS($CK$6:$CK$53,CK51,$BC$6:$BC$53,INDEX(T_Equipos[Grupo],MATCH(BD51,T_Equipos[NombreEquipo],0)))&amp;")")</f>
        <v>-</v>
      </c>
      <c r="CM51" s="632" t="str">
        <f t="shared" ca="1" si="46"/>
        <v>-</v>
      </c>
      <c r="CN51" s="632" t="str">
        <f t="shared" ca="1" si="47"/>
        <v>-</v>
      </c>
      <c r="CO51" s="632" t="str">
        <f t="shared" ca="1" si="48"/>
        <v>-</v>
      </c>
      <c r="CP51" s="632">
        <f ca="1">CK51+COUNTIFS($CL$6:$CL$53,CL51,$CO$6:CO$53,"&gt;"&amp;CO51,$BC$6:$BC$53,INDEX(T_Equipos[Grupo],MATCH(BD51,T_Equipos[NombreEquipo],0)))</f>
        <v>2</v>
      </c>
      <c r="CQ51" s="631" t="str">
        <f ca="1">IF(COUNTIFS($CP$6:$CP$53,CP51,$BC$6:$BC$53,INDEX(T_Equipos[Grupo],MATCH(BD51,T_Equipos[NombreEquipo],0)))=1,"-","P."&amp;CP51&amp;" ("&amp;COUNTIFS($CP$6:$CP$53,CP51,$BC$6:$BC$53,INDEX(T_Equipos[Grupo],MATCH(BD51,T_Equipos[NombreEquipo],0)))&amp;")")</f>
        <v>-</v>
      </c>
      <c r="CR51" s="632" t="str">
        <f t="shared" ca="1" si="49"/>
        <v>-</v>
      </c>
      <c r="CS51" s="632">
        <f ca="1">CP51+COUNTIFS($CQ$6:$CQ$53,CQ51,$CR$6:CR$53,"&gt;"&amp;CR51,$BC$6:$BC$53,INDEX(T_Equipos[Grupo],MATCH(BD51,T_Equipos[NombreEquipo],0)))</f>
        <v>2</v>
      </c>
      <c r="CT51" s="631" t="str">
        <f ca="1">IF(COUNTIFS($CS$6:$CS$53,CS51,$BC$6:$BC$53,INDEX(T_Equipos[Grupo],MATCH(BD51,T_Equipos[NombreEquipo],0)))=1,"-","P."&amp;CS51&amp;" ("&amp;COUNTIFS($CS$6:$CS$53,CS51,$BC$6:$BC$53,INDEX(T_Equipos[Grupo],MATCH(BD51,T_Equipos[NombreEquipo],0)))&amp;")")</f>
        <v>-</v>
      </c>
      <c r="CU51" s="631" t="str">
        <f t="shared" ca="1" si="28"/>
        <v>-</v>
      </c>
      <c r="CV51" s="631">
        <f ca="1">CS51+COUNTIFS($CT$6:$CT$53,CT51,$CU$6:CU$53,"&gt;"&amp;CU51,$BC$6:$BC$53,INDEX(T_Equipos[Grupo],MATCH(BD51,T_Equipos[NombreEquipo],0)))</f>
        <v>2</v>
      </c>
      <c r="CW51" s="631" t="str">
        <f ca="1">IF(COUNTIFS($CV$6:$CV$53,CV51,$BC$6:$BC$53,INDEX(T_Equipos[Grupo],MATCH(BD51,T_Equipos[NombreEquipo],0)))=1,"-","P."&amp;CV51&amp;" ("&amp;COUNTIFS($CV$6:$CV$53,CV51,$BC$6:$BC$53,INDEX(T_Equipos[Grupo],MATCH(BD51,T_Equipos[NombreEquipo],0)))&amp;")")</f>
        <v>-</v>
      </c>
      <c r="CX51" s="631" t="str">
        <f t="shared" ca="1" si="29"/>
        <v>-</v>
      </c>
      <c r="CY51" s="632">
        <f ca="1">CV51+COUNTIFS($CW$6:$CW$53,CW51,$CX$6:CX$53,"&gt;"&amp;CX51,$BC$6:$BC$53,INDEX(T_Equipos[Grupo],MATCH(BD51,T_Equipos[NombreEquipo],0)))</f>
        <v>2</v>
      </c>
      <c r="CZ51" s="631" t="str">
        <f ca="1">IF(COUNTIFS($CY$6:$CY$53,CY51,$BC$6:$BC$53,INDEX(T_Equipos[Grupo],MATCH(BD51,T_Equipos[NombreEquipo],0)))=1,"-","P."&amp;CY51&amp;" ("&amp;COUNTIFS($CY$6:$CY$53,CY51,$BC$6:$BC$53,INDEX(T_Equipos[Grupo],MATCH(BD51,T_Equipos[NombreEquipo],0)))&amp;")")</f>
        <v>-</v>
      </c>
      <c r="DA51" s="633" t="str">
        <f ca="1">IF(CZ51="-","-",COUNTIFS(T_Equipos[Rank],"&lt;"&amp;INDEX(T_Equipos[Rank],MATCH(BD51,T_Equipos[NombreEquipo],0)),$BC$6:$BC$53,INDEX(T_Equipos[Grupo],MATCH(BD51,T_Equipos[NombreEquipo],0)))+1)</f>
        <v>-</v>
      </c>
      <c r="DB51" s="630">
        <f ca="1">CY51+COUNTIFS($CZ$6:$CZ$53,CZ51,$DA$6:DA$53,"&lt;"&amp;DA51,$BC$6:$BC$53,INDEX(T_Equipos[Grupo],MATCH(BD51,T_Equipos[NombreEquipo],0)))</f>
        <v>2</v>
      </c>
      <c r="DC51" s="630"/>
      <c r="DD51" s="630">
        <f t="shared" ca="1" si="50"/>
        <v>2</v>
      </c>
      <c r="DE51" s="630" t="str">
        <f ca="1">IF(CZ51="-","-",COUNTIFS(DD$6:DD$53,"&lt;"&amp;DD51,$BC$6:$BC$53,INDEX(T_Equipos[Grupo],MATCH(BD51,T_Equipos[NombreEquipo],0))))</f>
        <v>-</v>
      </c>
      <c r="DF51" s="630">
        <f ca="1">CY51+COUNTIFS(CZ$6:CZ$53,CZ51,DE$6:DE$53,"&lt;"&amp;DE51,$BC$6:$BC$53,INDEX(T_Equipos[Grupo],MATCH(BD51,T_Equipos[NombreEquipo],0)))</f>
        <v>2</v>
      </c>
      <c r="DH51" s="10">
        <f t="shared" ca="1" si="51"/>
        <v>2</v>
      </c>
      <c r="DI51" s="10">
        <f t="shared" ca="1" si="24"/>
        <v>12</v>
      </c>
      <c r="DJ51" s="10">
        <f t="shared" ca="1" si="31"/>
        <v>1</v>
      </c>
      <c r="DK51" s="19" t="str">
        <f t="shared" ca="1" si="32"/>
        <v>2.1</v>
      </c>
      <c r="DL51" s="10" cm="1">
        <f t="array" aca="1" ref="DL51" ca="1">OFFSET(Horarios!$P$3,DH51-1,0,DJ51,1)</f>
        <v>2</v>
      </c>
      <c r="DN51" s="10" t="s">
        <v>702</v>
      </c>
      <c r="DO51" s="10" t="str">
        <f t="shared" ca="1" si="33"/>
        <v>Croacia</v>
      </c>
      <c r="MCA51" s="10" t="s">
        <v>15</v>
      </c>
    </row>
    <row r="52" spans="1:119 5612:5612 8867:8867 13370:13370" ht="15" customHeight="1" thickBot="1">
      <c r="A52" s="645" t="s">
        <v>32</v>
      </c>
      <c r="B52" s="11" t="s">
        <v>6</v>
      </c>
      <c r="C52" s="441">
        <f>COUNTIF(Equipos!$C$2:$C$49,WORLDCUP!B52)</f>
        <v>4</v>
      </c>
      <c r="D52" s="10" t="str">
        <f t="shared" ref="D52:D57" si="148">IF(OR(AC52="",AD52=""),"Pendiente",IF(AC52&gt;AD52,"Local",IF(AC52&lt;AD52,"Visitante","Empate")))</f>
        <v>Local</v>
      </c>
      <c r="E52" s="10" t="str">
        <f t="shared" ref="E52:E57" ca="1" si="149">IF(D52="Pendiente","-",INDEX($BR$6:$BR$53,MATCH($AA52,$BD$6:$BD$53,0)))</f>
        <v>-</v>
      </c>
      <c r="F52" s="10" t="str">
        <f t="shared" ref="F52:F57" ca="1" si="150">IF(D52="Pendiente","-",INDEX($BR$6:$BR$53,MATCH($AF52,$BD$6:$BD$53,0)))</f>
        <v>-</v>
      </c>
      <c r="G52" s="10"/>
      <c r="H52" s="10" t="str">
        <f t="shared" ref="H52:H57" ca="1" si="151">IF(D52="Pendiente","-",INDEX($BX$6:$BX$53,MATCH($AA52,$BD$6:$BD$53,0)))</f>
        <v>-</v>
      </c>
      <c r="I52" s="10" t="str">
        <f t="shared" ref="I52:I57" ca="1" si="152">IF(D52="Pendiente","-",INDEX($BX$6:$BX$53,MATCH($AF52,$BD$6:$BD$53,0)))</f>
        <v>-</v>
      </c>
      <c r="J52" s="10"/>
      <c r="K52" s="10" t="str">
        <f t="shared" ref="K52:K57" ca="1" si="153">IF(D52="Pendiente","-",INDEX($CC$6:$CC$53,MATCH($AA52,$BD$6:$BD$53,0)))</f>
        <v>-</v>
      </c>
      <c r="L52" s="10" t="str">
        <f t="shared" ref="L52:L57" ca="1" si="154">IF(D52="Pendiente","-",INDEX($CC$6:$CC$53,MATCH($AF52,$BD$6:$BD$53,0)))</f>
        <v>-</v>
      </c>
      <c r="M52" s="10"/>
      <c r="N52" s="10" t="str">
        <f t="shared" ref="N52:N57" ca="1" si="155">IF(D52="Pendiente","-",INDEX($CF$6:$CF$53,MATCH($AA52,$BD$6:$BD$53,0)))</f>
        <v>-</v>
      </c>
      <c r="O52" s="10" t="str">
        <f t="shared" ref="O52:O57" ca="1" si="156">IF(D52="Pendiente","-",INDEX($CF$6:$CF$53,MATCH($AF52,$BD$6:$BD$53,0)))</f>
        <v>-</v>
      </c>
      <c r="P52" s="10"/>
      <c r="Q52" s="10" t="str">
        <f t="shared" ref="Q52:Q57" ca="1" si="157">IF(D52="Pendiente","-",INDEX($CL$6:$CL$53,MATCH($AA52,$BD$6:$BD$53,0)))</f>
        <v>-</v>
      </c>
      <c r="R52" s="10" t="str">
        <f t="shared" ref="R52:R57" ca="1" si="158">IF(D52="Pendiente","-",INDEX($CL$6:$CL$53,MATCH($AF52,$BD$6:$BD$53,0)))</f>
        <v>-</v>
      </c>
      <c r="S52" s="10"/>
      <c r="T52" s="10" t="str">
        <f t="shared" ref="T52:T57" ca="1" si="159">IF(D52="Pendiente","-",INDEX($CQ$6:$CQ$53,MATCH($AA52,$BD$6:$BD$53,0)))</f>
        <v>-</v>
      </c>
      <c r="U52" s="10" t="str">
        <f t="shared" ref="U52:U57" ca="1" si="160">IF(D52="Pendiente","-",INDEX($CQ$6:$CQ$53,MATCH($AF52,$BD$6:$BD$53,0)))</f>
        <v>-</v>
      </c>
      <c r="V52" s="20"/>
      <c r="W52" s="679" t="s">
        <v>6</v>
      </c>
      <c r="X52" s="27">
        <f ca="1">Horarios!C52</f>
        <v>46188.875</v>
      </c>
      <c r="Y52" s="28">
        <f ca="1">Horarios!C52</f>
        <v>46188.875</v>
      </c>
      <c r="Z52" s="29" t="str">
        <f>$Z$4</f>
        <v>J1</v>
      </c>
      <c r="AA52" s="30" t="str">
        <f ca="1">A53</f>
        <v>Bélgica</v>
      </c>
      <c r="AB52" s="55" t="str">
        <f ca="1">+INDEX(Equipos!$L$2:$L$49,MATCH(WORLDCUP!AA52,Equipos!$K$2:$K$49,0))</f>
        <v>🇧🇪</v>
      </c>
      <c r="AC52" s="56">
        <v>1</v>
      </c>
      <c r="AD52" s="57">
        <v>0</v>
      </c>
      <c r="AE52" s="58" t="str">
        <f ca="1">+INDEX(Equipos!$L$2:$L$49,MATCH(WORLDCUP!AF52,Equipos!$K$2:$K$49,0))</f>
        <v>🇪🇬</v>
      </c>
      <c r="AF52" s="35" t="str">
        <f ca="1">A54</f>
        <v>Egipto</v>
      </c>
      <c r="AG52" s="335">
        <f t="shared" ref="AG52:AG57" si="161">IF(NOT(OR(ISBLANK(AC52),ISBLANK(AD52))),1,0)</f>
        <v>1</v>
      </c>
      <c r="AH52" s="204">
        <v>15</v>
      </c>
      <c r="AI52" s="190"/>
      <c r="AJ52" s="67" t="str">
        <f>CONCATENATE($AJ$3," ",B52)</f>
        <v>Grupo G</v>
      </c>
      <c r="AK52" s="68"/>
      <c r="AL52" s="68"/>
      <c r="AM52" s="68"/>
      <c r="AN52" s="68"/>
      <c r="AO52" s="68"/>
      <c r="AP52" s="68"/>
      <c r="AQ52" s="68"/>
      <c r="AR52" s="68"/>
      <c r="AS52" s="68"/>
      <c r="AT52" s="69"/>
      <c r="AU52" s="343"/>
      <c r="AV52" s="295" t="str">
        <f ca="1">IF(AU53&gt;0,$AV$3,"")</f>
        <v/>
      </c>
      <c r="AW52" s="175"/>
      <c r="AX52" s="175"/>
      <c r="AY52" s="162"/>
      <c r="AZ52" s="163"/>
      <c r="BA52" s="155"/>
      <c r="BC52" s="630" t="str">
        <f ca="1">+INDEX(T_Equipos[Grupo],MATCH(WORLDCUP!BD52,T_Equipos[NombreEquipo],0))</f>
        <v>L</v>
      </c>
      <c r="BD52" s="10" t="str">
        <f ca="1">+Equipos!B48</f>
        <v>Ghana</v>
      </c>
      <c r="BE52" s="424">
        <f t="shared" ca="1" si="16"/>
        <v>4</v>
      </c>
      <c r="BF52" s="424">
        <f t="shared" ca="1" si="25"/>
        <v>3</v>
      </c>
      <c r="BG52" s="424">
        <f t="shared" ca="1" si="17"/>
        <v>1</v>
      </c>
      <c r="BH52" s="424">
        <f t="shared" ca="1" si="18"/>
        <v>1</v>
      </c>
      <c r="BI52" s="424">
        <f t="shared" ca="1" si="19"/>
        <v>1</v>
      </c>
      <c r="BJ52" s="424">
        <f t="shared" ca="1" si="20"/>
        <v>2</v>
      </c>
      <c r="BK52" s="424">
        <f t="shared" ca="1" si="21"/>
        <v>2</v>
      </c>
      <c r="BL52" s="424">
        <f t="shared" ca="1" si="26"/>
        <v>0</v>
      </c>
      <c r="BM52" s="424" t="str">
        <f t="shared" ca="1" si="22"/>
        <v>3L</v>
      </c>
      <c r="BN52" s="424" t="str">
        <f t="shared" ca="1" si="23"/>
        <v>3L</v>
      </c>
      <c r="BO52" s="630"/>
      <c r="BP52" s="632">
        <f t="shared" ca="1" si="27"/>
        <v>4</v>
      </c>
      <c r="BQ52" s="631">
        <f ca="1">COUNTIFS($BE$6:$BE$53,"&gt;"&amp;BE52,$BC$6:$BC$53,INDEX(T_Equipos[Grupo],MATCH(BD52,T_Equipos[NombreEquipo],0)))+1</f>
        <v>3</v>
      </c>
      <c r="BR52" s="631" t="str">
        <f ca="1">IF(COUNTIFS($BQ$6:$BQ$53,BQ52,$BC$6:$BC$53,INDEX(T_Equipos[Grupo],MATCH(BD52,T_Equipos[NombreEquipo],0)))=1,"-","P."&amp;BQ52&amp;" ("&amp;COUNTIFS($BQ$6:$BQ$53,BQ52,$BC$6:$BC$53,INDEX(T_Equipos[Grupo],MATCH(BD52,T_Equipos[NombreEquipo],0)))&amp;")")</f>
        <v>-</v>
      </c>
      <c r="BS52" s="632" t="str">
        <f t="shared" ca="1" si="34"/>
        <v>-</v>
      </c>
      <c r="BT52" s="632" t="str">
        <f t="shared" ca="1" si="35"/>
        <v>-</v>
      </c>
      <c r="BU52" s="632" t="str">
        <f t="shared" ca="1" si="36"/>
        <v>-</v>
      </c>
      <c r="BV52" s="632" t="str">
        <f t="shared" ca="1" si="37"/>
        <v>-</v>
      </c>
      <c r="BW52" s="632">
        <f ca="1">BQ52+COUNTIFS($BR$6:$BR$53,BR52,$BV$6:BV$53,"&gt;"&amp;BV52,$BC$6:$BC$53,INDEX(T_Equipos[Grupo],MATCH(BD52,T_Equipos[NombreEquipo],0)))</f>
        <v>3</v>
      </c>
      <c r="BX52" s="631" t="str">
        <f ca="1">IF(COUNTIFS($BW$6:$BW$53,BW52,$BC$6:$BC$53,INDEX(T_Equipos[Grupo],MATCH(BD52,T_Equipos[NombreEquipo],0)))=1,"-","P."&amp;BW52&amp;" ("&amp;COUNTIFS($BW$6:$BW$53,BW52,$BC$6:$BC$53,INDEX(T_Equipos[Grupo],MATCH(BD52,T_Equipos[NombreEquipo],0)))&amp;")")</f>
        <v>-</v>
      </c>
      <c r="BY52" s="632" t="str">
        <f t="shared" ca="1" si="38"/>
        <v>-</v>
      </c>
      <c r="BZ52" s="632" t="str">
        <f t="shared" ca="1" si="39"/>
        <v>-</v>
      </c>
      <c r="CA52" s="632" t="str">
        <f t="shared" ca="1" si="40"/>
        <v>-</v>
      </c>
      <c r="CB52" s="632">
        <f ca="1">BW52+COUNTIFS($BX$6:$BX$53,BX52,$CA$6:CA$53,"&gt;"&amp;CA52,$BC$6:$BC$53,INDEX(T_Equipos[Grupo],MATCH(BD52,T_Equipos[NombreEquipo],0)))</f>
        <v>3</v>
      </c>
      <c r="CC52" s="631" t="str">
        <f ca="1">IF(COUNTIFS($CB$6:$CB$53,CB52,$BC$6:$BC$53,INDEX(T_Equipos[Grupo],MATCH(BD52,T_Equipos[NombreEquipo],0)))=1,"-","P."&amp;CB52&amp;" ("&amp;COUNTIFS($CB$6:$CB$53,CB52,$BC$6:$BC$53,INDEX(T_Equipos[Grupo],MATCH(BD52,T_Equipos[NombreEquipo],0)))&amp;")")</f>
        <v>-</v>
      </c>
      <c r="CD52" s="632" t="str">
        <f t="shared" ca="1" si="41"/>
        <v>-</v>
      </c>
      <c r="CE52" s="632">
        <f ca="1">CB52+COUNTIFS($CC$6:$CC$53,CC52,$CD$6:CD$53,"&gt;"&amp;CD52,$BC$6:$BC$53,INDEX(T_Equipos[Grupo],MATCH(BD52,T_Equipos[NombreEquipo],0)))</f>
        <v>3</v>
      </c>
      <c r="CF52" s="631" t="str">
        <f ca="1">IF(COUNTIFS($CE$6:$CE$53,CE52,$BC$6:$BC$53,INDEX(T_Equipos[Grupo],MATCH(BD52,T_Equipos[NombreEquipo],0)))=1,"-","P."&amp;CE52&amp;" ("&amp;COUNTIFS($CE$6:$CE$53,CE52,$BC$6:$BC$53,INDEX(T_Equipos[Grupo],MATCH(BD52,T_Equipos[NombreEquipo],0)))&amp;")")</f>
        <v>-</v>
      </c>
      <c r="CG52" s="632" t="str">
        <f t="shared" ca="1" si="42"/>
        <v>-</v>
      </c>
      <c r="CH52" s="632" t="str">
        <f t="shared" ca="1" si="43"/>
        <v>-</v>
      </c>
      <c r="CI52" s="632" t="str">
        <f t="shared" ca="1" si="44"/>
        <v>-</v>
      </c>
      <c r="CJ52" s="632" t="str">
        <f t="shared" ca="1" si="45"/>
        <v>-</v>
      </c>
      <c r="CK52" s="632">
        <f ca="1">CE52+COUNTIFS($CF$6:$CF$53,CF52,$CJ$6:CJ$53,"&gt;"&amp;CJ52,$BC$6:$BC$53,INDEX(T_Equipos[Grupo],MATCH(BD52,T_Equipos[NombreEquipo],0)))</f>
        <v>3</v>
      </c>
      <c r="CL52" s="631" t="str">
        <f ca="1">IF(COUNTIFS($CK$6:$CK$53,CK52,$BC$6:$BC$53,INDEX(T_Equipos[Grupo],MATCH(BD52,T_Equipos[NombreEquipo],0)))=1,"-","P."&amp;CK52&amp;" ("&amp;COUNTIFS($CK$6:$CK$53,CK52,$BC$6:$BC$53,INDEX(T_Equipos[Grupo],MATCH(BD52,T_Equipos[NombreEquipo],0)))&amp;")")</f>
        <v>-</v>
      </c>
      <c r="CM52" s="632" t="str">
        <f t="shared" ca="1" si="46"/>
        <v>-</v>
      </c>
      <c r="CN52" s="632" t="str">
        <f t="shared" ca="1" si="47"/>
        <v>-</v>
      </c>
      <c r="CO52" s="632" t="str">
        <f t="shared" ca="1" si="48"/>
        <v>-</v>
      </c>
      <c r="CP52" s="632">
        <f ca="1">CK52+COUNTIFS($CL$6:$CL$53,CL52,$CO$6:CO$53,"&gt;"&amp;CO52,$BC$6:$BC$53,INDEX(T_Equipos[Grupo],MATCH(BD52,T_Equipos[NombreEquipo],0)))</f>
        <v>3</v>
      </c>
      <c r="CQ52" s="631" t="str">
        <f ca="1">IF(COUNTIFS($CP$6:$CP$53,CP52,$BC$6:$BC$53,INDEX(T_Equipos[Grupo],MATCH(BD52,T_Equipos[NombreEquipo],0)))=1,"-","P."&amp;CP52&amp;" ("&amp;COUNTIFS($CP$6:$CP$53,CP52,$BC$6:$BC$53,INDEX(T_Equipos[Grupo],MATCH(BD52,T_Equipos[NombreEquipo],0)))&amp;")")</f>
        <v>-</v>
      </c>
      <c r="CR52" s="632" t="str">
        <f t="shared" ca="1" si="49"/>
        <v>-</v>
      </c>
      <c r="CS52" s="632">
        <f ca="1">CP52+COUNTIFS($CQ$6:$CQ$53,CQ52,$CR$6:CR$53,"&gt;"&amp;CR52,$BC$6:$BC$53,INDEX(T_Equipos[Grupo],MATCH(BD52,T_Equipos[NombreEquipo],0)))</f>
        <v>3</v>
      </c>
      <c r="CT52" s="631" t="str">
        <f ca="1">IF(COUNTIFS($CS$6:$CS$53,CS52,$BC$6:$BC$53,INDEX(T_Equipos[Grupo],MATCH(BD52,T_Equipos[NombreEquipo],0)))=1,"-","P."&amp;CS52&amp;" ("&amp;COUNTIFS($CS$6:$CS$53,CS52,$BC$6:$BC$53,INDEX(T_Equipos[Grupo],MATCH(BD52,T_Equipos[NombreEquipo],0)))&amp;")")</f>
        <v>-</v>
      </c>
      <c r="CU52" s="631" t="str">
        <f t="shared" ca="1" si="28"/>
        <v>-</v>
      </c>
      <c r="CV52" s="631">
        <f ca="1">CS52+COUNTIFS($CT$6:$CT$53,CT52,$CU$6:CU$53,"&gt;"&amp;CU52,$BC$6:$BC$53,INDEX(T_Equipos[Grupo],MATCH(BD52,T_Equipos[NombreEquipo],0)))</f>
        <v>3</v>
      </c>
      <c r="CW52" s="631" t="str">
        <f ca="1">IF(COUNTIFS($CV$6:$CV$53,CV52,$BC$6:$BC$53,INDEX(T_Equipos[Grupo],MATCH(BD52,T_Equipos[NombreEquipo],0)))=1,"-","P."&amp;CV52&amp;" ("&amp;COUNTIFS($CV$6:$CV$53,CV52,$BC$6:$BC$53,INDEX(T_Equipos[Grupo],MATCH(BD52,T_Equipos[NombreEquipo],0)))&amp;")")</f>
        <v>-</v>
      </c>
      <c r="CX52" s="631" t="str">
        <f t="shared" ca="1" si="29"/>
        <v>-</v>
      </c>
      <c r="CY52" s="632">
        <f ca="1">CV52+COUNTIFS($CW$6:$CW$53,CW52,$CX$6:CX$53,"&gt;"&amp;CX52,$BC$6:$BC$53,INDEX(T_Equipos[Grupo],MATCH(BD52,T_Equipos[NombreEquipo],0)))</f>
        <v>3</v>
      </c>
      <c r="CZ52" s="631" t="str">
        <f ca="1">IF(COUNTIFS($CY$6:$CY$53,CY52,$BC$6:$BC$53,INDEX(T_Equipos[Grupo],MATCH(BD52,T_Equipos[NombreEquipo],0)))=1,"-","P."&amp;CY52&amp;" ("&amp;COUNTIFS($CY$6:$CY$53,CY52,$BC$6:$BC$53,INDEX(T_Equipos[Grupo],MATCH(BD52,T_Equipos[NombreEquipo],0)))&amp;")")</f>
        <v>-</v>
      </c>
      <c r="DA52" s="633" t="str">
        <f ca="1">IF(CZ52="-","-",COUNTIFS(T_Equipos[Rank],"&lt;"&amp;INDEX(T_Equipos[Rank],MATCH(BD52,T_Equipos[NombreEquipo],0)),$BC$6:$BC$53,INDEX(T_Equipos[Grupo],MATCH(BD52,T_Equipos[NombreEquipo],0)))+1)</f>
        <v>-</v>
      </c>
      <c r="DB52" s="630">
        <f ca="1">CY52+COUNTIFS($CZ$6:$CZ$53,CZ52,$DA$6:DA$53,"&lt;"&amp;DA52,$BC$6:$BC$53,INDEX(T_Equipos[Grupo],MATCH(BD52,T_Equipos[NombreEquipo],0)))</f>
        <v>3</v>
      </c>
      <c r="DC52" s="630"/>
      <c r="DD52" s="630">
        <f t="shared" ca="1" si="50"/>
        <v>3</v>
      </c>
      <c r="DE52" s="630" t="str">
        <f ca="1">IF(CZ52="-","-",COUNTIFS(DD$6:DD$53,"&lt;"&amp;DD52,$BC$6:$BC$53,INDEX(T_Equipos[Grupo],MATCH(BD52,T_Equipos[NombreEquipo],0))))</f>
        <v>-</v>
      </c>
      <c r="DF52" s="630">
        <f ca="1">CY52+COUNTIFS(CZ$6:CZ$53,CZ52,DE$6:DE$53,"&lt;"&amp;DE52,$BC$6:$BC$53,INDEX(T_Equipos[Grupo],MATCH(BD52,T_Equipos[NombreEquipo],0)))</f>
        <v>3</v>
      </c>
      <c r="DH52" s="10">
        <f t="shared" ca="1" si="51"/>
        <v>3</v>
      </c>
      <c r="DI52" s="10">
        <f t="shared" ca="1" si="24"/>
        <v>12</v>
      </c>
      <c r="DJ52" s="10">
        <f t="shared" ca="1" si="31"/>
        <v>1</v>
      </c>
      <c r="DK52" s="19" t="str">
        <f t="shared" ca="1" si="32"/>
        <v>3.1</v>
      </c>
      <c r="DL52" s="10" cm="1">
        <f t="array" aca="1" ref="DL52" ca="1">OFFSET(Horarios!$P$3,DH52-1,0,DJ52,1)</f>
        <v>3</v>
      </c>
      <c r="DN52" s="10" t="s">
        <v>460</v>
      </c>
      <c r="DO52" s="10" t="str">
        <f t="shared" ca="1" si="33"/>
        <v>Ghana</v>
      </c>
    </row>
    <row r="53" spans="1:119 5612:5612 8867:8867 13370:13370">
      <c r="A53" s="646" t="str">
        <f ca="1">+Equipos!B26</f>
        <v>Bélgica</v>
      </c>
      <c r="B53" s="11"/>
      <c r="C53" s="11"/>
      <c r="D53" s="10" t="str">
        <f t="shared" si="148"/>
        <v>Visitante</v>
      </c>
      <c r="E53" s="10" t="str">
        <f t="shared" ca="1" si="149"/>
        <v>-</v>
      </c>
      <c r="F53" s="10" t="str">
        <f t="shared" ca="1" si="150"/>
        <v>-</v>
      </c>
      <c r="G53" s="10"/>
      <c r="H53" s="10" t="str">
        <f t="shared" ca="1" si="151"/>
        <v>-</v>
      </c>
      <c r="I53" s="10" t="str">
        <f t="shared" ca="1" si="152"/>
        <v>-</v>
      </c>
      <c r="J53" s="10"/>
      <c r="K53" s="10" t="str">
        <f t="shared" ca="1" si="153"/>
        <v>-</v>
      </c>
      <c r="L53" s="10" t="str">
        <f t="shared" ca="1" si="154"/>
        <v>-</v>
      </c>
      <c r="M53" s="10"/>
      <c r="N53" s="10" t="str">
        <f t="shared" ca="1" si="155"/>
        <v>-</v>
      </c>
      <c r="O53" s="10" t="str">
        <f t="shared" ca="1" si="156"/>
        <v>-</v>
      </c>
      <c r="P53" s="10"/>
      <c r="Q53" s="10" t="str">
        <f t="shared" ca="1" si="157"/>
        <v>-</v>
      </c>
      <c r="R53" s="10" t="str">
        <f t="shared" ca="1" si="158"/>
        <v>-</v>
      </c>
      <c r="S53" s="10"/>
      <c r="T53" s="10" t="str">
        <f t="shared" ca="1" si="159"/>
        <v>-</v>
      </c>
      <c r="U53" s="10" t="str">
        <f t="shared" ca="1" si="160"/>
        <v>-</v>
      </c>
      <c r="V53" s="20"/>
      <c r="W53" s="679"/>
      <c r="X53" s="27">
        <f ca="1">Horarios!C53</f>
        <v>46189.125</v>
      </c>
      <c r="Y53" s="28">
        <f ca="1">Horarios!C53</f>
        <v>46189.125</v>
      </c>
      <c r="Z53" s="29" t="str">
        <f>$Z$4</f>
        <v>J1</v>
      </c>
      <c r="AA53" s="30" t="str">
        <f ca="1">A55</f>
        <v>Irán</v>
      </c>
      <c r="AB53" s="55" t="str">
        <f ca="1">+INDEX(Equipos!$L$2:$L$49,MATCH(WORLDCUP!AA53,Equipos!$K$2:$K$49,0))</f>
        <v>🇮🇷</v>
      </c>
      <c r="AC53" s="56">
        <v>0</v>
      </c>
      <c r="AD53" s="57">
        <v>1</v>
      </c>
      <c r="AE53" s="58" t="str">
        <f ca="1">+INDEX(Equipos!$L$2:$L$49,MATCH(WORLDCUP!AF53,Equipos!$K$2:$K$49,0))</f>
        <v>🇳🇿</v>
      </c>
      <c r="AF53" s="35" t="str">
        <f ca="1">A56</f>
        <v>Nueva Zelanda</v>
      </c>
      <c r="AG53" s="335">
        <f t="shared" si="161"/>
        <v>1</v>
      </c>
      <c r="AH53" s="204">
        <v>16</v>
      </c>
      <c r="AI53" s="190"/>
      <c r="AJ53" s="70" t="str">
        <f>AJ5</f>
        <v>Pos</v>
      </c>
      <c r="AK53" s="71"/>
      <c r="AL53" s="72" t="str">
        <f t="shared" ref="AL53:AT53" si="162">AL5</f>
        <v>Selección</v>
      </c>
      <c r="AM53" s="71" t="str">
        <f t="shared" si="162"/>
        <v>Pts</v>
      </c>
      <c r="AN53" s="71" t="str">
        <f t="shared" si="162"/>
        <v>J</v>
      </c>
      <c r="AO53" s="71" t="str">
        <f t="shared" si="162"/>
        <v>G</v>
      </c>
      <c r="AP53" s="71" t="str">
        <f t="shared" si="162"/>
        <v>E</v>
      </c>
      <c r="AQ53" s="71" t="str">
        <f t="shared" si="162"/>
        <v>P</v>
      </c>
      <c r="AR53" s="71" t="str">
        <f t="shared" si="162"/>
        <v>GF</v>
      </c>
      <c r="AS53" s="71" t="str">
        <f t="shared" si="162"/>
        <v>GC</v>
      </c>
      <c r="AT53" s="73" t="str">
        <f t="shared" si="162"/>
        <v>DG</v>
      </c>
      <c r="AU53" s="343">
        <f t="shared" ref="AU53" ca="1" si="163">COUNTIF(AU54:AU57,"&gt;1")</f>
        <v>0</v>
      </c>
      <c r="AV53" s="201"/>
      <c r="AW53" s="175"/>
      <c r="AX53" s="175"/>
      <c r="AY53" s="216" t="str">
        <f>AL53</f>
        <v>Selección</v>
      </c>
      <c r="AZ53" s="217" t="str">
        <f>+Idiomas!$D$67</f>
        <v>Puntos penalizados</v>
      </c>
      <c r="BA53" s="155"/>
      <c r="BC53" s="630" t="str">
        <f ca="1">+INDEX(T_Equipos[Grupo],MATCH(WORLDCUP!BD53,T_Equipos[NombreEquipo],0))</f>
        <v>L</v>
      </c>
      <c r="BD53" s="10" t="str">
        <f ca="1">+Equipos!B49</f>
        <v>Panamá</v>
      </c>
      <c r="BE53" s="424">
        <f t="shared" ca="1" si="16"/>
        <v>0</v>
      </c>
      <c r="BF53" s="424">
        <f t="shared" ca="1" si="25"/>
        <v>3</v>
      </c>
      <c r="BG53" s="424">
        <f t="shared" ca="1" si="17"/>
        <v>0</v>
      </c>
      <c r="BH53" s="424">
        <f t="shared" ca="1" si="18"/>
        <v>0</v>
      </c>
      <c r="BI53" s="424">
        <f t="shared" ca="1" si="19"/>
        <v>3</v>
      </c>
      <c r="BJ53" s="424">
        <f t="shared" ca="1" si="20"/>
        <v>0</v>
      </c>
      <c r="BK53" s="424">
        <f t="shared" ca="1" si="21"/>
        <v>4</v>
      </c>
      <c r="BL53" s="424">
        <f t="shared" ca="1" si="26"/>
        <v>-4</v>
      </c>
      <c r="BM53" s="424" t="str">
        <f t="shared" ca="1" si="22"/>
        <v>4L</v>
      </c>
      <c r="BN53" s="424" t="str">
        <f t="shared" ca="1" si="23"/>
        <v>4L</v>
      </c>
      <c r="BO53" s="630"/>
      <c r="BP53" s="632">
        <f t="shared" ca="1" si="27"/>
        <v>0</v>
      </c>
      <c r="BQ53" s="631">
        <f ca="1">COUNTIFS($BE$6:$BE$53,"&gt;"&amp;BE53,$BC$6:$BC$53,INDEX(T_Equipos[Grupo],MATCH(BD53,T_Equipos[NombreEquipo],0)))+1</f>
        <v>4</v>
      </c>
      <c r="BR53" s="631" t="str">
        <f ca="1">IF(COUNTIFS($BQ$6:$BQ$53,BQ53,$BC$6:$BC$53,INDEX(T_Equipos[Grupo],MATCH(BD53,T_Equipos[NombreEquipo],0)))=1,"-","P."&amp;BQ53&amp;" ("&amp;COUNTIFS($BQ$6:$BQ$53,BQ53,$BC$6:$BC$53,INDEX(T_Equipos[Grupo],MATCH(BD53,T_Equipos[NombreEquipo],0)))&amp;")")</f>
        <v>-</v>
      </c>
      <c r="BS53" s="632" t="str">
        <f t="shared" ca="1" si="34"/>
        <v>-</v>
      </c>
      <c r="BT53" s="632" t="str">
        <f t="shared" ca="1" si="35"/>
        <v>-</v>
      </c>
      <c r="BU53" s="632" t="str">
        <f t="shared" ca="1" si="36"/>
        <v>-</v>
      </c>
      <c r="BV53" s="632" t="str">
        <f t="shared" ca="1" si="37"/>
        <v>-</v>
      </c>
      <c r="BW53" s="632">
        <f ca="1">BQ53+COUNTIFS($BR$6:$BR$53,BR53,$BV$6:BV$53,"&gt;"&amp;BV53,$BC$6:$BC$53,INDEX(T_Equipos[Grupo],MATCH(BD53,T_Equipos[NombreEquipo],0)))</f>
        <v>4</v>
      </c>
      <c r="BX53" s="631" t="str">
        <f ca="1">IF(COUNTIFS($BW$6:$BW$53,BW53,$BC$6:$BC$53,INDEX(T_Equipos[Grupo],MATCH(BD53,T_Equipos[NombreEquipo],0)))=1,"-","P."&amp;BW53&amp;" ("&amp;COUNTIFS($BW$6:$BW$53,BW53,$BC$6:$BC$53,INDEX(T_Equipos[Grupo],MATCH(BD53,T_Equipos[NombreEquipo],0)))&amp;")")</f>
        <v>-</v>
      </c>
      <c r="BY53" s="632" t="str">
        <f t="shared" ca="1" si="38"/>
        <v>-</v>
      </c>
      <c r="BZ53" s="632" t="str">
        <f t="shared" ca="1" si="39"/>
        <v>-</v>
      </c>
      <c r="CA53" s="632" t="str">
        <f t="shared" ca="1" si="40"/>
        <v>-</v>
      </c>
      <c r="CB53" s="632">
        <f ca="1">BW53+COUNTIFS($BX$6:$BX$53,BX53,$CA$6:CA$53,"&gt;"&amp;CA53,$BC$6:$BC$53,INDEX(T_Equipos[Grupo],MATCH(BD53,T_Equipos[NombreEquipo],0)))</f>
        <v>4</v>
      </c>
      <c r="CC53" s="631" t="str">
        <f ca="1">IF(COUNTIFS($CB$6:$CB$53,CB53,$BC$6:$BC$53,INDEX(T_Equipos[Grupo],MATCH(BD53,T_Equipos[NombreEquipo],0)))=1,"-","P."&amp;CB53&amp;" ("&amp;COUNTIFS($CB$6:$CB$53,CB53,$BC$6:$BC$53,INDEX(T_Equipos[Grupo],MATCH(BD53,T_Equipos[NombreEquipo],0)))&amp;")")</f>
        <v>-</v>
      </c>
      <c r="CD53" s="632" t="str">
        <f t="shared" ca="1" si="41"/>
        <v>-</v>
      </c>
      <c r="CE53" s="632">
        <f ca="1">CB53+COUNTIFS($CC$6:$CC$53,CC53,$CD$6:CD$53,"&gt;"&amp;CD53,$BC$6:$BC$53,INDEX(T_Equipos[Grupo],MATCH(BD53,T_Equipos[NombreEquipo],0)))</f>
        <v>4</v>
      </c>
      <c r="CF53" s="631" t="str">
        <f ca="1">IF(COUNTIFS($CE$6:$CE$53,CE53,$BC$6:$BC$53,INDEX(T_Equipos[Grupo],MATCH(BD53,T_Equipos[NombreEquipo],0)))=1,"-","P."&amp;CE53&amp;" ("&amp;COUNTIFS($CE$6:$CE$53,CE53,$BC$6:$BC$53,INDEX(T_Equipos[Grupo],MATCH(BD53,T_Equipos[NombreEquipo],0)))&amp;")")</f>
        <v>-</v>
      </c>
      <c r="CG53" s="632" t="str">
        <f t="shared" ca="1" si="42"/>
        <v>-</v>
      </c>
      <c r="CH53" s="632" t="str">
        <f t="shared" ca="1" si="43"/>
        <v>-</v>
      </c>
      <c r="CI53" s="632" t="str">
        <f t="shared" ca="1" si="44"/>
        <v>-</v>
      </c>
      <c r="CJ53" s="632" t="str">
        <f t="shared" ca="1" si="45"/>
        <v>-</v>
      </c>
      <c r="CK53" s="632">
        <f ca="1">CE53+COUNTIFS($CF$6:$CF$53,CF53,$CJ$6:CJ$53,"&gt;"&amp;CJ53,$BC$6:$BC$53,INDEX(T_Equipos[Grupo],MATCH(BD53,T_Equipos[NombreEquipo],0)))</f>
        <v>4</v>
      </c>
      <c r="CL53" s="631" t="str">
        <f ca="1">IF(COUNTIFS($CK$6:$CK$53,CK53,$BC$6:$BC$53,INDEX(T_Equipos[Grupo],MATCH(BD53,T_Equipos[NombreEquipo],0)))=1,"-","P."&amp;CK53&amp;" ("&amp;COUNTIFS($CK$6:$CK$53,CK53,$BC$6:$BC$53,INDEX(T_Equipos[Grupo],MATCH(BD53,T_Equipos[NombreEquipo],0)))&amp;")")</f>
        <v>-</v>
      </c>
      <c r="CM53" s="632" t="str">
        <f t="shared" ca="1" si="46"/>
        <v>-</v>
      </c>
      <c r="CN53" s="632" t="str">
        <f t="shared" ca="1" si="47"/>
        <v>-</v>
      </c>
      <c r="CO53" s="632" t="str">
        <f t="shared" ca="1" si="48"/>
        <v>-</v>
      </c>
      <c r="CP53" s="632">
        <f ca="1">CK53+COUNTIFS($CL$6:$CL$53,CL53,$CO$6:CO$53,"&gt;"&amp;CO53,$BC$6:$BC$53,INDEX(T_Equipos[Grupo],MATCH(BD53,T_Equipos[NombreEquipo],0)))</f>
        <v>4</v>
      </c>
      <c r="CQ53" s="631" t="str">
        <f ca="1">IF(COUNTIFS($CP$6:$CP$53,CP53,$BC$6:$BC$53,INDEX(T_Equipos[Grupo],MATCH(BD53,T_Equipos[NombreEquipo],0)))=1,"-","P."&amp;CP53&amp;" ("&amp;COUNTIFS($CP$6:$CP$53,CP53,$BC$6:$BC$53,INDEX(T_Equipos[Grupo],MATCH(BD53,T_Equipos[NombreEquipo],0)))&amp;")")</f>
        <v>-</v>
      </c>
      <c r="CR53" s="632" t="str">
        <f t="shared" ca="1" si="49"/>
        <v>-</v>
      </c>
      <c r="CS53" s="632">
        <f ca="1">CP53+COUNTIFS($CQ$6:$CQ$53,CQ53,$CR$6:CR$53,"&gt;"&amp;CR53,$BC$6:$BC$53,INDEX(T_Equipos[Grupo],MATCH(BD53,T_Equipos[NombreEquipo],0)))</f>
        <v>4</v>
      </c>
      <c r="CT53" s="631" t="str">
        <f ca="1">IF(COUNTIFS($CS$6:$CS$53,CS53,$BC$6:$BC$53,INDEX(T_Equipos[Grupo],MATCH(BD53,T_Equipos[NombreEquipo],0)))=1,"-","P."&amp;CS53&amp;" ("&amp;COUNTIFS($CS$6:$CS$53,CS53,$BC$6:$BC$53,INDEX(T_Equipos[Grupo],MATCH(BD53,T_Equipos[NombreEquipo],0)))&amp;")")</f>
        <v>-</v>
      </c>
      <c r="CU53" s="631" t="str">
        <f t="shared" ca="1" si="28"/>
        <v>-</v>
      </c>
      <c r="CV53" s="631">
        <f ca="1">CS53+COUNTIFS($CT$6:$CT$53,CT53,$CU$6:CU$53,"&gt;"&amp;CU53,$BC$6:$BC$53,INDEX(T_Equipos[Grupo],MATCH(BD53,T_Equipos[NombreEquipo],0)))</f>
        <v>4</v>
      </c>
      <c r="CW53" s="631" t="str">
        <f ca="1">IF(COUNTIFS($CV$6:$CV$53,CV53,$BC$6:$BC$53,INDEX(T_Equipos[Grupo],MATCH(BD53,T_Equipos[NombreEquipo],0)))=1,"-","P."&amp;CV53&amp;" ("&amp;COUNTIFS($CV$6:$CV$53,CV53,$BC$6:$BC$53,INDEX(T_Equipos[Grupo],MATCH(BD53,T_Equipos[NombreEquipo],0)))&amp;")")</f>
        <v>-</v>
      </c>
      <c r="CX53" s="631" t="str">
        <f t="shared" ca="1" si="29"/>
        <v>-</v>
      </c>
      <c r="CY53" s="632">
        <f ca="1">CV53+COUNTIFS($CW$6:$CW$53,CW53,$CX$6:CX$53,"&gt;"&amp;CX53,$BC$6:$BC$53,INDEX(T_Equipos[Grupo],MATCH(BD53,T_Equipos[NombreEquipo],0)))</f>
        <v>4</v>
      </c>
      <c r="CZ53" s="631" t="str">
        <f ca="1">IF(COUNTIFS($CY$6:$CY$53,CY53,$BC$6:$BC$53,INDEX(T_Equipos[Grupo],MATCH(BD53,T_Equipos[NombreEquipo],0)))=1,"-","P."&amp;CY53&amp;" ("&amp;COUNTIFS($CY$6:$CY$53,CY53,$BC$6:$BC$53,INDEX(T_Equipos[Grupo],MATCH(BD53,T_Equipos[NombreEquipo],0)))&amp;")")</f>
        <v>-</v>
      </c>
      <c r="DA53" s="633" t="str">
        <f ca="1">IF(CZ53="-","-",COUNTIFS(T_Equipos[Rank],"&lt;"&amp;INDEX(T_Equipos[Rank],MATCH(BD53,T_Equipos[NombreEquipo],0)),$BC$6:$BC$53,INDEX(T_Equipos[Grupo],MATCH(BD53,T_Equipos[NombreEquipo],0)))+1)</f>
        <v>-</v>
      </c>
      <c r="DB53" s="630">
        <f ca="1">CY53+COUNTIFS($CZ$6:$CZ$53,CZ53,$DA$6:DA$53,"&lt;"&amp;DA53,$BC$6:$BC$53,INDEX(T_Equipos[Grupo],MATCH(BD53,T_Equipos[NombreEquipo],0)))</f>
        <v>4</v>
      </c>
      <c r="DC53" s="630"/>
      <c r="DD53" s="630">
        <f t="shared" ca="1" si="50"/>
        <v>4</v>
      </c>
      <c r="DE53" s="630" t="str">
        <f ca="1">IF(CZ53="-","-",COUNTIFS(DD$6:DD$53,"&lt;"&amp;DD53,$BC$6:$BC$53,INDEX(T_Equipos[Grupo],MATCH(BD53,T_Equipos[NombreEquipo],0))))</f>
        <v>-</v>
      </c>
      <c r="DF53" s="630">
        <f ca="1">CY53+COUNTIFS(CZ$6:CZ$53,CZ53,DE$6:DE$53,"&lt;"&amp;DE53,$BC$6:$BC$53,INDEX(T_Equipos[Grupo],MATCH(BD53,T_Equipos[NombreEquipo],0)))</f>
        <v>4</v>
      </c>
      <c r="DH53" s="10">
        <f t="shared" ca="1" si="51"/>
        <v>4</v>
      </c>
      <c r="DI53" s="10">
        <f t="shared" ca="1" si="24"/>
        <v>12</v>
      </c>
      <c r="DJ53" s="10">
        <f t="shared" ca="1" si="31"/>
        <v>1</v>
      </c>
      <c r="DK53" s="19" t="str">
        <f t="shared" ca="1" si="32"/>
        <v>4.1</v>
      </c>
      <c r="DL53" s="10" cm="1">
        <f t="array" aca="1" ref="DL53" ca="1">OFFSET(Horarios!$P$3,DH53-1,0,DJ53,1)</f>
        <v>4</v>
      </c>
      <c r="DN53" s="10" t="s">
        <v>703</v>
      </c>
      <c r="DO53" s="10" t="str">
        <f t="shared" ca="1" si="33"/>
        <v>Panamá</v>
      </c>
    </row>
    <row r="54" spans="1:119 5612:5612 8867:8867 13370:13370">
      <c r="A54" s="646" t="str">
        <f ca="1">+Equipos!B27</f>
        <v>Egipto</v>
      </c>
      <c r="B54" s="11"/>
      <c r="C54" s="429"/>
      <c r="D54" s="10" t="str">
        <f t="shared" si="148"/>
        <v>Local</v>
      </c>
      <c r="E54" s="10" t="str">
        <f t="shared" ca="1" si="149"/>
        <v>-</v>
      </c>
      <c r="F54" s="10" t="str">
        <f t="shared" ca="1" si="150"/>
        <v>-</v>
      </c>
      <c r="G54" s="10"/>
      <c r="H54" s="10" t="str">
        <f t="shared" ca="1" si="151"/>
        <v>-</v>
      </c>
      <c r="I54" s="10" t="str">
        <f t="shared" ca="1" si="152"/>
        <v>-</v>
      </c>
      <c r="J54" s="10"/>
      <c r="K54" s="10" t="str">
        <f t="shared" ca="1" si="153"/>
        <v>-</v>
      </c>
      <c r="L54" s="10" t="str">
        <f t="shared" ca="1" si="154"/>
        <v>-</v>
      </c>
      <c r="M54" s="10"/>
      <c r="N54" s="10" t="str">
        <f t="shared" ca="1" si="155"/>
        <v>-</v>
      </c>
      <c r="O54" s="10" t="str">
        <f t="shared" ca="1" si="156"/>
        <v>-</v>
      </c>
      <c r="P54" s="10"/>
      <c r="Q54" s="10" t="str">
        <f t="shared" ca="1" si="157"/>
        <v>-</v>
      </c>
      <c r="R54" s="10" t="str">
        <f t="shared" ca="1" si="158"/>
        <v>-</v>
      </c>
      <c r="S54" s="10"/>
      <c r="T54" s="10" t="str">
        <f t="shared" ca="1" si="159"/>
        <v>-</v>
      </c>
      <c r="U54" s="10" t="str">
        <f t="shared" ca="1" si="160"/>
        <v>-</v>
      </c>
      <c r="V54" s="20"/>
      <c r="W54" s="679"/>
      <c r="X54" s="27">
        <f ca="1">Horarios!C54</f>
        <v>46194.875</v>
      </c>
      <c r="Y54" s="28">
        <f ca="1">Horarios!C54</f>
        <v>46194.875</v>
      </c>
      <c r="Z54" s="29" t="str">
        <f>$Z$6</f>
        <v>J2</v>
      </c>
      <c r="AA54" s="30" t="str">
        <f ca="1">A53</f>
        <v>Bélgica</v>
      </c>
      <c r="AB54" s="55" t="str">
        <f ca="1">+INDEX(Equipos!$L$2:$L$49,MATCH(WORLDCUP!AA54,Equipos!$K$2:$K$49,0))</f>
        <v>🇧🇪</v>
      </c>
      <c r="AC54" s="56">
        <v>1</v>
      </c>
      <c r="AD54" s="57">
        <v>0</v>
      </c>
      <c r="AE54" s="58" t="str">
        <f ca="1">+INDEX(Equipos!$L$2:$L$49,MATCH(WORLDCUP!AF54,Equipos!$K$2:$K$49,0))</f>
        <v>🇮🇷</v>
      </c>
      <c r="AF54" s="35" t="str">
        <f ca="1">A55</f>
        <v>Irán</v>
      </c>
      <c r="AG54" s="335">
        <f t="shared" si="161"/>
        <v>1</v>
      </c>
      <c r="AH54" s="204">
        <v>39</v>
      </c>
      <c r="AI54" s="190" t="str">
        <f>AJ54&amp;$B$52</f>
        <v>1G</v>
      </c>
      <c r="AJ54" s="43">
        <v>1</v>
      </c>
      <c r="AK54" s="37" t="str">
        <f ca="1">+INDEX(Equipos!$L$2:$L$49,MATCH(WORLDCUP!AL54,Equipos!$K$2:$K$49,0))</f>
        <v>🇧🇪</v>
      </c>
      <c r="AL54" s="37" t="str">
        <f ca="1">IFERROR(INDEX($BD$6:$BD$53,MATCH(AI54,$BN$6:$BN$53,0)),"")</f>
        <v>Bélgica</v>
      </c>
      <c r="AM54" s="38">
        <f t="shared" ref="AM54:AT57" ca="1" si="164">INDEX($BE$6:$BN$53,MATCH($AL54,$BD$6:$BD$53,0),MATCH(AM$5,$BE$5:$BN$5,0))</f>
        <v>9</v>
      </c>
      <c r="AN54" s="39">
        <f t="shared" ca="1" si="164"/>
        <v>3</v>
      </c>
      <c r="AO54" s="39">
        <f t="shared" ca="1" si="164"/>
        <v>3</v>
      </c>
      <c r="AP54" s="39">
        <f t="shared" ca="1" si="164"/>
        <v>0</v>
      </c>
      <c r="AQ54" s="39">
        <f t="shared" ca="1" si="164"/>
        <v>0</v>
      </c>
      <c r="AR54" s="39">
        <f t="shared" ca="1" si="164"/>
        <v>4</v>
      </c>
      <c r="AS54" s="39">
        <f t="shared" ca="1" si="164"/>
        <v>0</v>
      </c>
      <c r="AT54" s="45">
        <f t="shared" ca="1" si="164"/>
        <v>4</v>
      </c>
      <c r="AU54" s="342">
        <f ca="1">INDEX($DJ$6:$DJ$53,MATCH(AI54,$DN$6:$DN$53,0))</f>
        <v>1</v>
      </c>
      <c r="AV54" s="191" t="str">
        <f ca="1">INDEX($BD$6:$BD$53,MATCH(AI54,$BM$6:$BM$53,0))</f>
        <v>Bélgica</v>
      </c>
      <c r="AW54" s="219"/>
      <c r="AX54" s="179"/>
      <c r="AY54" s="210" t="str">
        <f ca="1">+A53</f>
        <v>Bélgica</v>
      </c>
      <c r="AZ54" s="211"/>
      <c r="BA54" s="155"/>
      <c r="BN54" s="624"/>
      <c r="BO54" s="624"/>
      <c r="BR54" s="624"/>
      <c r="BS54" s="624"/>
      <c r="BT54" s="624"/>
      <c r="BU54" s="624"/>
      <c r="BV54" s="624"/>
      <c r="BW54" s="624"/>
      <c r="BX54" s="624"/>
      <c r="BY54" s="624"/>
      <c r="BZ54" s="624"/>
      <c r="CA54" s="624"/>
      <c r="CB54" s="624"/>
      <c r="CC54" s="624"/>
      <c r="CD54" s="624"/>
      <c r="CE54" s="624"/>
      <c r="CF54" s="624"/>
      <c r="CG54" s="624"/>
      <c r="CH54" s="624"/>
      <c r="CI54" s="624"/>
      <c r="CJ54" s="624"/>
      <c r="CK54" s="624"/>
      <c r="CL54" s="624"/>
      <c r="CM54" s="624"/>
      <c r="CN54" s="624"/>
      <c r="CO54" s="624"/>
      <c r="CP54" s="624"/>
      <c r="CQ54" s="624"/>
      <c r="CR54" s="624"/>
      <c r="CS54" s="624"/>
      <c r="CT54" s="624"/>
      <c r="CV54" s="624"/>
    </row>
    <row r="55" spans="1:119 5612:5612 8867:8867 13370:13370">
      <c r="A55" s="646" t="str">
        <f ca="1">+Equipos!B28</f>
        <v>Irán</v>
      </c>
      <c r="B55" s="11"/>
      <c r="C55" s="10"/>
      <c r="D55" s="10" t="str">
        <f t="shared" si="148"/>
        <v>Empate</v>
      </c>
      <c r="E55" s="10" t="str">
        <f t="shared" ca="1" si="149"/>
        <v>-</v>
      </c>
      <c r="F55" s="10" t="str">
        <f t="shared" ca="1" si="150"/>
        <v>-</v>
      </c>
      <c r="G55" s="10"/>
      <c r="H55" s="10" t="str">
        <f t="shared" ca="1" si="151"/>
        <v>-</v>
      </c>
      <c r="I55" s="10" t="str">
        <f t="shared" ca="1" si="152"/>
        <v>-</v>
      </c>
      <c r="J55" s="10"/>
      <c r="K55" s="10" t="str">
        <f t="shared" ca="1" si="153"/>
        <v>-</v>
      </c>
      <c r="L55" s="10" t="str">
        <f t="shared" ca="1" si="154"/>
        <v>-</v>
      </c>
      <c r="M55" s="10"/>
      <c r="N55" s="10" t="str">
        <f t="shared" ca="1" si="155"/>
        <v>-</v>
      </c>
      <c r="O55" s="10" t="str">
        <f t="shared" ca="1" si="156"/>
        <v>-</v>
      </c>
      <c r="P55" s="10"/>
      <c r="Q55" s="10" t="str">
        <f t="shared" ca="1" si="157"/>
        <v>-</v>
      </c>
      <c r="R55" s="10" t="str">
        <f t="shared" ca="1" si="158"/>
        <v>-</v>
      </c>
      <c r="S55" s="10"/>
      <c r="T55" s="10" t="str">
        <f t="shared" ca="1" si="159"/>
        <v>-</v>
      </c>
      <c r="U55" s="10" t="str">
        <f t="shared" ca="1" si="160"/>
        <v>-</v>
      </c>
      <c r="V55" s="20"/>
      <c r="W55" s="679"/>
      <c r="X55" s="27">
        <f ca="1">Horarios!C55</f>
        <v>46195.125</v>
      </c>
      <c r="Y55" s="28">
        <f ca="1">Horarios!C55</f>
        <v>46195.125</v>
      </c>
      <c r="Z55" s="29" t="str">
        <f>$Z$6</f>
        <v>J2</v>
      </c>
      <c r="AA55" s="30" t="str">
        <f ca="1">A56</f>
        <v>Nueva Zelanda</v>
      </c>
      <c r="AB55" s="55" t="str">
        <f ca="1">+INDEX(Equipos!$L$2:$L$49,MATCH(WORLDCUP!AA55,Equipos!$K$2:$K$49,0))</f>
        <v>🇳🇿</v>
      </c>
      <c r="AC55" s="56">
        <v>0</v>
      </c>
      <c r="AD55" s="57">
        <v>0</v>
      </c>
      <c r="AE55" s="58" t="str">
        <f ca="1">+INDEX(Equipos!$L$2:$L$49,MATCH(WORLDCUP!AF55,Equipos!$K$2:$K$49,0))</f>
        <v>🇪🇬</v>
      </c>
      <c r="AF55" s="35" t="str">
        <f ca="1">A54</f>
        <v>Egipto</v>
      </c>
      <c r="AG55" s="335">
        <f t="shared" si="161"/>
        <v>1</v>
      </c>
      <c r="AH55" s="204">
        <v>40</v>
      </c>
      <c r="AI55" s="190" t="str">
        <f t="shared" ref="AI55:AI57" si="165">AJ55&amp;$B$52</f>
        <v>2G</v>
      </c>
      <c r="AJ55" s="46">
        <v>2</v>
      </c>
      <c r="AK55" s="40" t="str">
        <f ca="1">+INDEX(Equipos!$L$2:$L$49,MATCH(WORLDCUP!AL55,Equipos!$K$2:$K$49,0))</f>
        <v>🇳🇿</v>
      </c>
      <c r="AL55" s="40" t="str">
        <f ca="1">IFERROR(INDEX($BD$6:$BD$53,MATCH(AI55,$BN$6:$BN$53,0)),"")</f>
        <v>Nueva Zelanda</v>
      </c>
      <c r="AM55" s="41">
        <f t="shared" ca="1" si="164"/>
        <v>4</v>
      </c>
      <c r="AN55" s="42">
        <f t="shared" ca="1" si="164"/>
        <v>3</v>
      </c>
      <c r="AO55" s="42">
        <f t="shared" ca="1" si="164"/>
        <v>1</v>
      </c>
      <c r="AP55" s="42">
        <f t="shared" ca="1" si="164"/>
        <v>1</v>
      </c>
      <c r="AQ55" s="42">
        <f t="shared" ca="1" si="164"/>
        <v>1</v>
      </c>
      <c r="AR55" s="42">
        <f t="shared" ca="1" si="164"/>
        <v>1</v>
      </c>
      <c r="AS55" s="42">
        <f t="shared" ca="1" si="164"/>
        <v>2</v>
      </c>
      <c r="AT55" s="48">
        <f t="shared" ca="1" si="164"/>
        <v>-1</v>
      </c>
      <c r="AU55" s="342">
        <f ca="1">INDEX($DJ$6:$DJ$53,MATCH(AI55,$DN$6:$DN$53,0))</f>
        <v>1</v>
      </c>
      <c r="AV55" s="191" t="str">
        <f ca="1">INDEX($BD$6:$BD$53,MATCH(AI55,$BM$6:$BM$53,0))</f>
        <v>Nueva Zelanda</v>
      </c>
      <c r="AW55" s="219"/>
      <c r="AX55" s="179"/>
      <c r="AY55" s="212" t="str">
        <f ca="1">+A54</f>
        <v>Egipto</v>
      </c>
      <c r="AZ55" s="213"/>
      <c r="BA55" s="155"/>
      <c r="BN55" s="624"/>
      <c r="BO55" s="624"/>
      <c r="BR55" s="624"/>
      <c r="BS55" s="624"/>
      <c r="BT55" s="624"/>
      <c r="BU55" s="624"/>
      <c r="BV55" s="624"/>
      <c r="BW55" s="624"/>
      <c r="BX55" s="624"/>
      <c r="BY55" s="624"/>
      <c r="BZ55" s="624"/>
      <c r="CA55" s="624"/>
      <c r="CB55" s="624"/>
      <c r="CC55" s="624"/>
      <c r="CD55" s="624"/>
      <c r="CE55" s="624"/>
      <c r="CF55" s="624"/>
      <c r="CG55" s="624"/>
      <c r="CH55" s="624"/>
      <c r="CI55" s="624"/>
      <c r="CJ55" s="624"/>
      <c r="CK55" s="624"/>
      <c r="CL55" s="624"/>
      <c r="CM55" s="624"/>
      <c r="CN55" s="624"/>
      <c r="CO55" s="624"/>
      <c r="CP55" s="624"/>
      <c r="CQ55" s="624"/>
      <c r="CR55" s="624"/>
      <c r="CS55" s="624"/>
      <c r="CT55" s="624"/>
      <c r="CV55" s="624"/>
    </row>
    <row r="56" spans="1:119 5612:5612 8867:8867 13370:13370">
      <c r="A56" s="646" t="str">
        <f ca="1">+Equipos!B29</f>
        <v>Nueva Zelanda</v>
      </c>
      <c r="B56" s="11"/>
      <c r="C56" s="10"/>
      <c r="D56" s="10" t="str">
        <f t="shared" si="148"/>
        <v>Empate</v>
      </c>
      <c r="E56" s="10" t="str">
        <f t="shared" ca="1" si="149"/>
        <v>-</v>
      </c>
      <c r="F56" s="10" t="str">
        <f t="shared" ca="1" si="150"/>
        <v>-</v>
      </c>
      <c r="G56" s="10"/>
      <c r="H56" s="10" t="str">
        <f t="shared" ca="1" si="151"/>
        <v>-</v>
      </c>
      <c r="I56" s="10" t="str">
        <f t="shared" ca="1" si="152"/>
        <v>-</v>
      </c>
      <c r="J56" s="10"/>
      <c r="K56" s="10" t="str">
        <f t="shared" ca="1" si="153"/>
        <v>-</v>
      </c>
      <c r="L56" s="10" t="str">
        <f t="shared" ca="1" si="154"/>
        <v>-</v>
      </c>
      <c r="M56" s="10"/>
      <c r="N56" s="10" t="str">
        <f t="shared" ca="1" si="155"/>
        <v>-</v>
      </c>
      <c r="O56" s="10" t="str">
        <f t="shared" ca="1" si="156"/>
        <v>-</v>
      </c>
      <c r="P56" s="10"/>
      <c r="Q56" s="10" t="str">
        <f t="shared" ca="1" si="157"/>
        <v>-</v>
      </c>
      <c r="R56" s="10" t="str">
        <f t="shared" ca="1" si="158"/>
        <v>-</v>
      </c>
      <c r="S56" s="10"/>
      <c r="T56" s="10" t="str">
        <f t="shared" ca="1" si="159"/>
        <v>-</v>
      </c>
      <c r="U56" s="10" t="str">
        <f t="shared" ca="1" si="160"/>
        <v>-</v>
      </c>
      <c r="V56" s="20"/>
      <c r="W56" s="679"/>
      <c r="X56" s="27">
        <f ca="1">Horarios!C56</f>
        <v>46200.208333333336</v>
      </c>
      <c r="Y56" s="28">
        <f ca="1">Horarios!C56</f>
        <v>46200.208333333336</v>
      </c>
      <c r="Z56" s="29" t="str">
        <f>$Z$8</f>
        <v>J3</v>
      </c>
      <c r="AA56" s="30" t="str">
        <f ca="1">A54</f>
        <v>Egipto</v>
      </c>
      <c r="AB56" s="55" t="str">
        <f ca="1">+INDEX(Equipos!$L$2:$L$49,MATCH(WORLDCUP!AA56,Equipos!$K$2:$K$49,0))</f>
        <v>🇪🇬</v>
      </c>
      <c r="AC56" s="56">
        <v>0</v>
      </c>
      <c r="AD56" s="57">
        <v>0</v>
      </c>
      <c r="AE56" s="58" t="str">
        <f ca="1">+INDEX(Equipos!$L$2:$L$49,MATCH(WORLDCUP!AF56,Equipos!$K$2:$K$49,0))</f>
        <v>🇮🇷</v>
      </c>
      <c r="AF56" s="35" t="str">
        <f ca="1">A55</f>
        <v>Irán</v>
      </c>
      <c r="AG56" s="335">
        <f t="shared" si="161"/>
        <v>1</v>
      </c>
      <c r="AH56" s="204">
        <v>63</v>
      </c>
      <c r="AI56" s="190" t="str">
        <f t="shared" si="165"/>
        <v>3G</v>
      </c>
      <c r="AJ56" s="46">
        <v>3</v>
      </c>
      <c r="AK56" s="40" t="str">
        <f ca="1">+INDEX(Equipos!$L$2:$L$49,MATCH(WORLDCUP!AL56,Equipos!$K$2:$K$49,0))</f>
        <v>🇪🇬</v>
      </c>
      <c r="AL56" s="40" t="str">
        <f ca="1">IFERROR(INDEX($BD$6:$BD$53,MATCH(AI56,$BN$6:$BN$53,0)),"")</f>
        <v>Egipto</v>
      </c>
      <c r="AM56" s="41">
        <f t="shared" ca="1" si="164"/>
        <v>2</v>
      </c>
      <c r="AN56" s="42">
        <f t="shared" ca="1" si="164"/>
        <v>3</v>
      </c>
      <c r="AO56" s="42">
        <f t="shared" ca="1" si="164"/>
        <v>0</v>
      </c>
      <c r="AP56" s="42">
        <f t="shared" ca="1" si="164"/>
        <v>2</v>
      </c>
      <c r="AQ56" s="42">
        <f t="shared" ca="1" si="164"/>
        <v>1</v>
      </c>
      <c r="AR56" s="42">
        <f t="shared" ca="1" si="164"/>
        <v>0</v>
      </c>
      <c r="AS56" s="42">
        <f t="shared" ca="1" si="164"/>
        <v>1</v>
      </c>
      <c r="AT56" s="48">
        <f t="shared" ca="1" si="164"/>
        <v>-1</v>
      </c>
      <c r="AU56" s="342">
        <f ca="1">INDEX($DJ$6:$DJ$53,MATCH(AI56,$DN$6:$DN$53,0))</f>
        <v>1</v>
      </c>
      <c r="AV56" s="191" t="str">
        <f ca="1">INDEX($BD$6:$BD$53,MATCH(AI56,$BM$6:$BM$53,0))</f>
        <v>Egipto</v>
      </c>
      <c r="AW56" s="219"/>
      <c r="AX56" s="179"/>
      <c r="AY56" s="210" t="str">
        <f ca="1">+A55</f>
        <v>Irán</v>
      </c>
      <c r="AZ56" s="211"/>
      <c r="BA56" s="155"/>
      <c r="BN56" s="624"/>
      <c r="BO56" s="624"/>
      <c r="BR56" s="624"/>
      <c r="BS56" s="624"/>
      <c r="BT56" s="624"/>
      <c r="BU56" s="624"/>
      <c r="BV56" s="624"/>
      <c r="BW56" s="624"/>
      <c r="BX56" s="624"/>
      <c r="BY56" s="624"/>
      <c r="BZ56" s="624"/>
      <c r="CA56" s="624"/>
      <c r="CB56" s="624"/>
      <c r="CC56" s="624"/>
      <c r="CD56" s="624"/>
      <c r="CE56" s="624"/>
      <c r="CF56" s="624"/>
      <c r="CG56" s="624"/>
      <c r="CH56" s="624"/>
      <c r="CI56" s="624"/>
      <c r="CJ56" s="624"/>
      <c r="CK56" s="624"/>
      <c r="CL56" s="624"/>
      <c r="CM56" s="624"/>
      <c r="CN56" s="624"/>
      <c r="CO56" s="624"/>
      <c r="CP56" s="624"/>
      <c r="CQ56" s="624"/>
      <c r="CR56" s="624"/>
      <c r="CS56" s="624"/>
      <c r="CT56" s="624"/>
      <c r="CV56" s="624"/>
    </row>
    <row r="57" spans="1:119 5612:5612 8867:8867 13370:13370" ht="15" thickBot="1">
      <c r="A57" s="643"/>
      <c r="B57" s="11"/>
      <c r="C57" s="643"/>
      <c r="D57" s="10" t="str">
        <f t="shared" si="148"/>
        <v>Visitante</v>
      </c>
      <c r="E57" s="10" t="str">
        <f t="shared" ca="1" si="149"/>
        <v>-</v>
      </c>
      <c r="F57" s="10" t="str">
        <f t="shared" ca="1" si="150"/>
        <v>-</v>
      </c>
      <c r="G57" s="10"/>
      <c r="H57" s="10" t="str">
        <f t="shared" ca="1" si="151"/>
        <v>-</v>
      </c>
      <c r="I57" s="10" t="str">
        <f t="shared" ca="1" si="152"/>
        <v>-</v>
      </c>
      <c r="J57" s="10"/>
      <c r="K57" s="10" t="str">
        <f t="shared" ca="1" si="153"/>
        <v>-</v>
      </c>
      <c r="L57" s="10" t="str">
        <f t="shared" ca="1" si="154"/>
        <v>-</v>
      </c>
      <c r="M57" s="10"/>
      <c r="N57" s="10" t="str">
        <f t="shared" ca="1" si="155"/>
        <v>-</v>
      </c>
      <c r="O57" s="10" t="str">
        <f t="shared" ca="1" si="156"/>
        <v>-</v>
      </c>
      <c r="P57" s="10"/>
      <c r="Q57" s="10" t="str">
        <f t="shared" ca="1" si="157"/>
        <v>-</v>
      </c>
      <c r="R57" s="10" t="str">
        <f t="shared" ca="1" si="158"/>
        <v>-</v>
      </c>
      <c r="S57" s="10"/>
      <c r="T57" s="10" t="str">
        <f t="shared" ca="1" si="159"/>
        <v>-</v>
      </c>
      <c r="U57" s="10" t="str">
        <f t="shared" ca="1" si="160"/>
        <v>-</v>
      </c>
      <c r="V57" s="20"/>
      <c r="W57" s="680"/>
      <c r="X57" s="31">
        <f ca="1">Horarios!C57</f>
        <v>46200.208333333336</v>
      </c>
      <c r="Y57" s="32">
        <f ca="1">Horarios!C57</f>
        <v>46200.208333333336</v>
      </c>
      <c r="Z57" s="33" t="str">
        <f>$Z$8</f>
        <v>J3</v>
      </c>
      <c r="AA57" s="34" t="str">
        <f ca="1">A56</f>
        <v>Nueva Zelanda</v>
      </c>
      <c r="AB57" s="59" t="str">
        <f ca="1">+INDEX(Equipos!$L$2:$L$49,MATCH(WORLDCUP!AA57,Equipos!$K$2:$K$49,0))</f>
        <v>🇳🇿</v>
      </c>
      <c r="AC57" s="60">
        <v>0</v>
      </c>
      <c r="AD57" s="61">
        <v>2</v>
      </c>
      <c r="AE57" s="62" t="str">
        <f ca="1">+INDEX(Equipos!$L$2:$L$49,MATCH(WORLDCUP!AF57,Equipos!$K$2:$K$49,0))</f>
        <v>🇧🇪</v>
      </c>
      <c r="AF57" s="36" t="str">
        <f ca="1">A53</f>
        <v>Bélgica</v>
      </c>
      <c r="AG57" s="335">
        <f t="shared" si="161"/>
        <v>1</v>
      </c>
      <c r="AH57" s="204">
        <v>64</v>
      </c>
      <c r="AI57" s="190" t="str">
        <f t="shared" si="165"/>
        <v>4G</v>
      </c>
      <c r="AJ57" s="49">
        <v>4</v>
      </c>
      <c r="AK57" s="51" t="str">
        <f ca="1">+INDEX(Equipos!$L$2:$L$49,MATCH(WORLDCUP!AL57,Equipos!$K$2:$K$49,0))</f>
        <v>🇮🇷</v>
      </c>
      <c r="AL57" s="51" t="str">
        <f ca="1">IFERROR(INDEX($BD$6:$BD$53,MATCH(AI57,$BN$6:$BN$53,0)),"")</f>
        <v>Irán</v>
      </c>
      <c r="AM57" s="52">
        <f t="shared" ca="1" si="164"/>
        <v>1</v>
      </c>
      <c r="AN57" s="53">
        <f t="shared" ca="1" si="164"/>
        <v>3</v>
      </c>
      <c r="AO57" s="53">
        <f t="shared" ca="1" si="164"/>
        <v>0</v>
      </c>
      <c r="AP57" s="53">
        <f t="shared" ca="1" si="164"/>
        <v>1</v>
      </c>
      <c r="AQ57" s="53">
        <f t="shared" ca="1" si="164"/>
        <v>2</v>
      </c>
      <c r="AR57" s="53">
        <f t="shared" ca="1" si="164"/>
        <v>0</v>
      </c>
      <c r="AS57" s="53">
        <f t="shared" ca="1" si="164"/>
        <v>2</v>
      </c>
      <c r="AT57" s="54">
        <f t="shared" ca="1" si="164"/>
        <v>-2</v>
      </c>
      <c r="AU57" s="342">
        <f ca="1">INDEX($DJ$6:$DJ$53,MATCH(AI57,$DN$6:$DN$53,0))</f>
        <v>1</v>
      </c>
      <c r="AV57" s="191" t="str">
        <f ca="1">INDEX($BD$6:$BD$53,MATCH(AI57,$BM$6:$BM$53,0))</f>
        <v>Irán</v>
      </c>
      <c r="AW57" s="219"/>
      <c r="AX57" s="179"/>
      <c r="AY57" s="214" t="str">
        <f ca="1">+A56</f>
        <v>Nueva Zelanda</v>
      </c>
      <c r="AZ57" s="215"/>
      <c r="BA57" s="155"/>
      <c r="BC57" s="625" t="str">
        <f t="shared" ref="BC57:BN57" si="166">+BC5</f>
        <v>Grupo</v>
      </c>
      <c r="BD57" s="625" t="str">
        <f t="shared" si="166"/>
        <v>Selección</v>
      </c>
      <c r="BE57" s="625" t="str">
        <f t="shared" si="166"/>
        <v>Pts</v>
      </c>
      <c r="BF57" s="625" t="str">
        <f t="shared" si="166"/>
        <v>J</v>
      </c>
      <c r="BG57" s="625" t="str">
        <f t="shared" si="166"/>
        <v>G</v>
      </c>
      <c r="BH57" s="625" t="str">
        <f t="shared" si="166"/>
        <v>E</v>
      </c>
      <c r="BI57" s="625" t="str">
        <f t="shared" si="166"/>
        <v>P</v>
      </c>
      <c r="BJ57" s="625" t="str">
        <f t="shared" si="166"/>
        <v>GF</v>
      </c>
      <c r="BK57" s="625" t="str">
        <f t="shared" si="166"/>
        <v>GC</v>
      </c>
      <c r="BL57" s="625" t="str">
        <f t="shared" si="166"/>
        <v>DG</v>
      </c>
      <c r="BM57" s="625" t="str">
        <f t="shared" si="166"/>
        <v>PosF1</v>
      </c>
      <c r="BN57" s="625" t="str">
        <f t="shared" si="166"/>
        <v>PosF3</v>
      </c>
      <c r="BO57" s="624"/>
      <c r="BP57" s="627" t="s">
        <v>633</v>
      </c>
      <c r="BQ57" s="627" t="s">
        <v>636</v>
      </c>
      <c r="BR57" s="627" t="s">
        <v>634</v>
      </c>
      <c r="BS57" s="627" t="s">
        <v>68</v>
      </c>
      <c r="BT57" s="627" t="s">
        <v>637</v>
      </c>
      <c r="BU57" s="627" t="s">
        <v>635</v>
      </c>
      <c r="BV57" s="627" t="s">
        <v>8</v>
      </c>
      <c r="BW57" s="627" t="s">
        <v>638</v>
      </c>
      <c r="BX57" s="627" t="s">
        <v>639</v>
      </c>
      <c r="BY57" s="628" t="s">
        <v>646</v>
      </c>
      <c r="BZ57" s="628" t="s">
        <v>647</v>
      </c>
      <c r="CA57" s="629"/>
      <c r="CB57" s="628" t="s">
        <v>648</v>
      </c>
      <c r="CC57" s="628" t="s">
        <v>649</v>
      </c>
      <c r="CD57" s="628" t="s">
        <v>650</v>
      </c>
      <c r="DH57" s="429" t="s">
        <v>671</v>
      </c>
      <c r="DI57" s="429"/>
      <c r="DJ57" s="429" t="s">
        <v>672</v>
      </c>
      <c r="DK57" s="429" t="s">
        <v>673</v>
      </c>
      <c r="DL57" s="429" t="s">
        <v>674</v>
      </c>
      <c r="DM57" s="429"/>
      <c r="DN57" s="429" t="s">
        <v>781</v>
      </c>
      <c r="DO57" s="429" t="s">
        <v>782</v>
      </c>
    </row>
    <row r="58" spans="1:119 5612:5612 8867:8867 13370:13370" ht="15.75" customHeight="1" thickBot="1">
      <c r="A58" s="643"/>
      <c r="B58" s="11"/>
      <c r="C58" s="643"/>
      <c r="D58" s="10"/>
      <c r="E58" s="10"/>
      <c r="F58" s="10"/>
      <c r="G58" s="10"/>
      <c r="H58" s="10"/>
      <c r="I58" s="10"/>
      <c r="J58" s="10"/>
      <c r="K58" s="10"/>
      <c r="L58" s="10"/>
      <c r="M58" s="10"/>
      <c r="N58" s="10"/>
      <c r="O58" s="10"/>
      <c r="P58" s="10"/>
      <c r="Q58" s="10"/>
      <c r="R58" s="10"/>
      <c r="S58" s="10"/>
      <c r="T58" s="10"/>
      <c r="U58" s="10"/>
      <c r="V58" s="20"/>
      <c r="W58" s="162"/>
      <c r="X58" s="163"/>
      <c r="Y58" s="162"/>
      <c r="Z58" s="164"/>
      <c r="AA58" s="165"/>
      <c r="AB58" s="166"/>
      <c r="AC58" s="159"/>
      <c r="AD58" s="159"/>
      <c r="AE58" s="166"/>
      <c r="AF58" s="167"/>
      <c r="AG58" s="337"/>
      <c r="AH58" s="204"/>
      <c r="AI58" s="190"/>
      <c r="AJ58" s="168"/>
      <c r="AK58" s="169"/>
      <c r="AL58" s="170"/>
      <c r="AM58" s="171"/>
      <c r="AN58" s="168"/>
      <c r="AO58" s="168"/>
      <c r="AP58" s="168"/>
      <c r="AQ58" s="168"/>
      <c r="AR58" s="168"/>
      <c r="AS58" s="168"/>
      <c r="AT58" s="168"/>
      <c r="AU58" s="342"/>
      <c r="AV58" s="198"/>
      <c r="AW58" s="220"/>
      <c r="AX58" s="179"/>
      <c r="AY58" s="162"/>
      <c r="AZ58" s="163"/>
      <c r="BA58" s="155"/>
      <c r="BB58" s="634" t="str">
        <f>3&amp;BC58</f>
        <v>3A</v>
      </c>
      <c r="BC58" s="630" t="s">
        <v>0</v>
      </c>
      <c r="BD58" s="10" t="str">
        <f t="shared" ref="BD58:BL69" ca="1" si="167">+INDEX($BD$6:$BN$53,MATCH($BB58,$BN$6:$BN$53,0),MATCH(BD$57,$BD$5:$BN$5,0))</f>
        <v>PO D: DEN/MKD/CZE/IRL</v>
      </c>
      <c r="BE58" s="424">
        <f t="shared" ca="1" si="167"/>
        <v>2</v>
      </c>
      <c r="BF58" s="424">
        <f t="shared" ca="1" si="167"/>
        <v>3</v>
      </c>
      <c r="BG58" s="424">
        <f t="shared" ca="1" si="167"/>
        <v>0</v>
      </c>
      <c r="BH58" s="424">
        <f t="shared" ca="1" si="167"/>
        <v>2</v>
      </c>
      <c r="BI58" s="424">
        <f t="shared" ca="1" si="167"/>
        <v>1</v>
      </c>
      <c r="BJ58" s="424">
        <f t="shared" ca="1" si="167"/>
        <v>2</v>
      </c>
      <c r="BK58" s="424">
        <f t="shared" ca="1" si="167"/>
        <v>3</v>
      </c>
      <c r="BL58" s="424">
        <f t="shared" ca="1" si="167"/>
        <v>-1</v>
      </c>
      <c r="BM58" s="424">
        <f ca="1">BZ58</f>
        <v>6</v>
      </c>
      <c r="BN58" s="424">
        <f ca="1">CD58</f>
        <v>6</v>
      </c>
      <c r="BO58" s="630"/>
      <c r="BP58" s="424">
        <f t="shared" ref="BP58:BP69" ca="1" si="168">+BE58</f>
        <v>2</v>
      </c>
      <c r="BQ58" s="424">
        <f ca="1">COUNTIFS(BP$58:BP$69,"&gt;"&amp;BP58)+1</f>
        <v>6</v>
      </c>
      <c r="BR58" s="424" t="str">
        <f ca="1">IF(COUNTIF(BQ$58:BQ$69,BQ58)=1,"-","Pos. "&amp;BQ58&amp;" ("&amp;COUNTIF(BQ$58:BQ$69,BQ58)&amp;")")</f>
        <v>Pos. 6 (4)</v>
      </c>
      <c r="BS58" s="424">
        <f t="shared" ref="BS58:BS69" ca="1" si="169">IF(BR58="-","-",BL58)</f>
        <v>-1</v>
      </c>
      <c r="BT58" s="424">
        <f t="shared" ref="BT58:BT69" ca="1" si="170">BQ58+COUNTIFS(BR$58:BR$69,BR58,BS$58:BS$69,"&gt;"&amp;BS58)</f>
        <v>6</v>
      </c>
      <c r="BU58" s="424" t="str">
        <f t="shared" ref="BU58:BU69" ca="1" si="171">IF(COUNTIF(BT$58:BT$69,BT58)=1,"-","Pos. "&amp;BT58&amp;" ("&amp;COUNTIF(BT$58:BT$69,BT58)&amp;")")</f>
        <v>Pos. 6 (3)</v>
      </c>
      <c r="BV58" s="424">
        <f t="shared" ref="BV58:BV69" ca="1" si="172">IF(BU58="-","-",BJ58)</f>
        <v>2</v>
      </c>
      <c r="BW58" s="424">
        <f t="shared" ref="BW58:BW69" ca="1" si="173">BT58+COUNTIFS(BU$58:BU$69,BU58,BV$58:BV$69,"&gt;"&amp;BV58)</f>
        <v>6</v>
      </c>
      <c r="BX58" s="424" t="str">
        <f t="shared" ref="BX58:BX69" ca="1" si="174">IF(COUNTIF(BW$58:BW$69,BW58)=1,"-","Pos. "&amp;BW58&amp;" ("&amp;COUNTIF(BW$58:BW$69,BW58)&amp;")")</f>
        <v>-</v>
      </c>
      <c r="BY58" s="424" t="str">
        <f ca="1">IF(BX58="-","-",COUNTIF($BD$58:$BD$69,"&gt;"&amp;BD58))</f>
        <v>-</v>
      </c>
      <c r="BZ58" s="424">
        <f ca="1">BW58+COUNTIFS(BX$58:BX$69,BX58,BY$58:BY$69,"&gt;"&amp;BY58)</f>
        <v>6</v>
      </c>
      <c r="CA58" s="424"/>
      <c r="CB58" s="424">
        <f t="shared" ref="CB58:CB69" ca="1" si="175">IF(OR(INDEX($AW$102:$AW$113,MATCH($BD58,$AV$102:$AV$113,0))="",BX58="-"),BZ58,INDEX($AW$102:$AW$113,MATCH($BD58,$AV$102:$AV$113,0))+BZ58/1000)</f>
        <v>6</v>
      </c>
      <c r="CC58" s="424" t="str">
        <f ca="1">IF(BX58="-","-",COUNTIF(CB$58:CB$69,"&lt;"&amp;CB58))</f>
        <v>-</v>
      </c>
      <c r="CD58" s="424">
        <f ca="1">BW58+COUNTIFS(BX$58:BX$69,BX58,CC$58:CC$69,"&lt;"&amp;CC58)</f>
        <v>6</v>
      </c>
      <c r="CE58" s="424"/>
      <c r="CF58" s="424"/>
      <c r="CG58" s="424"/>
      <c r="CH58" s="424"/>
      <c r="CI58" s="424"/>
      <c r="CJ58" s="424"/>
      <c r="CK58" s="424"/>
      <c r="CL58" s="424"/>
      <c r="CM58" s="424"/>
      <c r="CN58" s="424"/>
      <c r="CO58" s="424"/>
      <c r="CP58" s="424"/>
      <c r="CQ58" s="424"/>
      <c r="CR58" s="424"/>
      <c r="CS58" s="424"/>
      <c r="CT58" s="424"/>
      <c r="DH58" s="10">
        <f t="shared" ref="DH58:DH69" ca="1" si="176">INDEX($BW$58:$BW$69,MATCH($DO58,$BD$58:$BD$69,0))</f>
        <v>1</v>
      </c>
      <c r="DJ58" s="10">
        <f ca="1">IF(OR($H$113=144,$AJ$99=144),COUNTIF($DH$58:$DH$69,DH58),1)</f>
        <v>1</v>
      </c>
      <c r="DK58" s="19" t="str">
        <f t="shared" ref="DK58:DK69" ca="1" si="177">DH58&amp;"."&amp;DJ58</f>
        <v>1.1</v>
      </c>
      <c r="DL58" s="10" cm="1">
        <f t="array" aca="1" ref="DL58" ca="1">OFFSET(Horarios!$P$3,DH58-1,0,DJ58,1)</f>
        <v>1</v>
      </c>
      <c r="DN58" s="10">
        <v>1</v>
      </c>
      <c r="DO58" s="10" t="str">
        <f ca="1">INDEX($BD$58:$BD$69,MATCH(DN58,$BM$58:$BM$69,0))</f>
        <v>Ghana</v>
      </c>
      <c r="STF58" s="10" t="s">
        <v>15</v>
      </c>
    </row>
    <row r="59" spans="1:119 5612:5612 8867:8867 13370:13370" ht="15" thickBot="1">
      <c r="A59" s="643"/>
      <c r="B59" s="11"/>
      <c r="C59" s="643"/>
      <c r="D59" s="643"/>
      <c r="E59" s="643"/>
      <c r="F59" s="643"/>
      <c r="G59" s="643"/>
      <c r="H59" s="643"/>
      <c r="I59" s="643"/>
      <c r="J59" s="643"/>
      <c r="K59" s="643"/>
      <c r="L59" s="643"/>
      <c r="M59" s="643"/>
      <c r="N59" s="10"/>
      <c r="O59" s="10"/>
      <c r="P59" s="10"/>
      <c r="Q59" s="10"/>
      <c r="R59" s="10"/>
      <c r="S59" s="10"/>
      <c r="T59" s="10"/>
      <c r="U59" s="10"/>
      <c r="V59" s="20"/>
      <c r="W59" s="9"/>
      <c r="X59" s="77" t="str">
        <f>X3</f>
        <v>Fecha</v>
      </c>
      <c r="Y59" s="77" t="str">
        <f>Y3</f>
        <v>Hora</v>
      </c>
      <c r="Z59" s="63" t="str">
        <f>Z3</f>
        <v>Jor.</v>
      </c>
      <c r="AA59" s="65" t="str">
        <f>AA3</f>
        <v>Casa</v>
      </c>
      <c r="AB59" s="64"/>
      <c r="AC59" s="63" t="str">
        <f>AC3</f>
        <v>Gol</v>
      </c>
      <c r="AD59" s="63" t="str">
        <f>AD3</f>
        <v>Gol</v>
      </c>
      <c r="AE59" s="64"/>
      <c r="AF59" s="66" t="str">
        <f>AF3</f>
        <v>Fuera</v>
      </c>
      <c r="AG59" s="336"/>
      <c r="AH59" s="204"/>
      <c r="AI59" s="188"/>
      <c r="AJ59" s="170"/>
      <c r="AK59" s="172"/>
      <c r="AL59" s="170"/>
      <c r="AM59" s="170"/>
      <c r="AN59" s="170"/>
      <c r="AO59" s="170"/>
      <c r="AP59" s="170"/>
      <c r="AQ59" s="170"/>
      <c r="AR59" s="170"/>
      <c r="AS59" s="170"/>
      <c r="AT59" s="170"/>
      <c r="AU59" s="343"/>
      <c r="AV59" s="197"/>
      <c r="AW59" s="221"/>
      <c r="AX59" s="180"/>
      <c r="AY59" s="162"/>
      <c r="AZ59" s="163"/>
      <c r="BA59" s="155"/>
      <c r="BB59" s="634" t="str">
        <f t="shared" ref="BB59:BB69" si="178">"3"&amp;BC59</f>
        <v>3B</v>
      </c>
      <c r="BC59" s="630" t="s">
        <v>1</v>
      </c>
      <c r="BD59" s="10" t="str">
        <f t="shared" ca="1" si="167"/>
        <v>Catar</v>
      </c>
      <c r="BE59" s="424">
        <f t="shared" ca="1" si="167"/>
        <v>3</v>
      </c>
      <c r="BF59" s="424">
        <f t="shared" ca="1" si="167"/>
        <v>3</v>
      </c>
      <c r="BG59" s="424">
        <f t="shared" ca="1" si="167"/>
        <v>1</v>
      </c>
      <c r="BH59" s="424">
        <f t="shared" ca="1" si="167"/>
        <v>0</v>
      </c>
      <c r="BI59" s="424">
        <f t="shared" ca="1" si="167"/>
        <v>2</v>
      </c>
      <c r="BJ59" s="424">
        <f t="shared" ca="1" si="167"/>
        <v>1</v>
      </c>
      <c r="BK59" s="424">
        <f t="shared" ca="1" si="167"/>
        <v>3</v>
      </c>
      <c r="BL59" s="424">
        <f t="shared" ca="1" si="167"/>
        <v>-2</v>
      </c>
      <c r="BM59" s="424">
        <f t="shared" ref="BM59:BM69" ca="1" si="179">BZ59</f>
        <v>5</v>
      </c>
      <c r="BN59" s="424">
        <f t="shared" ref="BN59:BN69" ca="1" si="180">CD59</f>
        <v>5</v>
      </c>
      <c r="BO59" s="630"/>
      <c r="BP59" s="424">
        <f t="shared" ca="1" si="168"/>
        <v>3</v>
      </c>
      <c r="BQ59" s="424">
        <f t="shared" ref="BQ59:BQ69" ca="1" si="181">COUNTIFS(BP$58:BP$69,"&gt;"&amp;BP59)+1</f>
        <v>3</v>
      </c>
      <c r="BR59" s="424" t="str">
        <f t="shared" ref="BR59:BR69" ca="1" si="182">IF(COUNTIF(BQ$58:BQ$69,BQ59)=1,"-","Pos. "&amp;BQ59&amp;" ("&amp;COUNTIF(BQ$58:BQ$69,BQ59)&amp;")")</f>
        <v>Pos. 3 (3)</v>
      </c>
      <c r="BS59" s="424">
        <f t="shared" ca="1" si="169"/>
        <v>-2</v>
      </c>
      <c r="BT59" s="424">
        <f t="shared" ca="1" si="170"/>
        <v>5</v>
      </c>
      <c r="BU59" s="424" t="str">
        <f t="shared" ca="1" si="171"/>
        <v>-</v>
      </c>
      <c r="BV59" s="424" t="str">
        <f t="shared" ca="1" si="172"/>
        <v>-</v>
      </c>
      <c r="BW59" s="424">
        <f t="shared" ca="1" si="173"/>
        <v>5</v>
      </c>
      <c r="BX59" s="424" t="str">
        <f t="shared" ca="1" si="174"/>
        <v>-</v>
      </c>
      <c r="BY59" s="424" t="str">
        <f t="shared" ref="BY59:BY69" ca="1" si="183">IF(BX59="-","-",COUNTIF($BD$58:$BD$69,"&gt;"&amp;BD59))</f>
        <v>-</v>
      </c>
      <c r="BZ59" s="424">
        <f t="shared" ref="BZ59:BZ68" ca="1" si="184">BW59+COUNTIFS(BX$58:BX$69,BX59,BY$58:BY$69,"&gt;"&amp;BY59)</f>
        <v>5</v>
      </c>
      <c r="CA59" s="424"/>
      <c r="CB59" s="424">
        <f t="shared" ca="1" si="175"/>
        <v>5</v>
      </c>
      <c r="CC59" s="424" t="str">
        <f t="shared" ref="CC59:CC69" ca="1" si="185">IF(BX59="-","-",COUNTIF(CB$58:CB$69,"&lt;"&amp;CB59))</f>
        <v>-</v>
      </c>
      <c r="CD59" s="424">
        <f t="shared" ref="CD59:CD69" ca="1" si="186">BW59+COUNTIFS(BX$58:BX$69,BX59,CC$58:CC$69,"&lt;"&amp;CC59)</f>
        <v>5</v>
      </c>
      <c r="CE59" s="424"/>
      <c r="CF59" s="424"/>
      <c r="CG59" s="424"/>
      <c r="CH59" s="424"/>
      <c r="CI59" s="424"/>
      <c r="CJ59" s="424"/>
      <c r="CK59" s="424"/>
      <c r="CL59" s="424"/>
      <c r="CM59" s="424"/>
      <c r="CN59" s="424"/>
      <c r="CO59" s="424"/>
      <c r="CP59" s="424"/>
      <c r="CQ59" s="424"/>
      <c r="CR59" s="424"/>
      <c r="CS59" s="424"/>
      <c r="CT59" s="424"/>
      <c r="DH59" s="10">
        <f t="shared" ca="1" si="176"/>
        <v>2</v>
      </c>
      <c r="DJ59" s="10">
        <f t="shared" ref="DJ59:DJ69" ca="1" si="187">IF(OR($H$113=144,$AJ$99=144),COUNTIF($DH$58:$DH$69,DH59),1)</f>
        <v>1</v>
      </c>
      <c r="DK59" s="19" t="str">
        <f t="shared" ca="1" si="177"/>
        <v>2.1</v>
      </c>
      <c r="DL59" s="10" cm="1">
        <f t="array" aca="1" ref="DL59" ca="1">OFFSET(Horarios!$P$3,DH59-1,0,DJ59,1)</f>
        <v>2</v>
      </c>
      <c r="DN59" s="10">
        <v>2</v>
      </c>
      <c r="DO59" s="10" t="str">
        <f t="shared" ref="DO59:DO69" ca="1" si="188">INDEX($BD$58:$BD$69,MATCH(DN59,$BM$58:$BM$69,0))</f>
        <v>Noruega</v>
      </c>
    </row>
    <row r="60" spans="1:119 5612:5612 8867:8867 13370:13370" ht="15" customHeight="1" thickBot="1">
      <c r="A60" s="645" t="s">
        <v>32</v>
      </c>
      <c r="B60" s="11" t="s">
        <v>454</v>
      </c>
      <c r="C60" s="441">
        <f>COUNTIF(Equipos!$C$2:$C$49,WORLDCUP!B60)</f>
        <v>4</v>
      </c>
      <c r="D60" s="10" t="str">
        <f t="shared" ref="D60:D65" si="189">IF(OR(AC60="",AD60=""),"Pendiente",IF(AC60&gt;AD60,"Local",IF(AC60&lt;AD60,"Visitante","Empate")))</f>
        <v>Local</v>
      </c>
      <c r="E60" s="10" t="str">
        <f t="shared" ref="E60:E65" ca="1" si="190">IF(D60="Pendiente","-",INDEX($BR$6:$BR$53,MATCH($AA60,$BD$6:$BD$53,0)))</f>
        <v>-</v>
      </c>
      <c r="F60" s="10" t="str">
        <f t="shared" ref="F60:F65" ca="1" si="191">IF(D60="Pendiente","-",INDEX($BR$6:$BR$53,MATCH($AF60,$BD$6:$BD$53,0)))</f>
        <v>-</v>
      </c>
      <c r="G60" s="10"/>
      <c r="H60" s="10" t="str">
        <f t="shared" ref="H60:H65" ca="1" si="192">IF(D60="Pendiente","-",INDEX($BX$6:$BX$53,MATCH($AA60,$BD$6:$BD$53,0)))</f>
        <v>-</v>
      </c>
      <c r="I60" s="10" t="str">
        <f t="shared" ref="I60:I65" ca="1" si="193">IF(D60="Pendiente","-",INDEX($BX$6:$BX$53,MATCH($AF60,$BD$6:$BD$53,0)))</f>
        <v>-</v>
      </c>
      <c r="J60" s="10"/>
      <c r="K60" s="10" t="str">
        <f t="shared" ref="K60:K65" ca="1" si="194">IF(D60="Pendiente","-",INDEX($CC$6:$CC$53,MATCH($AA60,$BD$6:$BD$53,0)))</f>
        <v>-</v>
      </c>
      <c r="L60" s="10" t="str">
        <f t="shared" ref="L60:L65" ca="1" si="195">IF(D60="Pendiente","-",INDEX($CC$6:$CC$53,MATCH($AF60,$BD$6:$BD$53,0)))</f>
        <v>-</v>
      </c>
      <c r="M60" s="10"/>
      <c r="N60" s="10" t="str">
        <f t="shared" ref="N60:N65" ca="1" si="196">IF(D60="Pendiente","-",INDEX($CF$6:$CF$53,MATCH($AA60,$BD$6:$BD$53,0)))</f>
        <v>-</v>
      </c>
      <c r="O60" s="10" t="str">
        <f t="shared" ref="O60:O65" ca="1" si="197">IF(D60="Pendiente","-",INDEX($CF$6:$CF$53,MATCH($AF60,$BD$6:$BD$53,0)))</f>
        <v>-</v>
      </c>
      <c r="P60" s="10"/>
      <c r="Q60" s="10" t="str">
        <f t="shared" ref="Q60:Q65" ca="1" si="198">IF(D60="Pendiente","-",INDEX($CL$6:$CL$53,MATCH($AA60,$BD$6:$BD$53,0)))</f>
        <v>-</v>
      </c>
      <c r="R60" s="10" t="str">
        <f t="shared" ref="R60:R65" ca="1" si="199">IF(D60="Pendiente","-",INDEX($CL$6:$CL$53,MATCH($AF60,$BD$6:$BD$53,0)))</f>
        <v>-</v>
      </c>
      <c r="S60" s="10"/>
      <c r="T60" s="10" t="str">
        <f t="shared" ref="T60:T65" ca="1" si="200">IF(D60="Pendiente","-",INDEX($CQ$6:$CQ$53,MATCH($AA60,$BD$6:$BD$53,0)))</f>
        <v>-</v>
      </c>
      <c r="U60" s="10" t="str">
        <f t="shared" ref="U60:U65" ca="1" si="201">IF(D60="Pendiente","-",INDEX($CQ$6:$CQ$53,MATCH($AF60,$BD$6:$BD$53,0)))</f>
        <v>-</v>
      </c>
      <c r="V60" s="20"/>
      <c r="W60" s="661" t="s">
        <v>454</v>
      </c>
      <c r="X60" s="27">
        <f ca="1">Horarios!C60</f>
        <v>46188.75</v>
      </c>
      <c r="Y60" s="28">
        <f ca="1">Horarios!C60</f>
        <v>46188.75</v>
      </c>
      <c r="Z60" s="29" t="str">
        <f>$Z$4</f>
        <v>J1</v>
      </c>
      <c r="AA60" s="30" t="str">
        <f ca="1">A61</f>
        <v>España</v>
      </c>
      <c r="AB60" s="55" t="str">
        <f ca="1">+INDEX(Equipos!$L$2:$L$49,MATCH(WORLDCUP!AA60,Equipos!$K$2:$K$49,0))</f>
        <v>🇪🇸</v>
      </c>
      <c r="AC60" s="56">
        <v>3</v>
      </c>
      <c r="AD60" s="57">
        <v>0</v>
      </c>
      <c r="AE60" s="58" t="str">
        <f ca="1">+INDEX(Equipos!$L$2:$L$49,MATCH(WORLDCUP!AF60,Equipos!$K$2:$K$49,0))</f>
        <v>🇨🇻</v>
      </c>
      <c r="AF60" s="35" t="str">
        <f ca="1">A62</f>
        <v>Cabo Verde</v>
      </c>
      <c r="AG60" s="335">
        <f t="shared" ref="AG60:AG65" si="202">IF(NOT(OR(ISBLANK(AC60),ISBLANK(AD60))),1,0)</f>
        <v>1</v>
      </c>
      <c r="AH60" s="204">
        <v>13</v>
      </c>
      <c r="AI60" s="190"/>
      <c r="AJ60" s="67" t="str">
        <f>CONCATENATE(AJ3," ",B60)</f>
        <v>Grupo H</v>
      </c>
      <c r="AK60" s="68"/>
      <c r="AL60" s="68"/>
      <c r="AM60" s="68"/>
      <c r="AN60" s="68"/>
      <c r="AO60" s="68"/>
      <c r="AP60" s="68"/>
      <c r="AQ60" s="68"/>
      <c r="AR60" s="68"/>
      <c r="AS60" s="68"/>
      <c r="AT60" s="69"/>
      <c r="AU60" s="343"/>
      <c r="AV60" s="295" t="str">
        <f ca="1">IF(AU61&gt;0,$AV$3,"")</f>
        <v/>
      </c>
      <c r="AW60" s="175"/>
      <c r="AX60" s="175"/>
      <c r="AY60" s="162"/>
      <c r="AZ60" s="163"/>
      <c r="BA60" s="155"/>
      <c r="BB60" s="634" t="str">
        <f t="shared" si="178"/>
        <v>3C</v>
      </c>
      <c r="BC60" s="630" t="s">
        <v>2</v>
      </c>
      <c r="BD60" s="10" t="str">
        <f t="shared" ca="1" si="167"/>
        <v>Escocia</v>
      </c>
      <c r="BE60" s="424">
        <f t="shared" ca="1" si="167"/>
        <v>3</v>
      </c>
      <c r="BF60" s="424">
        <f t="shared" ca="1" si="167"/>
        <v>3</v>
      </c>
      <c r="BG60" s="424">
        <f t="shared" ca="1" si="167"/>
        <v>1</v>
      </c>
      <c r="BH60" s="424">
        <f t="shared" ca="1" si="167"/>
        <v>0</v>
      </c>
      <c r="BI60" s="424">
        <f t="shared" ca="1" si="167"/>
        <v>2</v>
      </c>
      <c r="BJ60" s="424">
        <f t="shared" ca="1" si="167"/>
        <v>2</v>
      </c>
      <c r="BK60" s="424">
        <f t="shared" ca="1" si="167"/>
        <v>2</v>
      </c>
      <c r="BL60" s="424">
        <f t="shared" ca="1" si="167"/>
        <v>0</v>
      </c>
      <c r="BM60" s="424">
        <f t="shared" ca="1" si="179"/>
        <v>3</v>
      </c>
      <c r="BN60" s="424">
        <f t="shared" ca="1" si="180"/>
        <v>3</v>
      </c>
      <c r="BO60" s="630"/>
      <c r="BP60" s="424">
        <f t="shared" ca="1" si="168"/>
        <v>3</v>
      </c>
      <c r="BQ60" s="424">
        <f t="shared" ca="1" si="181"/>
        <v>3</v>
      </c>
      <c r="BR60" s="424" t="str">
        <f t="shared" ca="1" si="182"/>
        <v>Pos. 3 (3)</v>
      </c>
      <c r="BS60" s="424">
        <f t="shared" ca="1" si="169"/>
        <v>0</v>
      </c>
      <c r="BT60" s="424">
        <f t="shared" ca="1" si="170"/>
        <v>3</v>
      </c>
      <c r="BU60" s="424" t="str">
        <f t="shared" ca="1" si="171"/>
        <v>-</v>
      </c>
      <c r="BV60" s="424" t="str">
        <f t="shared" ca="1" si="172"/>
        <v>-</v>
      </c>
      <c r="BW60" s="424">
        <f t="shared" ca="1" si="173"/>
        <v>3</v>
      </c>
      <c r="BX60" s="424" t="str">
        <f t="shared" ca="1" si="174"/>
        <v>-</v>
      </c>
      <c r="BY60" s="424" t="str">
        <f t="shared" ca="1" si="183"/>
        <v>-</v>
      </c>
      <c r="BZ60" s="424">
        <f t="shared" ca="1" si="184"/>
        <v>3</v>
      </c>
      <c r="CA60" s="424"/>
      <c r="CB60" s="424">
        <f t="shared" ca="1" si="175"/>
        <v>3</v>
      </c>
      <c r="CC60" s="424" t="str">
        <f t="shared" ca="1" si="185"/>
        <v>-</v>
      </c>
      <c r="CD60" s="424">
        <f t="shared" ca="1" si="186"/>
        <v>3</v>
      </c>
      <c r="CE60" s="424"/>
      <c r="CF60" s="424"/>
      <c r="CG60" s="424"/>
      <c r="CH60" s="424"/>
      <c r="CI60" s="424"/>
      <c r="CJ60" s="424"/>
      <c r="CK60" s="424"/>
      <c r="CL60" s="424"/>
      <c r="CM60" s="424"/>
      <c r="CN60" s="424"/>
      <c r="CO60" s="424"/>
      <c r="CP60" s="424"/>
      <c r="CQ60" s="424"/>
      <c r="CR60" s="424"/>
      <c r="CS60" s="424"/>
      <c r="CT60" s="424"/>
      <c r="DH60" s="10">
        <f t="shared" ca="1" si="176"/>
        <v>3</v>
      </c>
      <c r="DJ60" s="10">
        <f t="shared" ca="1" si="187"/>
        <v>1</v>
      </c>
      <c r="DK60" s="19" t="str">
        <f t="shared" ca="1" si="177"/>
        <v>3.1</v>
      </c>
      <c r="DL60" s="10" cm="1">
        <f t="array" aca="1" ref="DL60" ca="1">OFFSET(Horarios!$P$3,DH60-1,0,DJ60,1)</f>
        <v>3</v>
      </c>
      <c r="DN60" s="10">
        <v>3</v>
      </c>
      <c r="DO60" s="10" t="str">
        <f t="shared" ca="1" si="188"/>
        <v>Escocia</v>
      </c>
    </row>
    <row r="61" spans="1:119 5612:5612 8867:8867 13370:13370">
      <c r="A61" s="646" t="str">
        <f ca="1">+Equipos!B30</f>
        <v>España</v>
      </c>
      <c r="B61" s="11"/>
      <c r="C61" s="11"/>
      <c r="D61" s="10" t="str">
        <f t="shared" si="189"/>
        <v>Empate</v>
      </c>
      <c r="E61" s="10" t="str">
        <f t="shared" ca="1" si="190"/>
        <v>-</v>
      </c>
      <c r="F61" s="10" t="str">
        <f t="shared" ca="1" si="191"/>
        <v>-</v>
      </c>
      <c r="G61" s="10"/>
      <c r="H61" s="10" t="str">
        <f t="shared" ca="1" si="192"/>
        <v>-</v>
      </c>
      <c r="I61" s="10" t="str">
        <f t="shared" ca="1" si="193"/>
        <v>-</v>
      </c>
      <c r="J61" s="10"/>
      <c r="K61" s="10" t="str">
        <f t="shared" ca="1" si="194"/>
        <v>-</v>
      </c>
      <c r="L61" s="10" t="str">
        <f t="shared" ca="1" si="195"/>
        <v>-</v>
      </c>
      <c r="M61" s="10"/>
      <c r="N61" s="10" t="str">
        <f t="shared" ca="1" si="196"/>
        <v>-</v>
      </c>
      <c r="O61" s="10" t="str">
        <f t="shared" ca="1" si="197"/>
        <v>-</v>
      </c>
      <c r="P61" s="10"/>
      <c r="Q61" s="10" t="str">
        <f t="shared" ca="1" si="198"/>
        <v>-</v>
      </c>
      <c r="R61" s="10" t="str">
        <f t="shared" ca="1" si="199"/>
        <v>-</v>
      </c>
      <c r="S61" s="10"/>
      <c r="T61" s="10" t="str">
        <f t="shared" ca="1" si="200"/>
        <v>-</v>
      </c>
      <c r="U61" s="10" t="str">
        <f t="shared" ca="1" si="201"/>
        <v>-</v>
      </c>
      <c r="V61" s="20"/>
      <c r="W61" s="661"/>
      <c r="X61" s="27">
        <f ca="1">Horarios!C61</f>
        <v>46189</v>
      </c>
      <c r="Y61" s="28">
        <f ca="1">Horarios!C61</f>
        <v>46189</v>
      </c>
      <c r="Z61" s="29" t="str">
        <f>$Z$4</f>
        <v>J1</v>
      </c>
      <c r="AA61" s="30" t="str">
        <f ca="1">A63</f>
        <v>Arabia Saudita</v>
      </c>
      <c r="AB61" s="55" t="str">
        <f ca="1">+INDEX(Equipos!$L$2:$L$49,MATCH(WORLDCUP!AA61,Equipos!$K$2:$K$49,0))</f>
        <v>🇸🇦</v>
      </c>
      <c r="AC61" s="56">
        <v>0</v>
      </c>
      <c r="AD61" s="57">
        <v>0</v>
      </c>
      <c r="AE61" s="58" t="str">
        <f ca="1">+INDEX(Equipos!$L$2:$L$49,MATCH(WORLDCUP!AF61,Equipos!$K$2:$K$49,0))</f>
        <v>🇺🇾</v>
      </c>
      <c r="AF61" s="35" t="str">
        <f ca="1">A64</f>
        <v>Uruguay</v>
      </c>
      <c r="AG61" s="335">
        <f t="shared" si="202"/>
        <v>1</v>
      </c>
      <c r="AH61" s="204">
        <v>14</v>
      </c>
      <c r="AI61" s="190"/>
      <c r="AJ61" s="70" t="str">
        <f>AJ5</f>
        <v>Pos</v>
      </c>
      <c r="AK61" s="71"/>
      <c r="AL61" s="72" t="str">
        <f t="shared" ref="AL61:AT61" si="203">AL5</f>
        <v>Selección</v>
      </c>
      <c r="AM61" s="71" t="str">
        <f t="shared" si="203"/>
        <v>Pts</v>
      </c>
      <c r="AN61" s="71" t="str">
        <f t="shared" si="203"/>
        <v>J</v>
      </c>
      <c r="AO61" s="71" t="str">
        <f t="shared" si="203"/>
        <v>G</v>
      </c>
      <c r="AP61" s="71" t="str">
        <f t="shared" si="203"/>
        <v>E</v>
      </c>
      <c r="AQ61" s="71" t="str">
        <f t="shared" si="203"/>
        <v>P</v>
      </c>
      <c r="AR61" s="71" t="str">
        <f t="shared" si="203"/>
        <v>GF</v>
      </c>
      <c r="AS61" s="71" t="str">
        <f t="shared" si="203"/>
        <v>GC</v>
      </c>
      <c r="AT61" s="73" t="str">
        <f t="shared" si="203"/>
        <v>DG</v>
      </c>
      <c r="AU61" s="343">
        <f t="shared" ref="AU61" ca="1" si="204">COUNTIF(AU62:AU65,"&gt;1")</f>
        <v>0</v>
      </c>
      <c r="AV61" s="201"/>
      <c r="AW61" s="175"/>
      <c r="AX61" s="175"/>
      <c r="AY61" s="216" t="str">
        <f>AL61</f>
        <v>Selección</v>
      </c>
      <c r="AZ61" s="217" t="str">
        <f>+Idiomas!$D$67</f>
        <v>Puntos penalizados</v>
      </c>
      <c r="BA61" s="155"/>
      <c r="BB61" s="634" t="str">
        <f t="shared" si="178"/>
        <v>3D</v>
      </c>
      <c r="BC61" s="630" t="s">
        <v>75</v>
      </c>
      <c r="BD61" s="10" t="str">
        <f t="shared" ca="1" si="167"/>
        <v>Australia</v>
      </c>
      <c r="BE61" s="424">
        <f t="shared" ca="1" si="167"/>
        <v>2</v>
      </c>
      <c r="BF61" s="424">
        <f t="shared" ca="1" si="167"/>
        <v>3</v>
      </c>
      <c r="BG61" s="424">
        <f t="shared" ca="1" si="167"/>
        <v>0</v>
      </c>
      <c r="BH61" s="424">
        <f t="shared" ca="1" si="167"/>
        <v>2</v>
      </c>
      <c r="BI61" s="424">
        <f t="shared" ca="1" si="167"/>
        <v>1</v>
      </c>
      <c r="BJ61" s="424">
        <f t="shared" ca="1" si="167"/>
        <v>1</v>
      </c>
      <c r="BK61" s="424">
        <f t="shared" ca="1" si="167"/>
        <v>3</v>
      </c>
      <c r="BL61" s="424">
        <f t="shared" ca="1" si="167"/>
        <v>-2</v>
      </c>
      <c r="BM61" s="424">
        <f t="shared" ca="1" si="179"/>
        <v>9</v>
      </c>
      <c r="BN61" s="424">
        <f t="shared" ca="1" si="180"/>
        <v>9</v>
      </c>
      <c r="BO61" s="630"/>
      <c r="BP61" s="424">
        <f t="shared" ca="1" si="168"/>
        <v>2</v>
      </c>
      <c r="BQ61" s="424">
        <f t="shared" ca="1" si="181"/>
        <v>6</v>
      </c>
      <c r="BR61" s="424" t="str">
        <f t="shared" ca="1" si="182"/>
        <v>Pos. 6 (4)</v>
      </c>
      <c r="BS61" s="424">
        <f t="shared" ca="1" si="169"/>
        <v>-2</v>
      </c>
      <c r="BT61" s="424">
        <f t="shared" ca="1" si="170"/>
        <v>9</v>
      </c>
      <c r="BU61" s="424" t="str">
        <f t="shared" ca="1" si="171"/>
        <v>-</v>
      </c>
      <c r="BV61" s="424" t="str">
        <f t="shared" ca="1" si="172"/>
        <v>-</v>
      </c>
      <c r="BW61" s="424">
        <f t="shared" ca="1" si="173"/>
        <v>9</v>
      </c>
      <c r="BX61" s="424" t="str">
        <f t="shared" ca="1" si="174"/>
        <v>-</v>
      </c>
      <c r="BY61" s="424" t="str">
        <f t="shared" ca="1" si="183"/>
        <v>-</v>
      </c>
      <c r="BZ61" s="424">
        <f t="shared" ca="1" si="184"/>
        <v>9</v>
      </c>
      <c r="CA61" s="424"/>
      <c r="CB61" s="424">
        <f t="shared" ca="1" si="175"/>
        <v>9</v>
      </c>
      <c r="CC61" s="424" t="str">
        <f t="shared" ca="1" si="185"/>
        <v>-</v>
      </c>
      <c r="CD61" s="424">
        <f t="shared" ca="1" si="186"/>
        <v>9</v>
      </c>
      <c r="CE61" s="424"/>
      <c r="CF61" s="424"/>
      <c r="CG61" s="424"/>
      <c r="CH61" s="424"/>
      <c r="CI61" s="424"/>
      <c r="CJ61" s="424"/>
      <c r="CK61" s="424"/>
      <c r="CL61" s="424"/>
      <c r="CM61" s="424"/>
      <c r="CN61" s="424"/>
      <c r="CO61" s="424"/>
      <c r="CP61" s="424"/>
      <c r="CQ61" s="424"/>
      <c r="CR61" s="424"/>
      <c r="CS61" s="424"/>
      <c r="CT61" s="424"/>
      <c r="DH61" s="10">
        <f t="shared" ca="1" si="176"/>
        <v>4</v>
      </c>
      <c r="DJ61" s="10">
        <f t="shared" ca="1" si="187"/>
        <v>1</v>
      </c>
      <c r="DK61" s="19" t="str">
        <f t="shared" ca="1" si="177"/>
        <v>4.1</v>
      </c>
      <c r="DL61" s="10" cm="1">
        <f t="array" aca="1" ref="DL61" ca="1">OFFSET(Horarios!$P$3,DH61-1,0,DJ61,1)</f>
        <v>4</v>
      </c>
      <c r="DN61" s="10">
        <v>4</v>
      </c>
      <c r="DO61" s="10" t="str">
        <f t="shared" ca="1" si="188"/>
        <v>Japón</v>
      </c>
    </row>
    <row r="62" spans="1:119 5612:5612 8867:8867 13370:13370">
      <c r="A62" s="646" t="str">
        <f ca="1">+Equipos!B31</f>
        <v>Cabo Verde</v>
      </c>
      <c r="B62" s="11"/>
      <c r="C62" s="429"/>
      <c r="D62" s="10" t="str">
        <f t="shared" si="189"/>
        <v>Local</v>
      </c>
      <c r="E62" s="10" t="str">
        <f t="shared" ca="1" si="190"/>
        <v>-</v>
      </c>
      <c r="F62" s="10" t="str">
        <f t="shared" ca="1" si="191"/>
        <v>-</v>
      </c>
      <c r="G62" s="10"/>
      <c r="H62" s="10" t="str">
        <f t="shared" ca="1" si="192"/>
        <v>-</v>
      </c>
      <c r="I62" s="10" t="str">
        <f t="shared" ca="1" si="193"/>
        <v>-</v>
      </c>
      <c r="J62" s="10"/>
      <c r="K62" s="10" t="str">
        <f t="shared" ca="1" si="194"/>
        <v>-</v>
      </c>
      <c r="L62" s="10" t="str">
        <f t="shared" ca="1" si="195"/>
        <v>-</v>
      </c>
      <c r="M62" s="10"/>
      <c r="N62" s="10" t="str">
        <f t="shared" ca="1" si="196"/>
        <v>-</v>
      </c>
      <c r="O62" s="10" t="str">
        <f t="shared" ca="1" si="197"/>
        <v>-</v>
      </c>
      <c r="P62" s="10"/>
      <c r="Q62" s="10" t="str">
        <f t="shared" ca="1" si="198"/>
        <v>-</v>
      </c>
      <c r="R62" s="10" t="str">
        <f t="shared" ca="1" si="199"/>
        <v>-</v>
      </c>
      <c r="S62" s="10"/>
      <c r="T62" s="10" t="str">
        <f t="shared" ca="1" si="200"/>
        <v>-</v>
      </c>
      <c r="U62" s="10" t="str">
        <f t="shared" ca="1" si="201"/>
        <v>-</v>
      </c>
      <c r="V62" s="20"/>
      <c r="W62" s="661"/>
      <c r="X62" s="27">
        <f ca="1">Horarios!C62</f>
        <v>46194.75</v>
      </c>
      <c r="Y62" s="28">
        <f ca="1">Horarios!C62</f>
        <v>46194.75</v>
      </c>
      <c r="Z62" s="29" t="str">
        <f>$Z$6</f>
        <v>J2</v>
      </c>
      <c r="AA62" s="30" t="str">
        <f ca="1">A61</f>
        <v>España</v>
      </c>
      <c r="AB62" s="55" t="str">
        <f ca="1">+INDEX(Equipos!$L$2:$L$49,MATCH(WORLDCUP!AA62,Equipos!$K$2:$K$49,0))</f>
        <v>🇪🇸</v>
      </c>
      <c r="AC62" s="56">
        <v>1</v>
      </c>
      <c r="AD62" s="57">
        <v>0</v>
      </c>
      <c r="AE62" s="58" t="str">
        <f ca="1">+INDEX(Equipos!$L$2:$L$49,MATCH(WORLDCUP!AF62,Equipos!$K$2:$K$49,0))</f>
        <v>🇸🇦</v>
      </c>
      <c r="AF62" s="35" t="str">
        <f ca="1">A63</f>
        <v>Arabia Saudita</v>
      </c>
      <c r="AG62" s="335">
        <f t="shared" si="202"/>
        <v>1</v>
      </c>
      <c r="AH62" s="204">
        <v>37</v>
      </c>
      <c r="AI62" s="190" t="str">
        <f>AJ62&amp;$B$60</f>
        <v>1H</v>
      </c>
      <c r="AJ62" s="43">
        <v>1</v>
      </c>
      <c r="AK62" s="37" t="str">
        <f ca="1">+INDEX(Equipos!$L$2:$L$49,MATCH(WORLDCUP!AL62,Equipos!$K$2:$K$49,0))</f>
        <v>🇪🇸</v>
      </c>
      <c r="AL62" s="37" t="str">
        <f ca="1">IFERROR(INDEX($BD$6:$BD$53,MATCH(AI62,$BN$6:$BN$53,0)),"")</f>
        <v>España</v>
      </c>
      <c r="AM62" s="38">
        <f t="shared" ref="AM62:AT65" ca="1" si="205">INDEX($BE$6:$BN$53,MATCH($AL62,$BD$6:$BD$53,0),MATCH(AM$5,$BE$5:$BN$5,0))</f>
        <v>9</v>
      </c>
      <c r="AN62" s="39">
        <f t="shared" ca="1" si="205"/>
        <v>3</v>
      </c>
      <c r="AO62" s="39">
        <f t="shared" ca="1" si="205"/>
        <v>3</v>
      </c>
      <c r="AP62" s="39">
        <f t="shared" ca="1" si="205"/>
        <v>0</v>
      </c>
      <c r="AQ62" s="39">
        <f t="shared" ca="1" si="205"/>
        <v>0</v>
      </c>
      <c r="AR62" s="39">
        <f t="shared" ca="1" si="205"/>
        <v>6</v>
      </c>
      <c r="AS62" s="39">
        <f t="shared" ca="1" si="205"/>
        <v>0</v>
      </c>
      <c r="AT62" s="45">
        <f t="shared" ca="1" si="205"/>
        <v>6</v>
      </c>
      <c r="AU62" s="342">
        <f ca="1">INDEX($DJ$6:$DJ$53,MATCH(AI62,$DN$6:$DN$53,0))</f>
        <v>1</v>
      </c>
      <c r="AV62" s="191" t="str">
        <f ca="1">INDEX($BD$6:$BD$53,MATCH(AI62,$BM$6:$BM$53,0))</f>
        <v>España</v>
      </c>
      <c r="AW62" s="219"/>
      <c r="AX62" s="179"/>
      <c r="AY62" s="210" t="str">
        <f ca="1">+A61</f>
        <v>España</v>
      </c>
      <c r="AZ62" s="211"/>
      <c r="BA62" s="155"/>
      <c r="BB62" s="634" t="str">
        <f t="shared" si="178"/>
        <v>3E</v>
      </c>
      <c r="BC62" s="630" t="s">
        <v>3</v>
      </c>
      <c r="BD62" s="10" t="str">
        <f t="shared" ca="1" si="167"/>
        <v>Curazao</v>
      </c>
      <c r="BE62" s="424">
        <f t="shared" ca="1" si="167"/>
        <v>1</v>
      </c>
      <c r="BF62" s="424">
        <f t="shared" ca="1" si="167"/>
        <v>3</v>
      </c>
      <c r="BG62" s="424">
        <f t="shared" ca="1" si="167"/>
        <v>0</v>
      </c>
      <c r="BH62" s="424">
        <f t="shared" ca="1" si="167"/>
        <v>1</v>
      </c>
      <c r="BI62" s="424">
        <f t="shared" ca="1" si="167"/>
        <v>2</v>
      </c>
      <c r="BJ62" s="424">
        <f t="shared" ca="1" si="167"/>
        <v>0</v>
      </c>
      <c r="BK62" s="424">
        <f t="shared" ca="1" si="167"/>
        <v>5</v>
      </c>
      <c r="BL62" s="424">
        <f t="shared" ca="1" si="167"/>
        <v>-5</v>
      </c>
      <c r="BM62" s="424">
        <f t="shared" ca="1" si="179"/>
        <v>12</v>
      </c>
      <c r="BN62" s="424">
        <f t="shared" ca="1" si="180"/>
        <v>12</v>
      </c>
      <c r="BO62" s="630"/>
      <c r="BP62" s="424">
        <f t="shared" ca="1" si="168"/>
        <v>1</v>
      </c>
      <c r="BQ62" s="424">
        <f t="shared" ca="1" si="181"/>
        <v>10</v>
      </c>
      <c r="BR62" s="424" t="str">
        <f t="shared" ca="1" si="182"/>
        <v>Pos. 10 (3)</v>
      </c>
      <c r="BS62" s="424">
        <f t="shared" ca="1" si="169"/>
        <v>-5</v>
      </c>
      <c r="BT62" s="424">
        <f t="shared" ca="1" si="170"/>
        <v>12</v>
      </c>
      <c r="BU62" s="424" t="str">
        <f t="shared" ca="1" si="171"/>
        <v>-</v>
      </c>
      <c r="BV62" s="424" t="str">
        <f t="shared" ca="1" si="172"/>
        <v>-</v>
      </c>
      <c r="BW62" s="424">
        <f t="shared" ca="1" si="173"/>
        <v>12</v>
      </c>
      <c r="BX62" s="424" t="str">
        <f t="shared" ca="1" si="174"/>
        <v>-</v>
      </c>
      <c r="BY62" s="424" t="str">
        <f t="shared" ca="1" si="183"/>
        <v>-</v>
      </c>
      <c r="BZ62" s="424">
        <f t="shared" ca="1" si="184"/>
        <v>12</v>
      </c>
      <c r="CA62" s="424"/>
      <c r="CB62" s="424">
        <f t="shared" ca="1" si="175"/>
        <v>12</v>
      </c>
      <c r="CC62" s="424" t="str">
        <f t="shared" ca="1" si="185"/>
        <v>-</v>
      </c>
      <c r="CD62" s="424">
        <f t="shared" ca="1" si="186"/>
        <v>12</v>
      </c>
      <c r="CE62" s="424"/>
      <c r="CF62" s="424"/>
      <c r="CG62" s="424"/>
      <c r="CH62" s="424"/>
      <c r="CI62" s="424"/>
      <c r="CJ62" s="424"/>
      <c r="CK62" s="424"/>
      <c r="CL62" s="424"/>
      <c r="CM62" s="424"/>
      <c r="CN62" s="424"/>
      <c r="CO62" s="424"/>
      <c r="CP62" s="424"/>
      <c r="CQ62" s="424"/>
      <c r="CR62" s="424"/>
      <c r="CS62" s="424"/>
      <c r="CT62" s="424"/>
      <c r="DH62" s="10">
        <f t="shared" ca="1" si="176"/>
        <v>5</v>
      </c>
      <c r="DJ62" s="10">
        <f t="shared" ca="1" si="187"/>
        <v>1</v>
      </c>
      <c r="DK62" s="19" t="str">
        <f t="shared" ca="1" si="177"/>
        <v>5.1</v>
      </c>
      <c r="DL62" s="10" cm="1">
        <f t="array" aca="1" ref="DL62" ca="1">OFFSET(Horarios!$P$3,DH62-1,0,DJ62,1)</f>
        <v>5</v>
      </c>
      <c r="DN62" s="10">
        <v>5</v>
      </c>
      <c r="DO62" s="10" t="str">
        <f t="shared" ca="1" si="188"/>
        <v>Catar</v>
      </c>
      <c r="HGV62" s="10" t="s">
        <v>15</v>
      </c>
    </row>
    <row r="63" spans="1:119 5612:5612 8867:8867 13370:13370">
      <c r="A63" s="646" t="str">
        <f ca="1">+Equipos!B32</f>
        <v>Arabia Saudita</v>
      </c>
      <c r="B63" s="11"/>
      <c r="C63" s="10"/>
      <c r="D63" s="10" t="str">
        <f t="shared" si="189"/>
        <v>Local</v>
      </c>
      <c r="E63" s="10" t="str">
        <f t="shared" ca="1" si="190"/>
        <v>-</v>
      </c>
      <c r="F63" s="10" t="str">
        <f t="shared" ca="1" si="191"/>
        <v>-</v>
      </c>
      <c r="G63" s="10"/>
      <c r="H63" s="10" t="str">
        <f t="shared" ca="1" si="192"/>
        <v>-</v>
      </c>
      <c r="I63" s="10" t="str">
        <f t="shared" ca="1" si="193"/>
        <v>-</v>
      </c>
      <c r="J63" s="10"/>
      <c r="K63" s="10" t="str">
        <f t="shared" ca="1" si="194"/>
        <v>-</v>
      </c>
      <c r="L63" s="10" t="str">
        <f t="shared" ca="1" si="195"/>
        <v>-</v>
      </c>
      <c r="M63" s="10"/>
      <c r="N63" s="10" t="str">
        <f t="shared" ca="1" si="196"/>
        <v>-</v>
      </c>
      <c r="O63" s="10" t="str">
        <f t="shared" ca="1" si="197"/>
        <v>-</v>
      </c>
      <c r="P63" s="10"/>
      <c r="Q63" s="10" t="str">
        <f t="shared" ca="1" si="198"/>
        <v>-</v>
      </c>
      <c r="R63" s="10" t="str">
        <f t="shared" ca="1" si="199"/>
        <v>-</v>
      </c>
      <c r="S63" s="10"/>
      <c r="T63" s="10" t="str">
        <f t="shared" ca="1" si="200"/>
        <v>-</v>
      </c>
      <c r="U63" s="10" t="str">
        <f t="shared" ca="1" si="201"/>
        <v>-</v>
      </c>
      <c r="V63" s="20"/>
      <c r="W63" s="661"/>
      <c r="X63" s="27">
        <f ca="1">Horarios!C63</f>
        <v>46195</v>
      </c>
      <c r="Y63" s="28">
        <f ca="1">Horarios!C63</f>
        <v>46195</v>
      </c>
      <c r="Z63" s="29" t="str">
        <f>$Z$6</f>
        <v>J2</v>
      </c>
      <c r="AA63" s="30" t="str">
        <f ca="1">A64</f>
        <v>Uruguay</v>
      </c>
      <c r="AB63" s="55" t="str">
        <f ca="1">+INDEX(Equipos!$L$2:$L$49,MATCH(WORLDCUP!AA63,Equipos!$K$2:$K$49,0))</f>
        <v>🇺🇾</v>
      </c>
      <c r="AC63" s="56">
        <v>1</v>
      </c>
      <c r="AD63" s="57">
        <v>0</v>
      </c>
      <c r="AE63" s="58" t="str">
        <f ca="1">+INDEX(Equipos!$L$2:$L$49,MATCH(WORLDCUP!AF63,Equipos!$K$2:$K$49,0))</f>
        <v>🇨🇻</v>
      </c>
      <c r="AF63" s="35" t="str">
        <f ca="1">A62</f>
        <v>Cabo Verde</v>
      </c>
      <c r="AG63" s="335">
        <f t="shared" si="202"/>
        <v>1</v>
      </c>
      <c r="AH63" s="204">
        <v>38</v>
      </c>
      <c r="AI63" s="190" t="str">
        <f t="shared" ref="AI63:AI65" si="206">AJ63&amp;$B$60</f>
        <v>2H</v>
      </c>
      <c r="AJ63" s="46">
        <v>2</v>
      </c>
      <c r="AK63" s="40" t="str">
        <f ca="1">+INDEX(Equipos!$L$2:$L$49,MATCH(WORLDCUP!AL63,Equipos!$K$2:$K$49,0))</f>
        <v>🇺🇾</v>
      </c>
      <c r="AL63" s="40" t="str">
        <f ca="1">IFERROR(INDEX($BD$6:$BD$53,MATCH(AI63,$BN$6:$BN$53,0)),"")</f>
        <v>Uruguay</v>
      </c>
      <c r="AM63" s="41">
        <f t="shared" ca="1" si="205"/>
        <v>4</v>
      </c>
      <c r="AN63" s="42">
        <f t="shared" ca="1" si="205"/>
        <v>3</v>
      </c>
      <c r="AO63" s="42">
        <f t="shared" ca="1" si="205"/>
        <v>1</v>
      </c>
      <c r="AP63" s="42">
        <f t="shared" ca="1" si="205"/>
        <v>1</v>
      </c>
      <c r="AQ63" s="42">
        <f t="shared" ca="1" si="205"/>
        <v>1</v>
      </c>
      <c r="AR63" s="42">
        <f t="shared" ca="1" si="205"/>
        <v>1</v>
      </c>
      <c r="AS63" s="42">
        <f t="shared" ca="1" si="205"/>
        <v>2</v>
      </c>
      <c r="AT63" s="48">
        <f t="shared" ca="1" si="205"/>
        <v>-1</v>
      </c>
      <c r="AU63" s="342">
        <f ca="1">INDEX($DJ$6:$DJ$53,MATCH(AI63,$DN$6:$DN$53,0))</f>
        <v>1</v>
      </c>
      <c r="AV63" s="191" t="str">
        <f ca="1">INDEX($BD$6:$BD$53,MATCH(AI63,$BM$6:$BM$53,0))</f>
        <v>Uruguay</v>
      </c>
      <c r="AW63" s="219"/>
      <c r="AX63" s="179"/>
      <c r="AY63" s="212" t="str">
        <f ca="1">+A62</f>
        <v>Cabo Verde</v>
      </c>
      <c r="AZ63" s="213"/>
      <c r="BA63" s="155"/>
      <c r="BB63" s="634" t="str">
        <f t="shared" si="178"/>
        <v>3F</v>
      </c>
      <c r="BC63" s="630" t="s">
        <v>4</v>
      </c>
      <c r="BD63" s="10" t="str">
        <f t="shared" ca="1" si="167"/>
        <v>Japón</v>
      </c>
      <c r="BE63" s="424">
        <f t="shared" ca="1" si="167"/>
        <v>3</v>
      </c>
      <c r="BF63" s="424">
        <f t="shared" ca="1" si="167"/>
        <v>3</v>
      </c>
      <c r="BG63" s="424">
        <f t="shared" ca="1" si="167"/>
        <v>1</v>
      </c>
      <c r="BH63" s="424">
        <f t="shared" ca="1" si="167"/>
        <v>0</v>
      </c>
      <c r="BI63" s="424">
        <f t="shared" ca="1" si="167"/>
        <v>2</v>
      </c>
      <c r="BJ63" s="424">
        <f t="shared" ca="1" si="167"/>
        <v>1</v>
      </c>
      <c r="BK63" s="424">
        <f t="shared" ca="1" si="167"/>
        <v>2</v>
      </c>
      <c r="BL63" s="424">
        <f t="shared" ca="1" si="167"/>
        <v>-1</v>
      </c>
      <c r="BM63" s="424">
        <f t="shared" ca="1" si="179"/>
        <v>4</v>
      </c>
      <c r="BN63" s="424">
        <f t="shared" ca="1" si="180"/>
        <v>4</v>
      </c>
      <c r="BO63" s="630"/>
      <c r="BP63" s="424">
        <f t="shared" ca="1" si="168"/>
        <v>3</v>
      </c>
      <c r="BQ63" s="424">
        <f t="shared" ca="1" si="181"/>
        <v>3</v>
      </c>
      <c r="BR63" s="424" t="str">
        <f t="shared" ca="1" si="182"/>
        <v>Pos. 3 (3)</v>
      </c>
      <c r="BS63" s="424">
        <f t="shared" ca="1" si="169"/>
        <v>-1</v>
      </c>
      <c r="BT63" s="424">
        <f t="shared" ca="1" si="170"/>
        <v>4</v>
      </c>
      <c r="BU63" s="424" t="str">
        <f t="shared" ca="1" si="171"/>
        <v>-</v>
      </c>
      <c r="BV63" s="424" t="str">
        <f t="shared" ca="1" si="172"/>
        <v>-</v>
      </c>
      <c r="BW63" s="424">
        <f t="shared" ca="1" si="173"/>
        <v>4</v>
      </c>
      <c r="BX63" s="424" t="str">
        <f t="shared" ca="1" si="174"/>
        <v>-</v>
      </c>
      <c r="BY63" s="424" t="str">
        <f t="shared" ca="1" si="183"/>
        <v>-</v>
      </c>
      <c r="BZ63" s="424">
        <f t="shared" ca="1" si="184"/>
        <v>4</v>
      </c>
      <c r="CA63" s="424"/>
      <c r="CB63" s="424">
        <f t="shared" ca="1" si="175"/>
        <v>4</v>
      </c>
      <c r="CC63" s="424" t="str">
        <f t="shared" ca="1" si="185"/>
        <v>-</v>
      </c>
      <c r="CD63" s="424">
        <f t="shared" ca="1" si="186"/>
        <v>4</v>
      </c>
      <c r="CE63" s="424"/>
      <c r="CF63" s="424"/>
      <c r="CG63" s="424"/>
      <c r="CH63" s="424"/>
      <c r="CI63" s="424"/>
      <c r="CJ63" s="424"/>
      <c r="CK63" s="424"/>
      <c r="CL63" s="424"/>
      <c r="CM63" s="424"/>
      <c r="CN63" s="424"/>
      <c r="CO63" s="424"/>
      <c r="CP63" s="424"/>
      <c r="CQ63" s="424"/>
      <c r="CR63" s="424"/>
      <c r="CS63" s="424"/>
      <c r="CT63" s="424"/>
      <c r="DH63" s="10">
        <f t="shared" ca="1" si="176"/>
        <v>6</v>
      </c>
      <c r="DJ63" s="10">
        <f t="shared" ca="1" si="187"/>
        <v>1</v>
      </c>
      <c r="DK63" s="19" t="str">
        <f t="shared" ca="1" si="177"/>
        <v>6.1</v>
      </c>
      <c r="DL63" s="10" cm="1">
        <f t="array" aca="1" ref="DL63" ca="1">OFFSET(Horarios!$P$3,DH63-1,0,DJ63,1)</f>
        <v>6</v>
      </c>
      <c r="DN63" s="10">
        <v>6</v>
      </c>
      <c r="DO63" s="10" t="str">
        <f t="shared" ca="1" si="188"/>
        <v>PO D: DEN/MKD/CZE/IRL</v>
      </c>
    </row>
    <row r="64" spans="1:119 5612:5612 8867:8867 13370:13370">
      <c r="A64" s="646" t="str">
        <f ca="1">+Equipos!B33</f>
        <v>Uruguay</v>
      </c>
      <c r="B64" s="11"/>
      <c r="C64" s="10"/>
      <c r="D64" s="10" t="str">
        <f t="shared" si="189"/>
        <v>Empate</v>
      </c>
      <c r="E64" s="10" t="str">
        <f t="shared" ca="1" si="190"/>
        <v>-</v>
      </c>
      <c r="F64" s="10" t="str">
        <f t="shared" ca="1" si="191"/>
        <v>-</v>
      </c>
      <c r="G64" s="10"/>
      <c r="H64" s="10" t="str">
        <f t="shared" ca="1" si="192"/>
        <v>-</v>
      </c>
      <c r="I64" s="10" t="str">
        <f t="shared" ca="1" si="193"/>
        <v>-</v>
      </c>
      <c r="J64" s="10"/>
      <c r="K64" s="10" t="str">
        <f t="shared" ca="1" si="194"/>
        <v>-</v>
      </c>
      <c r="L64" s="10" t="str">
        <f t="shared" ca="1" si="195"/>
        <v>-</v>
      </c>
      <c r="M64" s="10"/>
      <c r="N64" s="10" t="str">
        <f t="shared" ca="1" si="196"/>
        <v>-</v>
      </c>
      <c r="O64" s="10" t="str">
        <f t="shared" ca="1" si="197"/>
        <v>-</v>
      </c>
      <c r="P64" s="10"/>
      <c r="Q64" s="10" t="str">
        <f t="shared" ca="1" si="198"/>
        <v>-</v>
      </c>
      <c r="R64" s="10" t="str">
        <f t="shared" ca="1" si="199"/>
        <v>-</v>
      </c>
      <c r="S64" s="10"/>
      <c r="T64" s="10" t="str">
        <f t="shared" ca="1" si="200"/>
        <v>-</v>
      </c>
      <c r="U64" s="10" t="str">
        <f t="shared" ca="1" si="201"/>
        <v>-</v>
      </c>
      <c r="V64" s="20"/>
      <c r="W64" s="661"/>
      <c r="X64" s="27">
        <f ca="1">Horarios!C64</f>
        <v>46200.083333333336</v>
      </c>
      <c r="Y64" s="28">
        <f ca="1">Horarios!C64</f>
        <v>46200.083333333336</v>
      </c>
      <c r="Z64" s="29" t="str">
        <f>$Z$8</f>
        <v>J3</v>
      </c>
      <c r="AA64" s="30" t="str">
        <f ca="1">A62</f>
        <v>Cabo Verde</v>
      </c>
      <c r="AB64" s="55" t="str">
        <f ca="1">+INDEX(Equipos!$L$2:$L$49,MATCH(WORLDCUP!AA64,Equipos!$K$2:$K$49,0))</f>
        <v>🇨🇻</v>
      </c>
      <c r="AC64" s="56">
        <v>0</v>
      </c>
      <c r="AD64" s="57">
        <v>0</v>
      </c>
      <c r="AE64" s="58" t="str">
        <f ca="1">+INDEX(Equipos!$L$2:$L$49,MATCH(WORLDCUP!AF64,Equipos!$K$2:$K$49,0))</f>
        <v>🇸🇦</v>
      </c>
      <c r="AF64" s="35" t="str">
        <f ca="1">A63</f>
        <v>Arabia Saudita</v>
      </c>
      <c r="AG64" s="335">
        <f t="shared" si="202"/>
        <v>1</v>
      </c>
      <c r="AH64" s="204">
        <v>65</v>
      </c>
      <c r="AI64" s="190" t="str">
        <f t="shared" si="206"/>
        <v>3H</v>
      </c>
      <c r="AJ64" s="46">
        <v>3</v>
      </c>
      <c r="AK64" s="40" t="str">
        <f ca="1">+INDEX(Equipos!$L$2:$L$49,MATCH(WORLDCUP!AL64,Equipos!$K$2:$K$49,0))</f>
        <v>🇸🇦</v>
      </c>
      <c r="AL64" s="40" t="str">
        <f ca="1">IFERROR(INDEX($BD$6:$BD$53,MATCH(AI64,$BN$6:$BN$53,0)),"")</f>
        <v>Arabia Saudita</v>
      </c>
      <c r="AM64" s="41">
        <f t="shared" ca="1" si="205"/>
        <v>2</v>
      </c>
      <c r="AN64" s="42">
        <f t="shared" ca="1" si="205"/>
        <v>3</v>
      </c>
      <c r="AO64" s="42">
        <f t="shared" ca="1" si="205"/>
        <v>0</v>
      </c>
      <c r="AP64" s="42">
        <f t="shared" ca="1" si="205"/>
        <v>2</v>
      </c>
      <c r="AQ64" s="42">
        <f t="shared" ca="1" si="205"/>
        <v>1</v>
      </c>
      <c r="AR64" s="42">
        <f t="shared" ca="1" si="205"/>
        <v>0</v>
      </c>
      <c r="AS64" s="42">
        <f t="shared" ca="1" si="205"/>
        <v>1</v>
      </c>
      <c r="AT64" s="48">
        <f t="shared" ca="1" si="205"/>
        <v>-1</v>
      </c>
      <c r="AU64" s="342">
        <f ca="1">INDEX($DJ$6:$DJ$53,MATCH(AI64,$DN$6:$DN$53,0))</f>
        <v>1</v>
      </c>
      <c r="AV64" s="191" t="str">
        <f ca="1">INDEX($BD$6:$BD$53,MATCH(AI64,$BM$6:$BM$53,0))</f>
        <v>Arabia Saudita</v>
      </c>
      <c r="AW64" s="219">
        <v>3</v>
      </c>
      <c r="AX64" s="179"/>
      <c r="AY64" s="210" t="str">
        <f ca="1">+A63</f>
        <v>Arabia Saudita</v>
      </c>
      <c r="AZ64" s="211"/>
      <c r="BA64" s="155"/>
      <c r="BB64" s="634" t="str">
        <f t="shared" si="178"/>
        <v>3G</v>
      </c>
      <c r="BC64" s="630" t="s">
        <v>6</v>
      </c>
      <c r="BD64" s="10" t="str">
        <f t="shared" ca="1" si="167"/>
        <v>Egipto</v>
      </c>
      <c r="BE64" s="424">
        <f t="shared" ca="1" si="167"/>
        <v>2</v>
      </c>
      <c r="BF64" s="424">
        <f t="shared" ca="1" si="167"/>
        <v>3</v>
      </c>
      <c r="BG64" s="424">
        <f t="shared" ca="1" si="167"/>
        <v>0</v>
      </c>
      <c r="BH64" s="424">
        <f t="shared" ca="1" si="167"/>
        <v>2</v>
      </c>
      <c r="BI64" s="424">
        <f t="shared" ca="1" si="167"/>
        <v>1</v>
      </c>
      <c r="BJ64" s="424">
        <f t="shared" ca="1" si="167"/>
        <v>0</v>
      </c>
      <c r="BK64" s="424">
        <f t="shared" ca="1" si="167"/>
        <v>1</v>
      </c>
      <c r="BL64" s="424">
        <f t="shared" ca="1" si="167"/>
        <v>-1</v>
      </c>
      <c r="BM64" s="424">
        <f t="shared" ca="1" si="179"/>
        <v>8</v>
      </c>
      <c r="BN64" s="424">
        <f t="shared" ca="1" si="180"/>
        <v>8</v>
      </c>
      <c r="BO64" s="630"/>
      <c r="BP64" s="424">
        <f t="shared" ca="1" si="168"/>
        <v>2</v>
      </c>
      <c r="BQ64" s="424">
        <f t="shared" ca="1" si="181"/>
        <v>6</v>
      </c>
      <c r="BR64" s="424" t="str">
        <f t="shared" ca="1" si="182"/>
        <v>Pos. 6 (4)</v>
      </c>
      <c r="BS64" s="424">
        <f t="shared" ca="1" si="169"/>
        <v>-1</v>
      </c>
      <c r="BT64" s="424">
        <f t="shared" ca="1" si="170"/>
        <v>6</v>
      </c>
      <c r="BU64" s="424" t="str">
        <f t="shared" ca="1" si="171"/>
        <v>Pos. 6 (3)</v>
      </c>
      <c r="BV64" s="424">
        <f t="shared" ca="1" si="172"/>
        <v>0</v>
      </c>
      <c r="BW64" s="424">
        <f t="shared" ca="1" si="173"/>
        <v>7</v>
      </c>
      <c r="BX64" s="424" t="str">
        <f t="shared" ca="1" si="174"/>
        <v>Pos. 7 (2)</v>
      </c>
      <c r="BY64" s="424">
        <f t="shared" ca="1" si="183"/>
        <v>6</v>
      </c>
      <c r="BZ64" s="424">
        <f t="shared" ca="1" si="184"/>
        <v>8</v>
      </c>
      <c r="CA64" s="424"/>
      <c r="CB64" s="424">
        <f t="shared" ca="1" si="175"/>
        <v>8</v>
      </c>
      <c r="CC64" s="424">
        <f t="shared" ca="1" si="185"/>
        <v>7</v>
      </c>
      <c r="CD64" s="424">
        <f t="shared" ca="1" si="186"/>
        <v>8</v>
      </c>
      <c r="CE64" s="424"/>
      <c r="CF64" s="424"/>
      <c r="CG64" s="424"/>
      <c r="CH64" s="424"/>
      <c r="CI64" s="424"/>
      <c r="CJ64" s="424"/>
      <c r="CK64" s="424"/>
      <c r="CL64" s="424"/>
      <c r="CM64" s="424"/>
      <c r="CN64" s="424"/>
      <c r="CO64" s="424"/>
      <c r="CP64" s="424"/>
      <c r="CQ64" s="424"/>
      <c r="CR64" s="424"/>
      <c r="CS64" s="424"/>
      <c r="CT64" s="424"/>
      <c r="DH64" s="10">
        <f t="shared" ca="1" si="176"/>
        <v>7</v>
      </c>
      <c r="DJ64" s="10">
        <f t="shared" ca="1" si="187"/>
        <v>2</v>
      </c>
      <c r="DK64" s="19" t="str">
        <f t="shared" ca="1" si="177"/>
        <v>7.2</v>
      </c>
      <c r="DL64" s="10" t="e" cm="1" vm="1">
        <f t="array" aca="1" ref="DL64" ca="1">OFFSET(Horarios!$P$3,DH64-1,0,DJ64,1)</f>
        <v>#VALUE!</v>
      </c>
      <c r="DN64" s="10">
        <v>7</v>
      </c>
      <c r="DO64" s="10" t="str">
        <f t="shared" ca="1" si="188"/>
        <v>Arabia Saudita</v>
      </c>
    </row>
    <row r="65" spans="1:119" ht="15" thickBot="1">
      <c r="A65" s="643"/>
      <c r="B65" s="11"/>
      <c r="C65" s="643"/>
      <c r="D65" s="10" t="str">
        <f t="shared" si="189"/>
        <v>Visitante</v>
      </c>
      <c r="E65" s="10" t="str">
        <f t="shared" ca="1" si="190"/>
        <v>-</v>
      </c>
      <c r="F65" s="10" t="str">
        <f t="shared" ca="1" si="191"/>
        <v>-</v>
      </c>
      <c r="G65" s="10"/>
      <c r="H65" s="10" t="str">
        <f t="shared" ca="1" si="192"/>
        <v>-</v>
      </c>
      <c r="I65" s="10" t="str">
        <f t="shared" ca="1" si="193"/>
        <v>-</v>
      </c>
      <c r="J65" s="10"/>
      <c r="K65" s="10" t="str">
        <f t="shared" ca="1" si="194"/>
        <v>-</v>
      </c>
      <c r="L65" s="10" t="str">
        <f t="shared" ca="1" si="195"/>
        <v>-</v>
      </c>
      <c r="M65" s="10"/>
      <c r="N65" s="10" t="str">
        <f t="shared" ca="1" si="196"/>
        <v>-</v>
      </c>
      <c r="O65" s="10" t="str">
        <f t="shared" ca="1" si="197"/>
        <v>-</v>
      </c>
      <c r="P65" s="10"/>
      <c r="Q65" s="10" t="str">
        <f t="shared" ca="1" si="198"/>
        <v>-</v>
      </c>
      <c r="R65" s="10" t="str">
        <f t="shared" ca="1" si="199"/>
        <v>-</v>
      </c>
      <c r="S65" s="10"/>
      <c r="T65" s="10" t="str">
        <f t="shared" ca="1" si="200"/>
        <v>-</v>
      </c>
      <c r="U65" s="10" t="str">
        <f t="shared" ca="1" si="201"/>
        <v>-</v>
      </c>
      <c r="V65" s="20"/>
      <c r="W65" s="662"/>
      <c r="X65" s="31">
        <f ca="1">Horarios!C65</f>
        <v>46200.083333333336</v>
      </c>
      <c r="Y65" s="32">
        <f ca="1">Horarios!C65</f>
        <v>46200.083333333336</v>
      </c>
      <c r="Z65" s="33" t="str">
        <f>$Z$8</f>
        <v>J3</v>
      </c>
      <c r="AA65" s="34" t="str">
        <f ca="1">A64</f>
        <v>Uruguay</v>
      </c>
      <c r="AB65" s="59" t="str">
        <f ca="1">+INDEX(Equipos!$L$2:$L$49,MATCH(WORLDCUP!AA65,Equipos!$K$2:$K$49,0))</f>
        <v>🇺🇾</v>
      </c>
      <c r="AC65" s="60">
        <v>0</v>
      </c>
      <c r="AD65" s="61">
        <v>2</v>
      </c>
      <c r="AE65" s="62" t="str">
        <f ca="1">+INDEX(Equipos!$L$2:$L$49,MATCH(WORLDCUP!AF65,Equipos!$K$2:$K$49,0))</f>
        <v>🇪🇸</v>
      </c>
      <c r="AF65" s="36" t="str">
        <f ca="1">A61</f>
        <v>España</v>
      </c>
      <c r="AG65" s="335">
        <f t="shared" si="202"/>
        <v>1</v>
      </c>
      <c r="AH65" s="204">
        <v>66</v>
      </c>
      <c r="AI65" s="190" t="str">
        <f t="shared" si="206"/>
        <v>4H</v>
      </c>
      <c r="AJ65" s="49">
        <v>4</v>
      </c>
      <c r="AK65" s="51" t="str">
        <f ca="1">+INDEX(Equipos!$L$2:$L$49,MATCH(WORLDCUP!AL65,Equipos!$K$2:$K$49,0))</f>
        <v>🇨🇻</v>
      </c>
      <c r="AL65" s="51" t="str">
        <f ca="1">IFERROR(INDEX($BD$6:$BD$53,MATCH(AI65,$BN$6:$BN$53,0)),"")</f>
        <v>Cabo Verde</v>
      </c>
      <c r="AM65" s="52">
        <f t="shared" ca="1" si="205"/>
        <v>1</v>
      </c>
      <c r="AN65" s="53">
        <f t="shared" ca="1" si="205"/>
        <v>3</v>
      </c>
      <c r="AO65" s="53">
        <f t="shared" ca="1" si="205"/>
        <v>0</v>
      </c>
      <c r="AP65" s="53">
        <f t="shared" ca="1" si="205"/>
        <v>1</v>
      </c>
      <c r="AQ65" s="53">
        <f t="shared" ca="1" si="205"/>
        <v>2</v>
      </c>
      <c r="AR65" s="53">
        <f t="shared" ca="1" si="205"/>
        <v>0</v>
      </c>
      <c r="AS65" s="53">
        <f t="shared" ca="1" si="205"/>
        <v>4</v>
      </c>
      <c r="AT65" s="54">
        <f t="shared" ca="1" si="205"/>
        <v>-4</v>
      </c>
      <c r="AU65" s="342">
        <f ca="1">INDEX($DJ$6:$DJ$53,MATCH(AI65,$DN$6:$DN$53,0))</f>
        <v>1</v>
      </c>
      <c r="AV65" s="191" t="str">
        <f ca="1">INDEX($BD$6:$BD$53,MATCH(AI65,$BM$6:$BM$53,0))</f>
        <v>Cabo Verde</v>
      </c>
      <c r="AW65" s="219">
        <v>4</v>
      </c>
      <c r="AX65" s="179"/>
      <c r="AY65" s="214" t="str">
        <f ca="1">+A64</f>
        <v>Uruguay</v>
      </c>
      <c r="AZ65" s="215"/>
      <c r="BA65" s="155"/>
      <c r="BB65" s="634" t="str">
        <f t="shared" si="178"/>
        <v>3H</v>
      </c>
      <c r="BC65" s="630" t="s">
        <v>454</v>
      </c>
      <c r="BD65" s="10" t="str">
        <f t="shared" ca="1" si="167"/>
        <v>Arabia Saudita</v>
      </c>
      <c r="BE65" s="424">
        <f t="shared" ca="1" si="167"/>
        <v>2</v>
      </c>
      <c r="BF65" s="424">
        <f t="shared" ca="1" si="167"/>
        <v>3</v>
      </c>
      <c r="BG65" s="424">
        <f t="shared" ca="1" si="167"/>
        <v>0</v>
      </c>
      <c r="BH65" s="424">
        <f t="shared" ca="1" si="167"/>
        <v>2</v>
      </c>
      <c r="BI65" s="424">
        <f t="shared" ca="1" si="167"/>
        <v>1</v>
      </c>
      <c r="BJ65" s="424">
        <f t="shared" ca="1" si="167"/>
        <v>0</v>
      </c>
      <c r="BK65" s="424">
        <f t="shared" ca="1" si="167"/>
        <v>1</v>
      </c>
      <c r="BL65" s="424">
        <f t="shared" ca="1" si="167"/>
        <v>-1</v>
      </c>
      <c r="BM65" s="424">
        <f t="shared" ca="1" si="179"/>
        <v>7</v>
      </c>
      <c r="BN65" s="424">
        <f t="shared" ca="1" si="180"/>
        <v>7</v>
      </c>
      <c r="BO65" s="630"/>
      <c r="BP65" s="424">
        <f t="shared" ca="1" si="168"/>
        <v>2</v>
      </c>
      <c r="BQ65" s="424">
        <f t="shared" ca="1" si="181"/>
        <v>6</v>
      </c>
      <c r="BR65" s="424" t="str">
        <f t="shared" ca="1" si="182"/>
        <v>Pos. 6 (4)</v>
      </c>
      <c r="BS65" s="424">
        <f t="shared" ca="1" si="169"/>
        <v>-1</v>
      </c>
      <c r="BT65" s="424">
        <f t="shared" ca="1" si="170"/>
        <v>6</v>
      </c>
      <c r="BU65" s="424" t="str">
        <f t="shared" ca="1" si="171"/>
        <v>Pos. 6 (3)</v>
      </c>
      <c r="BV65" s="424">
        <f t="shared" ca="1" si="172"/>
        <v>0</v>
      </c>
      <c r="BW65" s="424">
        <f t="shared" ca="1" si="173"/>
        <v>7</v>
      </c>
      <c r="BX65" s="424" t="str">
        <f t="shared" ca="1" si="174"/>
        <v>Pos. 7 (2)</v>
      </c>
      <c r="BY65" s="424">
        <f t="shared" ca="1" si="183"/>
        <v>11</v>
      </c>
      <c r="BZ65" s="424">
        <f t="shared" ca="1" si="184"/>
        <v>7</v>
      </c>
      <c r="CA65" s="424"/>
      <c r="CB65" s="424">
        <f t="shared" ca="1" si="175"/>
        <v>7</v>
      </c>
      <c r="CC65" s="424">
        <f t="shared" ca="1" si="185"/>
        <v>6</v>
      </c>
      <c r="CD65" s="424">
        <f t="shared" ca="1" si="186"/>
        <v>7</v>
      </c>
      <c r="CE65" s="424"/>
      <c r="CF65" s="424"/>
      <c r="CG65" s="424"/>
      <c r="CH65" s="424"/>
      <c r="CI65" s="424"/>
      <c r="CJ65" s="424"/>
      <c r="CK65" s="424"/>
      <c r="CL65" s="424"/>
      <c r="CM65" s="424"/>
      <c r="CN65" s="424"/>
      <c r="CO65" s="424"/>
      <c r="CP65" s="424"/>
      <c r="CQ65" s="424"/>
      <c r="CR65" s="424"/>
      <c r="CS65" s="424"/>
      <c r="CT65" s="424"/>
      <c r="DH65" s="10">
        <f t="shared" ca="1" si="176"/>
        <v>7</v>
      </c>
      <c r="DJ65" s="10">
        <f t="shared" ca="1" si="187"/>
        <v>2</v>
      </c>
      <c r="DK65" s="19" t="str">
        <f t="shared" ca="1" si="177"/>
        <v>7.2</v>
      </c>
      <c r="DL65" s="10" t="e" cm="1" vm="1">
        <f t="array" aca="1" ref="DL65" ca="1">OFFSET(Horarios!$P$3,DH65-1,0,DJ65,1)</f>
        <v>#VALUE!</v>
      </c>
      <c r="DN65" s="10">
        <v>8</v>
      </c>
      <c r="DO65" s="10" t="str">
        <f t="shared" ca="1" si="188"/>
        <v>Egipto</v>
      </c>
    </row>
    <row r="66" spans="1:119" ht="15" thickBot="1">
      <c r="A66" s="643"/>
      <c r="B66" s="11"/>
      <c r="C66" s="643"/>
      <c r="D66" s="10"/>
      <c r="E66" s="10"/>
      <c r="F66" s="10"/>
      <c r="G66" s="10"/>
      <c r="H66" s="10"/>
      <c r="I66" s="10"/>
      <c r="J66" s="10"/>
      <c r="K66" s="10"/>
      <c r="L66" s="10"/>
      <c r="M66" s="10"/>
      <c r="N66" s="10"/>
      <c r="O66" s="10"/>
      <c r="P66" s="10"/>
      <c r="Q66" s="10"/>
      <c r="R66" s="10"/>
      <c r="S66" s="10"/>
      <c r="T66" s="10"/>
      <c r="U66" s="10"/>
      <c r="V66" s="20"/>
      <c r="W66" s="162"/>
      <c r="X66" s="163"/>
      <c r="Y66" s="162"/>
      <c r="Z66" s="164"/>
      <c r="AA66" s="165"/>
      <c r="AB66" s="166"/>
      <c r="AC66" s="159"/>
      <c r="AD66" s="159"/>
      <c r="AE66" s="166"/>
      <c r="AF66" s="167"/>
      <c r="AG66" s="337"/>
      <c r="AH66" s="204"/>
      <c r="AI66" s="189"/>
      <c r="AJ66" s="168"/>
      <c r="AK66" s="169"/>
      <c r="AL66" s="170"/>
      <c r="AM66" s="171"/>
      <c r="AN66" s="168"/>
      <c r="AO66" s="168"/>
      <c r="AP66" s="168"/>
      <c r="AQ66" s="168"/>
      <c r="AR66" s="168"/>
      <c r="AS66" s="168"/>
      <c r="AT66" s="168"/>
      <c r="AU66" s="342"/>
      <c r="AV66" s="198"/>
      <c r="AW66" s="220"/>
      <c r="AX66" s="179"/>
      <c r="AY66" s="162"/>
      <c r="AZ66" s="163"/>
      <c r="BA66" s="155"/>
      <c r="BB66" s="634" t="str">
        <f t="shared" si="178"/>
        <v>3I</v>
      </c>
      <c r="BC66" s="630" t="s">
        <v>455</v>
      </c>
      <c r="BD66" s="10" t="str">
        <f t="shared" ca="1" si="167"/>
        <v>Noruega</v>
      </c>
      <c r="BE66" s="424">
        <f t="shared" ca="1" si="167"/>
        <v>4</v>
      </c>
      <c r="BF66" s="424">
        <f t="shared" ca="1" si="167"/>
        <v>3</v>
      </c>
      <c r="BG66" s="424">
        <f t="shared" ca="1" si="167"/>
        <v>1</v>
      </c>
      <c r="BH66" s="424">
        <f t="shared" ca="1" si="167"/>
        <v>1</v>
      </c>
      <c r="BI66" s="424">
        <f t="shared" ca="1" si="167"/>
        <v>1</v>
      </c>
      <c r="BJ66" s="424">
        <f t="shared" ca="1" si="167"/>
        <v>1</v>
      </c>
      <c r="BK66" s="424">
        <f t="shared" ca="1" si="167"/>
        <v>1</v>
      </c>
      <c r="BL66" s="424">
        <f t="shared" ca="1" si="167"/>
        <v>0</v>
      </c>
      <c r="BM66" s="424">
        <f t="shared" ca="1" si="179"/>
        <v>2</v>
      </c>
      <c r="BN66" s="424">
        <f t="shared" ca="1" si="180"/>
        <v>2</v>
      </c>
      <c r="BO66" s="630"/>
      <c r="BP66" s="424">
        <f t="shared" ca="1" si="168"/>
        <v>4</v>
      </c>
      <c r="BQ66" s="424">
        <f t="shared" ca="1" si="181"/>
        <v>1</v>
      </c>
      <c r="BR66" s="424" t="str">
        <f t="shared" ca="1" si="182"/>
        <v>Pos. 1 (2)</v>
      </c>
      <c r="BS66" s="424">
        <f t="shared" ca="1" si="169"/>
        <v>0</v>
      </c>
      <c r="BT66" s="424">
        <f t="shared" ca="1" si="170"/>
        <v>1</v>
      </c>
      <c r="BU66" s="424" t="str">
        <f t="shared" ca="1" si="171"/>
        <v>Pos. 1 (2)</v>
      </c>
      <c r="BV66" s="424">
        <f t="shared" ca="1" si="172"/>
        <v>1</v>
      </c>
      <c r="BW66" s="424">
        <f t="shared" ca="1" si="173"/>
        <v>2</v>
      </c>
      <c r="BX66" s="424" t="str">
        <f t="shared" ca="1" si="174"/>
        <v>-</v>
      </c>
      <c r="BY66" s="424" t="str">
        <f t="shared" ca="1" si="183"/>
        <v>-</v>
      </c>
      <c r="BZ66" s="424">
        <f t="shared" ca="1" si="184"/>
        <v>2</v>
      </c>
      <c r="CA66" s="424"/>
      <c r="CB66" s="424">
        <f t="shared" ca="1" si="175"/>
        <v>2</v>
      </c>
      <c r="CC66" s="424" t="str">
        <f t="shared" ca="1" si="185"/>
        <v>-</v>
      </c>
      <c r="CD66" s="424">
        <f t="shared" ca="1" si="186"/>
        <v>2</v>
      </c>
      <c r="CE66" s="424"/>
      <c r="CF66" s="424"/>
      <c r="CG66" s="424"/>
      <c r="CH66" s="424"/>
      <c r="CI66" s="424"/>
      <c r="CJ66" s="424"/>
      <c r="CK66" s="424"/>
      <c r="CL66" s="424"/>
      <c r="CM66" s="424"/>
      <c r="CN66" s="424"/>
      <c r="CO66" s="424"/>
      <c r="CP66" s="424"/>
      <c r="CQ66" s="424"/>
      <c r="CR66" s="424"/>
      <c r="CS66" s="424"/>
      <c r="CT66" s="424"/>
      <c r="DH66" s="10">
        <f t="shared" ca="1" si="176"/>
        <v>9</v>
      </c>
      <c r="DJ66" s="10">
        <f t="shared" ca="1" si="187"/>
        <v>1</v>
      </c>
      <c r="DK66" s="19" t="str">
        <f t="shared" ca="1" si="177"/>
        <v>9.1</v>
      </c>
      <c r="DL66" s="10" cm="1">
        <f t="array" aca="1" ref="DL66" ca="1">OFFSET(Horarios!$P$3,DH66-1,0,DJ66,1)</f>
        <v>9</v>
      </c>
      <c r="DN66" s="10">
        <v>9</v>
      </c>
      <c r="DO66" s="10" t="str">
        <f t="shared" ca="1" si="188"/>
        <v>Australia</v>
      </c>
    </row>
    <row r="67" spans="1:119" ht="15" thickBot="1">
      <c r="A67" s="643"/>
      <c r="B67" s="11"/>
      <c r="C67" s="643"/>
      <c r="D67" s="643"/>
      <c r="E67" s="643"/>
      <c r="F67" s="643"/>
      <c r="G67" s="643"/>
      <c r="H67" s="643"/>
      <c r="I67" s="643"/>
      <c r="J67" s="643"/>
      <c r="K67" s="643"/>
      <c r="L67" s="643"/>
      <c r="M67" s="643"/>
      <c r="N67" s="10"/>
      <c r="O67" s="10"/>
      <c r="P67" s="10"/>
      <c r="Q67" s="10"/>
      <c r="R67" s="10"/>
      <c r="S67" s="10"/>
      <c r="T67" s="10"/>
      <c r="U67" s="10"/>
      <c r="V67" s="20"/>
      <c r="W67" s="9"/>
      <c r="X67" s="77" t="str">
        <f>X3</f>
        <v>Fecha</v>
      </c>
      <c r="Y67" s="77" t="str">
        <f>Y3</f>
        <v>Hora</v>
      </c>
      <c r="Z67" s="63" t="str">
        <f>Z3</f>
        <v>Jor.</v>
      </c>
      <c r="AA67" s="65" t="str">
        <f>AA3</f>
        <v>Casa</v>
      </c>
      <c r="AB67" s="64"/>
      <c r="AC67" s="63" t="str">
        <f>AC3</f>
        <v>Gol</v>
      </c>
      <c r="AD67" s="63" t="str">
        <f>AD3</f>
        <v>Gol</v>
      </c>
      <c r="AE67" s="64"/>
      <c r="AF67" s="66" t="str">
        <f>AF3</f>
        <v>Fuera</v>
      </c>
      <c r="AG67" s="336"/>
      <c r="AH67" s="204"/>
      <c r="AI67" s="188"/>
      <c r="AJ67" s="170"/>
      <c r="AK67" s="172"/>
      <c r="AL67" s="170"/>
      <c r="AM67" s="170"/>
      <c r="AN67" s="170"/>
      <c r="AO67" s="170"/>
      <c r="AP67" s="170"/>
      <c r="AQ67" s="170"/>
      <c r="AR67" s="170"/>
      <c r="AS67" s="170"/>
      <c r="AT67" s="170"/>
      <c r="AU67" s="343"/>
      <c r="AV67" s="197"/>
      <c r="AW67" s="221"/>
      <c r="AX67" s="180"/>
      <c r="AY67" s="162"/>
      <c r="AZ67" s="163"/>
      <c r="BA67" s="155"/>
      <c r="BB67" s="634" t="str">
        <f t="shared" si="178"/>
        <v>3J</v>
      </c>
      <c r="BC67" s="630" t="s">
        <v>5</v>
      </c>
      <c r="BD67" s="10" t="str">
        <f t="shared" ca="1" si="167"/>
        <v>Argelia</v>
      </c>
      <c r="BE67" s="424">
        <f t="shared" ca="1" si="167"/>
        <v>1</v>
      </c>
      <c r="BF67" s="424">
        <f t="shared" ca="1" si="167"/>
        <v>3</v>
      </c>
      <c r="BG67" s="424">
        <f t="shared" ca="1" si="167"/>
        <v>0</v>
      </c>
      <c r="BH67" s="424">
        <f t="shared" ca="1" si="167"/>
        <v>1</v>
      </c>
      <c r="BI67" s="424">
        <f t="shared" ca="1" si="167"/>
        <v>2</v>
      </c>
      <c r="BJ67" s="424">
        <f t="shared" ca="1" si="167"/>
        <v>1</v>
      </c>
      <c r="BK67" s="424">
        <f t="shared" ca="1" si="167"/>
        <v>3</v>
      </c>
      <c r="BL67" s="424">
        <f t="shared" ca="1" si="167"/>
        <v>-2</v>
      </c>
      <c r="BM67" s="424">
        <f t="shared" ca="1" si="179"/>
        <v>10</v>
      </c>
      <c r="BN67" s="424">
        <f t="shared" ca="1" si="180"/>
        <v>10</v>
      </c>
      <c r="BO67" s="630"/>
      <c r="BP67" s="424">
        <f t="shared" ca="1" si="168"/>
        <v>1</v>
      </c>
      <c r="BQ67" s="424">
        <f t="shared" ca="1" si="181"/>
        <v>10</v>
      </c>
      <c r="BR67" s="424" t="str">
        <f t="shared" ca="1" si="182"/>
        <v>Pos. 10 (3)</v>
      </c>
      <c r="BS67" s="424">
        <f t="shared" ca="1" si="169"/>
        <v>-2</v>
      </c>
      <c r="BT67" s="424">
        <f t="shared" ca="1" si="170"/>
        <v>10</v>
      </c>
      <c r="BU67" s="424" t="str">
        <f t="shared" ca="1" si="171"/>
        <v>Pos. 10 (2)</v>
      </c>
      <c r="BV67" s="424">
        <f t="shared" ca="1" si="172"/>
        <v>1</v>
      </c>
      <c r="BW67" s="424">
        <f t="shared" ca="1" si="173"/>
        <v>10</v>
      </c>
      <c r="BX67" s="424" t="str">
        <f t="shared" ca="1" si="174"/>
        <v>-</v>
      </c>
      <c r="BY67" s="424" t="str">
        <f t="shared" ca="1" si="183"/>
        <v>-</v>
      </c>
      <c r="BZ67" s="424">
        <f t="shared" ca="1" si="184"/>
        <v>10</v>
      </c>
      <c r="CA67" s="424"/>
      <c r="CB67" s="424">
        <f t="shared" ca="1" si="175"/>
        <v>10</v>
      </c>
      <c r="CC67" s="424" t="str">
        <f t="shared" ca="1" si="185"/>
        <v>-</v>
      </c>
      <c r="CD67" s="424">
        <f t="shared" ca="1" si="186"/>
        <v>10</v>
      </c>
      <c r="CE67" s="424"/>
      <c r="CF67" s="424"/>
      <c r="CG67" s="424"/>
      <c r="CH67" s="424"/>
      <c r="CI67" s="424"/>
      <c r="CJ67" s="424"/>
      <c r="CK67" s="424"/>
      <c r="CL67" s="424"/>
      <c r="CM67" s="424"/>
      <c r="CN67" s="424"/>
      <c r="CO67" s="424"/>
      <c r="CP67" s="424"/>
      <c r="CQ67" s="424"/>
      <c r="CR67" s="424"/>
      <c r="CS67" s="424"/>
      <c r="CT67" s="424"/>
      <c r="DH67" s="10">
        <f t="shared" ca="1" si="176"/>
        <v>10</v>
      </c>
      <c r="DJ67" s="10">
        <f t="shared" ca="1" si="187"/>
        <v>1</v>
      </c>
      <c r="DK67" s="19" t="str">
        <f t="shared" ca="1" si="177"/>
        <v>10.1</v>
      </c>
      <c r="DL67" s="10" cm="1">
        <f t="array" aca="1" ref="DL67" ca="1">OFFSET(Horarios!$P$3,DH67-1,0,DJ67,1)</f>
        <v>10</v>
      </c>
      <c r="DN67" s="10">
        <v>10</v>
      </c>
      <c r="DO67" s="10" t="str">
        <f t="shared" ca="1" si="188"/>
        <v>Argelia</v>
      </c>
    </row>
    <row r="68" spans="1:119" ht="15" customHeight="1" thickBot="1">
      <c r="A68" s="645" t="s">
        <v>32</v>
      </c>
      <c r="B68" s="11" t="s">
        <v>455</v>
      </c>
      <c r="C68" s="441">
        <f>COUNTIF(Equipos!$C$2:$C$49,WORLDCUP!B68)</f>
        <v>4</v>
      </c>
      <c r="D68" s="10" t="str">
        <f t="shared" ref="D68:D73" si="207">IF(OR(AC68="",AD68=""),"Pendiente",IF(AC68&gt;AD68,"Local",IF(AC68&lt;AD68,"Visitante","Empate")))</f>
        <v>Local</v>
      </c>
      <c r="E68" s="10" t="str">
        <f t="shared" ref="E68:E73" ca="1" si="208">IF(D68="Pendiente","-",INDEX($BR$6:$BR$53,MATCH($AA68,$BD$6:$BD$53,0)))</f>
        <v>P.1 (2)</v>
      </c>
      <c r="F68" s="10" t="str">
        <f t="shared" ref="F68:F73" ca="1" si="209">IF(D68="Pendiente","-",INDEX($BR$6:$BR$53,MATCH($AF68,$BD$6:$BD$53,0)))</f>
        <v>P.1 (2)</v>
      </c>
      <c r="G68" s="10"/>
      <c r="H68" s="10" t="str">
        <f t="shared" ref="H68:H73" ca="1" si="210">IF(D68="Pendiente","-",INDEX($BX$6:$BX$53,MATCH($AA68,$BD$6:$BD$53,0)))</f>
        <v>-</v>
      </c>
      <c r="I68" s="10" t="str">
        <f t="shared" ref="I68:I73" ca="1" si="211">IF(D68="Pendiente","-",INDEX($BX$6:$BX$53,MATCH($AF68,$BD$6:$BD$53,0)))</f>
        <v>-</v>
      </c>
      <c r="J68" s="10"/>
      <c r="K68" s="10" t="str">
        <f t="shared" ref="K68:K73" ca="1" si="212">IF(D68="Pendiente","-",INDEX($CC$6:$CC$53,MATCH($AA68,$BD$6:$BD$53,0)))</f>
        <v>-</v>
      </c>
      <c r="L68" s="10" t="str">
        <f t="shared" ref="L68:L73" ca="1" si="213">IF(D68="Pendiente","-",INDEX($CC$6:$CC$53,MATCH($AF68,$BD$6:$BD$53,0)))</f>
        <v>-</v>
      </c>
      <c r="M68" s="10"/>
      <c r="N68" s="10" t="str">
        <f t="shared" ref="N68:N73" ca="1" si="214">IF(D68="Pendiente","-",INDEX($CF$6:$CF$53,MATCH($AA68,$BD$6:$BD$53,0)))</f>
        <v>-</v>
      </c>
      <c r="O68" s="10" t="str">
        <f t="shared" ref="O68:O73" ca="1" si="215">IF(D68="Pendiente","-",INDEX($CF$6:$CF$53,MATCH($AF68,$BD$6:$BD$53,0)))</f>
        <v>-</v>
      </c>
      <c r="P68" s="10"/>
      <c r="Q68" s="10" t="str">
        <f t="shared" ref="Q68:Q73" ca="1" si="216">IF(D68="Pendiente","-",INDEX($CL$6:$CL$53,MATCH($AA68,$BD$6:$BD$53,0)))</f>
        <v>-</v>
      </c>
      <c r="R68" s="10" t="str">
        <f t="shared" ref="R68:R73" ca="1" si="217">IF(D68="Pendiente","-",INDEX($CL$6:$CL$53,MATCH($AF68,$BD$6:$BD$53,0)))</f>
        <v>-</v>
      </c>
      <c r="S68" s="10"/>
      <c r="T68" s="10" t="str">
        <f t="shared" ref="T68:T73" ca="1" si="218">IF(D68="Pendiente","-",INDEX($CQ$6:$CQ$53,MATCH($AA68,$BD$6:$BD$53,0)))</f>
        <v>-</v>
      </c>
      <c r="U68" s="10" t="str">
        <f t="shared" ref="U68:U73" ca="1" si="219">IF(D68="Pendiente","-",INDEX($CQ$6:$CQ$53,MATCH($AF68,$BD$6:$BD$53,0)))</f>
        <v>-</v>
      </c>
      <c r="V68" s="20"/>
      <c r="W68" s="667" t="s">
        <v>455</v>
      </c>
      <c r="X68" s="27">
        <f ca="1">Horarios!C68</f>
        <v>46189.875</v>
      </c>
      <c r="Y68" s="28">
        <f ca="1">Horarios!C68</f>
        <v>46189.875</v>
      </c>
      <c r="Z68" s="29" t="str">
        <f>$Z$4</f>
        <v>J1</v>
      </c>
      <c r="AA68" s="30" t="str">
        <f ca="1">A69</f>
        <v>Francia</v>
      </c>
      <c r="AB68" s="55" t="str">
        <f ca="1">+INDEX(Equipos!$L$2:$L$49,MATCH(WORLDCUP!AA68,Equipos!$K$2:$K$49,0))</f>
        <v>🇫🇷</v>
      </c>
      <c r="AC68" s="56">
        <v>2</v>
      </c>
      <c r="AD68" s="57">
        <v>0</v>
      </c>
      <c r="AE68" s="58" t="str">
        <f ca="1">+INDEX(Equipos!$L$2:$L$49,MATCH(WORLDCUP!AF68,Equipos!$K$2:$K$49,0))</f>
        <v>🇸🇳</v>
      </c>
      <c r="AF68" s="35" t="str">
        <f ca="1">A70</f>
        <v>Senegal</v>
      </c>
      <c r="AG68" s="335">
        <f t="shared" ref="AG68:AG73" si="220">IF(NOT(OR(ISBLANK(AC68),ISBLANK(AD68))),1,0)</f>
        <v>1</v>
      </c>
      <c r="AH68" s="204">
        <v>17</v>
      </c>
      <c r="AI68" s="190"/>
      <c r="AJ68" s="67" t="str">
        <f>CONCATENATE(AJ3," ",B68)</f>
        <v>Grupo I</v>
      </c>
      <c r="AK68" s="68"/>
      <c r="AL68" s="68"/>
      <c r="AM68" s="68"/>
      <c r="AN68" s="68"/>
      <c r="AO68" s="68"/>
      <c r="AP68" s="68"/>
      <c r="AQ68" s="68"/>
      <c r="AR68" s="68"/>
      <c r="AS68" s="68"/>
      <c r="AT68" s="69"/>
      <c r="AU68" s="343"/>
      <c r="AV68" s="295" t="str">
        <f ca="1">IF(AU69&gt;0,$AV$3,"")</f>
        <v/>
      </c>
      <c r="AW68" s="175"/>
      <c r="AX68" s="175"/>
      <c r="AY68" s="162"/>
      <c r="AZ68" s="163"/>
      <c r="BA68" s="155"/>
      <c r="BB68" s="634" t="str">
        <f t="shared" si="178"/>
        <v>3K</v>
      </c>
      <c r="BC68" s="630" t="s">
        <v>456</v>
      </c>
      <c r="BD68" s="10" t="str">
        <f t="shared" ca="1" si="167"/>
        <v>PO 1: COD/JAM/NCL</v>
      </c>
      <c r="BE68" s="424">
        <f t="shared" ca="1" si="167"/>
        <v>1</v>
      </c>
      <c r="BF68" s="424">
        <f t="shared" ca="1" si="167"/>
        <v>3</v>
      </c>
      <c r="BG68" s="424">
        <f t="shared" ca="1" si="167"/>
        <v>0</v>
      </c>
      <c r="BH68" s="424">
        <f t="shared" ca="1" si="167"/>
        <v>1</v>
      </c>
      <c r="BI68" s="424">
        <f t="shared" ca="1" si="167"/>
        <v>2</v>
      </c>
      <c r="BJ68" s="424">
        <f t="shared" ca="1" si="167"/>
        <v>0</v>
      </c>
      <c r="BK68" s="424">
        <f t="shared" ca="1" si="167"/>
        <v>2</v>
      </c>
      <c r="BL68" s="424">
        <f t="shared" ca="1" si="167"/>
        <v>-2</v>
      </c>
      <c r="BM68" s="424">
        <f t="shared" ca="1" si="179"/>
        <v>11</v>
      </c>
      <c r="BN68" s="424">
        <f t="shared" ca="1" si="180"/>
        <v>11</v>
      </c>
      <c r="BO68" s="630"/>
      <c r="BP68" s="424">
        <f t="shared" ca="1" si="168"/>
        <v>1</v>
      </c>
      <c r="BQ68" s="424">
        <f t="shared" ca="1" si="181"/>
        <v>10</v>
      </c>
      <c r="BR68" s="424" t="str">
        <f t="shared" ca="1" si="182"/>
        <v>Pos. 10 (3)</v>
      </c>
      <c r="BS68" s="424">
        <f t="shared" ca="1" si="169"/>
        <v>-2</v>
      </c>
      <c r="BT68" s="424">
        <f t="shared" ca="1" si="170"/>
        <v>10</v>
      </c>
      <c r="BU68" s="424" t="str">
        <f t="shared" ca="1" si="171"/>
        <v>Pos. 10 (2)</v>
      </c>
      <c r="BV68" s="424">
        <f t="shared" ca="1" si="172"/>
        <v>0</v>
      </c>
      <c r="BW68" s="424">
        <f t="shared" ca="1" si="173"/>
        <v>11</v>
      </c>
      <c r="BX68" s="424" t="str">
        <f t="shared" ca="1" si="174"/>
        <v>-</v>
      </c>
      <c r="BY68" s="424" t="str">
        <f t="shared" ca="1" si="183"/>
        <v>-</v>
      </c>
      <c r="BZ68" s="424">
        <f t="shared" ca="1" si="184"/>
        <v>11</v>
      </c>
      <c r="CA68" s="424"/>
      <c r="CB68" s="424">
        <f t="shared" ca="1" si="175"/>
        <v>11</v>
      </c>
      <c r="CC68" s="424" t="str">
        <f t="shared" ca="1" si="185"/>
        <v>-</v>
      </c>
      <c r="CD68" s="424">
        <f t="shared" ca="1" si="186"/>
        <v>11</v>
      </c>
      <c r="CE68" s="424"/>
      <c r="CF68" s="424"/>
      <c r="CG68" s="424"/>
      <c r="CH68" s="424"/>
      <c r="CI68" s="424"/>
      <c r="CJ68" s="424"/>
      <c r="CK68" s="424"/>
      <c r="CL68" s="424"/>
      <c r="CM68" s="424"/>
      <c r="CN68" s="424"/>
      <c r="CO68" s="424"/>
      <c r="CP68" s="424"/>
      <c r="CQ68" s="424"/>
      <c r="CR68" s="424"/>
      <c r="CS68" s="424"/>
      <c r="CT68" s="424"/>
      <c r="DH68" s="10">
        <f t="shared" ca="1" si="176"/>
        <v>11</v>
      </c>
      <c r="DJ68" s="10">
        <f t="shared" ca="1" si="187"/>
        <v>1</v>
      </c>
      <c r="DK68" s="19" t="str">
        <f t="shared" ca="1" si="177"/>
        <v>11.1</v>
      </c>
      <c r="DL68" s="10" cm="1">
        <f t="array" aca="1" ref="DL68" ca="1">OFFSET(Horarios!$P$3,DH68-1,0,DJ68,1)</f>
        <v>11</v>
      </c>
      <c r="DN68" s="10">
        <v>11</v>
      </c>
      <c r="DO68" s="10" t="str">
        <f t="shared" ca="1" si="188"/>
        <v>PO 1: COD/JAM/NCL</v>
      </c>
    </row>
    <row r="69" spans="1:119" ht="16.05" customHeight="1">
      <c r="A69" s="646" t="str">
        <f ca="1">+Equipos!B34</f>
        <v>Francia</v>
      </c>
      <c r="B69" s="11"/>
      <c r="C69" s="11"/>
      <c r="D69" s="10" t="str">
        <f t="shared" si="207"/>
        <v>Empate</v>
      </c>
      <c r="E69" s="10" t="str">
        <f t="shared" ca="1" si="208"/>
        <v>-</v>
      </c>
      <c r="F69" s="10" t="str">
        <f t="shared" ca="1" si="209"/>
        <v>-</v>
      </c>
      <c r="G69" s="10"/>
      <c r="H69" s="10" t="str">
        <f t="shared" ca="1" si="210"/>
        <v>-</v>
      </c>
      <c r="I69" s="10" t="str">
        <f t="shared" ca="1" si="211"/>
        <v>-</v>
      </c>
      <c r="J69" s="10"/>
      <c r="K69" s="10" t="str">
        <f t="shared" ca="1" si="212"/>
        <v>-</v>
      </c>
      <c r="L69" s="10" t="str">
        <f t="shared" ca="1" si="213"/>
        <v>-</v>
      </c>
      <c r="M69" s="10"/>
      <c r="N69" s="10" t="str">
        <f t="shared" ca="1" si="214"/>
        <v>-</v>
      </c>
      <c r="O69" s="10" t="str">
        <f t="shared" ca="1" si="215"/>
        <v>-</v>
      </c>
      <c r="P69" s="10"/>
      <c r="Q69" s="10" t="str">
        <f t="shared" ca="1" si="216"/>
        <v>-</v>
      </c>
      <c r="R69" s="10" t="str">
        <f t="shared" ca="1" si="217"/>
        <v>-</v>
      </c>
      <c r="S69" s="10"/>
      <c r="T69" s="10" t="str">
        <f t="shared" ca="1" si="218"/>
        <v>-</v>
      </c>
      <c r="U69" s="10" t="str">
        <f t="shared" ca="1" si="219"/>
        <v>-</v>
      </c>
      <c r="V69" s="20"/>
      <c r="W69" s="667"/>
      <c r="X69" s="27">
        <f ca="1">Horarios!C69</f>
        <v>46190</v>
      </c>
      <c r="Y69" s="28">
        <f ca="1">Horarios!C69</f>
        <v>46190</v>
      </c>
      <c r="Z69" s="29" t="str">
        <f>$Z$4</f>
        <v>J1</v>
      </c>
      <c r="AA69" s="30" t="str">
        <f ca="1">A71</f>
        <v>PO 2: IRQ/BOL/SUR</v>
      </c>
      <c r="AB69" s="55" t="str">
        <f ca="1">+INDEX(Equipos!$L$2:$L$49,MATCH(WORLDCUP!AA69,Equipos!$K$2:$K$49,0))</f>
        <v xml:space="preserve"> </v>
      </c>
      <c r="AC69" s="56">
        <v>0</v>
      </c>
      <c r="AD69" s="57">
        <v>0</v>
      </c>
      <c r="AE69" s="58" t="str">
        <f ca="1">+INDEX(Equipos!$L$2:$L$49,MATCH(WORLDCUP!AF69,Equipos!$K$2:$K$49,0))</f>
        <v>🇳🇴</v>
      </c>
      <c r="AF69" s="35" t="str">
        <f ca="1">A72</f>
        <v>Noruega</v>
      </c>
      <c r="AG69" s="335">
        <f t="shared" si="220"/>
        <v>1</v>
      </c>
      <c r="AH69" s="204">
        <v>18</v>
      </c>
      <c r="AI69" s="190"/>
      <c r="AJ69" s="70" t="str">
        <f>AJ5</f>
        <v>Pos</v>
      </c>
      <c r="AK69" s="71"/>
      <c r="AL69" s="72" t="str">
        <f t="shared" ref="AL69:AT69" si="221">AL5</f>
        <v>Selección</v>
      </c>
      <c r="AM69" s="71" t="str">
        <f t="shared" si="221"/>
        <v>Pts</v>
      </c>
      <c r="AN69" s="71" t="str">
        <f t="shared" si="221"/>
        <v>J</v>
      </c>
      <c r="AO69" s="71" t="str">
        <f t="shared" si="221"/>
        <v>G</v>
      </c>
      <c r="AP69" s="71" t="str">
        <f t="shared" si="221"/>
        <v>E</v>
      </c>
      <c r="AQ69" s="71" t="str">
        <f t="shared" si="221"/>
        <v>P</v>
      </c>
      <c r="AR69" s="71" t="str">
        <f t="shared" si="221"/>
        <v>GF</v>
      </c>
      <c r="AS69" s="71" t="str">
        <f t="shared" si="221"/>
        <v>GC</v>
      </c>
      <c r="AT69" s="73" t="str">
        <f t="shared" si="221"/>
        <v>DG</v>
      </c>
      <c r="AU69" s="343">
        <f t="shared" ref="AU69" ca="1" si="222">COUNTIF(AU70:AU73,"&gt;1")</f>
        <v>0</v>
      </c>
      <c r="AV69" s="201"/>
      <c r="AW69" s="175"/>
      <c r="AX69" s="175"/>
      <c r="AY69" s="216" t="str">
        <f>AL69</f>
        <v>Selección</v>
      </c>
      <c r="AZ69" s="217" t="str">
        <f>+Idiomas!$D$67</f>
        <v>Puntos penalizados</v>
      </c>
      <c r="BA69" s="155"/>
      <c r="BB69" s="634" t="str">
        <f t="shared" si="178"/>
        <v>3L</v>
      </c>
      <c r="BC69" s="630" t="s">
        <v>254</v>
      </c>
      <c r="BD69" s="10" t="str">
        <f t="shared" ca="1" si="167"/>
        <v>Ghana</v>
      </c>
      <c r="BE69" s="424">
        <f t="shared" ca="1" si="167"/>
        <v>4</v>
      </c>
      <c r="BF69" s="424">
        <f t="shared" ca="1" si="167"/>
        <v>3</v>
      </c>
      <c r="BG69" s="424">
        <f t="shared" ca="1" si="167"/>
        <v>1</v>
      </c>
      <c r="BH69" s="424">
        <f t="shared" ca="1" si="167"/>
        <v>1</v>
      </c>
      <c r="BI69" s="424">
        <f t="shared" ca="1" si="167"/>
        <v>1</v>
      </c>
      <c r="BJ69" s="424">
        <f t="shared" ca="1" si="167"/>
        <v>2</v>
      </c>
      <c r="BK69" s="424">
        <f t="shared" ca="1" si="167"/>
        <v>2</v>
      </c>
      <c r="BL69" s="424">
        <f t="shared" ca="1" si="167"/>
        <v>0</v>
      </c>
      <c r="BM69" s="424">
        <f t="shared" ca="1" si="179"/>
        <v>1</v>
      </c>
      <c r="BN69" s="424">
        <f t="shared" ca="1" si="180"/>
        <v>1</v>
      </c>
      <c r="BO69" s="630"/>
      <c r="BP69" s="424">
        <f t="shared" ca="1" si="168"/>
        <v>4</v>
      </c>
      <c r="BQ69" s="424">
        <f t="shared" ca="1" si="181"/>
        <v>1</v>
      </c>
      <c r="BR69" s="424" t="str">
        <f t="shared" ca="1" si="182"/>
        <v>Pos. 1 (2)</v>
      </c>
      <c r="BS69" s="424">
        <f t="shared" ca="1" si="169"/>
        <v>0</v>
      </c>
      <c r="BT69" s="424">
        <f t="shared" ca="1" si="170"/>
        <v>1</v>
      </c>
      <c r="BU69" s="424" t="str">
        <f t="shared" ca="1" si="171"/>
        <v>Pos. 1 (2)</v>
      </c>
      <c r="BV69" s="424">
        <f t="shared" ca="1" si="172"/>
        <v>2</v>
      </c>
      <c r="BW69" s="424">
        <f t="shared" ca="1" si="173"/>
        <v>1</v>
      </c>
      <c r="BX69" s="424" t="str">
        <f t="shared" ca="1" si="174"/>
        <v>-</v>
      </c>
      <c r="BY69" s="424" t="str">
        <f t="shared" ca="1" si="183"/>
        <v>-</v>
      </c>
      <c r="BZ69" s="424">
        <f ca="1">BW69+COUNTIFS(BX$58:BX$69,BX69,BY$58:BY$69,"&gt;"&amp;BY69)</f>
        <v>1</v>
      </c>
      <c r="CA69" s="424"/>
      <c r="CB69" s="424">
        <f t="shared" ca="1" si="175"/>
        <v>1</v>
      </c>
      <c r="CC69" s="424" t="str">
        <f t="shared" ca="1" si="185"/>
        <v>-</v>
      </c>
      <c r="CD69" s="424">
        <f t="shared" ca="1" si="186"/>
        <v>1</v>
      </c>
      <c r="CE69" s="424"/>
      <c r="CF69" s="424"/>
      <c r="CG69" s="424"/>
      <c r="CH69" s="424"/>
      <c r="CI69" s="424"/>
      <c r="CJ69" s="424"/>
      <c r="CK69" s="424"/>
      <c r="CL69" s="424"/>
      <c r="CM69" s="424"/>
      <c r="CN69" s="424"/>
      <c r="CO69" s="424"/>
      <c r="CP69" s="424"/>
      <c r="CQ69" s="424"/>
      <c r="CR69" s="424"/>
      <c r="CS69" s="424"/>
      <c r="CT69" s="424"/>
      <c r="DH69" s="10">
        <f t="shared" ca="1" si="176"/>
        <v>12</v>
      </c>
      <c r="DJ69" s="10">
        <f t="shared" ca="1" si="187"/>
        <v>1</v>
      </c>
      <c r="DK69" s="19" t="str">
        <f t="shared" ca="1" si="177"/>
        <v>12.1</v>
      </c>
      <c r="DL69" s="10" cm="1">
        <f t="array" aca="1" ref="DL69" ca="1">OFFSET(Horarios!$P$3,DH69-1,0,DJ69,1)</f>
        <v>12</v>
      </c>
      <c r="DN69" s="10">
        <v>12</v>
      </c>
      <c r="DO69" s="10" t="str">
        <f t="shared" ca="1" si="188"/>
        <v>Curazao</v>
      </c>
    </row>
    <row r="70" spans="1:119" ht="16.05" customHeight="1">
      <c r="A70" s="646" t="str">
        <f ca="1">+Equipos!B35</f>
        <v>Senegal</v>
      </c>
      <c r="B70" s="11"/>
      <c r="C70" s="429"/>
      <c r="D70" s="10" t="str">
        <f t="shared" si="207"/>
        <v>Local</v>
      </c>
      <c r="E70" s="10" t="str">
        <f t="shared" ca="1" si="208"/>
        <v>P.1 (2)</v>
      </c>
      <c r="F70" s="10" t="str">
        <f t="shared" ca="1" si="209"/>
        <v>-</v>
      </c>
      <c r="G70" s="10"/>
      <c r="H70" s="10" t="str">
        <f t="shared" ca="1" si="210"/>
        <v>-</v>
      </c>
      <c r="I70" s="10" t="str">
        <f t="shared" ca="1" si="211"/>
        <v>-</v>
      </c>
      <c r="J70" s="10"/>
      <c r="K70" s="10" t="str">
        <f t="shared" ca="1" si="212"/>
        <v>-</v>
      </c>
      <c r="L70" s="10" t="str">
        <f t="shared" ca="1" si="213"/>
        <v>-</v>
      </c>
      <c r="M70" s="10"/>
      <c r="N70" s="10" t="str">
        <f t="shared" ca="1" si="214"/>
        <v>-</v>
      </c>
      <c r="O70" s="10" t="str">
        <f t="shared" ca="1" si="215"/>
        <v>-</v>
      </c>
      <c r="P70" s="10"/>
      <c r="Q70" s="10" t="str">
        <f t="shared" ca="1" si="216"/>
        <v>-</v>
      </c>
      <c r="R70" s="10" t="str">
        <f t="shared" ca="1" si="217"/>
        <v>-</v>
      </c>
      <c r="S70" s="10"/>
      <c r="T70" s="10" t="str">
        <f t="shared" ca="1" si="218"/>
        <v>-</v>
      </c>
      <c r="U70" s="10" t="str">
        <f t="shared" ca="1" si="219"/>
        <v>-</v>
      </c>
      <c r="V70" s="20"/>
      <c r="W70" s="667"/>
      <c r="X70" s="27">
        <f ca="1">Horarios!C70</f>
        <v>46195.958333333336</v>
      </c>
      <c r="Y70" s="28">
        <f ca="1">Horarios!C70</f>
        <v>46195.958333333336</v>
      </c>
      <c r="Z70" s="29" t="str">
        <f>$Z$6</f>
        <v>J2</v>
      </c>
      <c r="AA70" s="30" t="str">
        <f ca="1">A69</f>
        <v>Francia</v>
      </c>
      <c r="AB70" s="55" t="str">
        <f ca="1">+INDEX(Equipos!$L$2:$L$49,MATCH(WORLDCUP!AA70,Equipos!$K$2:$K$49,0))</f>
        <v>🇫🇷</v>
      </c>
      <c r="AC70" s="56">
        <v>2</v>
      </c>
      <c r="AD70" s="57">
        <v>0</v>
      </c>
      <c r="AE70" s="58" t="str">
        <f ca="1">+INDEX(Equipos!$L$2:$L$49,MATCH(WORLDCUP!AF70,Equipos!$K$2:$K$49,0))</f>
        <v xml:space="preserve"> </v>
      </c>
      <c r="AF70" s="35" t="str">
        <f ca="1">A71</f>
        <v>PO 2: IRQ/BOL/SUR</v>
      </c>
      <c r="AG70" s="335">
        <f t="shared" si="220"/>
        <v>1</v>
      </c>
      <c r="AH70" s="204">
        <v>41</v>
      </c>
      <c r="AI70" s="190" t="str">
        <f>AJ70&amp;$B$68</f>
        <v>1I</v>
      </c>
      <c r="AJ70" s="43">
        <v>1</v>
      </c>
      <c r="AK70" s="37" t="str">
        <f ca="1">+INDEX(Equipos!$L$2:$L$49,MATCH(WORLDCUP!AL70,Equipos!$K$2:$K$49,0))</f>
        <v>🇫🇷</v>
      </c>
      <c r="AL70" s="37" t="str">
        <f ca="1">IFERROR(INDEX($BD$6:$BD$53,MATCH(AI70,$BN$6:$BN$53,0)),"")</f>
        <v>Francia</v>
      </c>
      <c r="AM70" s="38">
        <f t="shared" ref="AM70:AT73" ca="1" si="223">INDEX($BE$6:$BN$53,MATCH($AL70,$BD$6:$BD$53,0),MATCH(AM$5,$BE$5:$BN$5,0))</f>
        <v>6</v>
      </c>
      <c r="AN70" s="39">
        <f t="shared" ca="1" si="223"/>
        <v>3</v>
      </c>
      <c r="AO70" s="39">
        <f t="shared" ca="1" si="223"/>
        <v>2</v>
      </c>
      <c r="AP70" s="39">
        <f t="shared" ca="1" si="223"/>
        <v>0</v>
      </c>
      <c r="AQ70" s="39">
        <f t="shared" ca="1" si="223"/>
        <v>1</v>
      </c>
      <c r="AR70" s="39">
        <f t="shared" ca="1" si="223"/>
        <v>4</v>
      </c>
      <c r="AS70" s="39">
        <f t="shared" ca="1" si="223"/>
        <v>1</v>
      </c>
      <c r="AT70" s="45">
        <f t="shared" ca="1" si="223"/>
        <v>3</v>
      </c>
      <c r="AU70" s="342">
        <f ca="1">INDEX($DJ$6:$DJ$53,MATCH(AI70,$DN$6:$DN$53,0))</f>
        <v>1</v>
      </c>
      <c r="AV70" s="191" t="str">
        <f ca="1">INDEX($BD$6:$BD$53,MATCH(AI70,$BM$6:$BM$53,0))</f>
        <v>Francia</v>
      </c>
      <c r="AW70" s="219"/>
      <c r="AX70" s="179"/>
      <c r="AY70" s="210" t="str">
        <f ca="1">+A69</f>
        <v>Francia</v>
      </c>
      <c r="AZ70" s="211"/>
      <c r="BA70" s="155"/>
      <c r="BN70" s="624"/>
      <c r="BO70" s="624"/>
      <c r="BR70" s="624"/>
      <c r="BS70" s="624"/>
      <c r="BT70" s="624"/>
      <c r="BU70" s="624"/>
      <c r="BV70" s="624"/>
      <c r="BW70" s="624"/>
      <c r="BX70" s="624"/>
      <c r="BY70" s="624"/>
      <c r="BZ70" s="624"/>
      <c r="CA70" s="624"/>
      <c r="CB70" s="624"/>
      <c r="CC70" s="624"/>
      <c r="CD70" s="624"/>
      <c r="CE70" s="624"/>
      <c r="CF70" s="624"/>
      <c r="CG70" s="624"/>
      <c r="CH70" s="624"/>
      <c r="CI70" s="624"/>
      <c r="CJ70" s="624"/>
      <c r="CK70" s="624"/>
      <c r="CL70" s="624"/>
      <c r="CM70" s="624"/>
      <c r="CN70" s="624"/>
      <c r="CO70" s="624"/>
      <c r="CP70" s="624"/>
      <c r="CQ70" s="624"/>
      <c r="CR70" s="624"/>
      <c r="CS70" s="624"/>
      <c r="CT70" s="624"/>
      <c r="CV70" s="624"/>
    </row>
    <row r="71" spans="1:119" ht="16.05" customHeight="1">
      <c r="A71" s="646" t="str">
        <f ca="1">+Equipos!B36</f>
        <v>PO 2: IRQ/BOL/SUR</v>
      </c>
      <c r="B71" s="11"/>
      <c r="C71" s="10"/>
      <c r="D71" s="10" t="str">
        <f t="shared" si="207"/>
        <v>Visitante</v>
      </c>
      <c r="E71" s="10" t="str">
        <f t="shared" ca="1" si="208"/>
        <v>-</v>
      </c>
      <c r="F71" s="10" t="str">
        <f t="shared" ca="1" si="209"/>
        <v>P.1 (2)</v>
      </c>
      <c r="G71" s="10"/>
      <c r="H71" s="10" t="str">
        <f t="shared" ca="1" si="210"/>
        <v>-</v>
      </c>
      <c r="I71" s="10" t="str">
        <f t="shared" ca="1" si="211"/>
        <v>-</v>
      </c>
      <c r="J71" s="10"/>
      <c r="K71" s="10" t="str">
        <f t="shared" ca="1" si="212"/>
        <v>-</v>
      </c>
      <c r="L71" s="10" t="str">
        <f t="shared" ca="1" si="213"/>
        <v>-</v>
      </c>
      <c r="M71" s="10"/>
      <c r="N71" s="10" t="str">
        <f t="shared" ca="1" si="214"/>
        <v>-</v>
      </c>
      <c r="O71" s="10" t="str">
        <f t="shared" ca="1" si="215"/>
        <v>-</v>
      </c>
      <c r="P71" s="10"/>
      <c r="Q71" s="10" t="str">
        <f t="shared" ca="1" si="216"/>
        <v>-</v>
      </c>
      <c r="R71" s="10" t="str">
        <f t="shared" ca="1" si="217"/>
        <v>-</v>
      </c>
      <c r="S71" s="10"/>
      <c r="T71" s="10" t="str">
        <f t="shared" ca="1" si="218"/>
        <v>-</v>
      </c>
      <c r="U71" s="10" t="str">
        <f t="shared" ca="1" si="219"/>
        <v>-</v>
      </c>
      <c r="V71" s="20"/>
      <c r="W71" s="667"/>
      <c r="X71" s="27">
        <f ca="1">Horarios!C71</f>
        <v>46196.083333333336</v>
      </c>
      <c r="Y71" s="28">
        <f ca="1">Horarios!C71</f>
        <v>46196.083333333336</v>
      </c>
      <c r="Z71" s="29" t="str">
        <f>$Z$6</f>
        <v>J2</v>
      </c>
      <c r="AA71" s="30" t="str">
        <f ca="1">A72</f>
        <v>Noruega</v>
      </c>
      <c r="AB71" s="55" t="str">
        <f ca="1">+INDEX(Equipos!$L$2:$L$49,MATCH(WORLDCUP!AA71,Equipos!$K$2:$K$49,0))</f>
        <v>🇳🇴</v>
      </c>
      <c r="AC71" s="56">
        <v>0</v>
      </c>
      <c r="AD71" s="57">
        <v>1</v>
      </c>
      <c r="AE71" s="58" t="str">
        <f ca="1">+INDEX(Equipos!$L$2:$L$49,MATCH(WORLDCUP!AF71,Equipos!$K$2:$K$49,0))</f>
        <v>🇸🇳</v>
      </c>
      <c r="AF71" s="35" t="str">
        <f ca="1">A70</f>
        <v>Senegal</v>
      </c>
      <c r="AG71" s="335">
        <f t="shared" si="220"/>
        <v>1</v>
      </c>
      <c r="AH71" s="204">
        <v>42</v>
      </c>
      <c r="AI71" s="190" t="str">
        <f t="shared" ref="AI71:AI73" si="224">AJ71&amp;$B$68</f>
        <v>2I</v>
      </c>
      <c r="AJ71" s="46">
        <v>2</v>
      </c>
      <c r="AK71" s="40" t="str">
        <f ca="1">+INDEX(Equipos!$L$2:$L$49,MATCH(WORLDCUP!AL71,Equipos!$K$2:$K$49,0))</f>
        <v>🇸🇳</v>
      </c>
      <c r="AL71" s="40" t="str">
        <f ca="1">IFERROR(INDEX($BD$6:$BD$53,MATCH(AI71,$BN$6:$BN$53,0)),"")</f>
        <v>Senegal</v>
      </c>
      <c r="AM71" s="41">
        <f t="shared" ca="1" si="223"/>
        <v>6</v>
      </c>
      <c r="AN71" s="42">
        <f t="shared" ca="1" si="223"/>
        <v>3</v>
      </c>
      <c r="AO71" s="42">
        <f t="shared" ca="1" si="223"/>
        <v>2</v>
      </c>
      <c r="AP71" s="42">
        <f t="shared" ca="1" si="223"/>
        <v>0</v>
      </c>
      <c r="AQ71" s="42">
        <f t="shared" ca="1" si="223"/>
        <v>1</v>
      </c>
      <c r="AR71" s="42">
        <f t="shared" ca="1" si="223"/>
        <v>2</v>
      </c>
      <c r="AS71" s="42">
        <f t="shared" ca="1" si="223"/>
        <v>2</v>
      </c>
      <c r="AT71" s="48">
        <f t="shared" ca="1" si="223"/>
        <v>0</v>
      </c>
      <c r="AU71" s="342">
        <f ca="1">INDEX($DJ$6:$DJ$53,MATCH(AI71,$DN$6:$DN$53,0))</f>
        <v>1</v>
      </c>
      <c r="AV71" s="191" t="str">
        <f ca="1">INDEX($BD$6:$BD$53,MATCH(AI71,$BM$6:$BM$53,0))</f>
        <v>Senegal</v>
      </c>
      <c r="AW71" s="219"/>
      <c r="AX71" s="179"/>
      <c r="AY71" s="212" t="str">
        <f ca="1">+A70</f>
        <v>Senegal</v>
      </c>
      <c r="AZ71" s="213"/>
      <c r="BA71" s="155"/>
      <c r="BN71" s="624"/>
      <c r="BO71" s="624"/>
      <c r="BR71" s="624"/>
      <c r="BS71" s="624"/>
      <c r="BT71" s="624"/>
      <c r="BU71" s="624"/>
      <c r="BV71" s="624"/>
      <c r="BW71" s="624"/>
      <c r="BX71" s="624"/>
      <c r="BY71" s="624"/>
      <c r="BZ71" s="624"/>
      <c r="CA71" s="624"/>
      <c r="CB71" s="624"/>
      <c r="CC71" s="624"/>
      <c r="CD71" s="624"/>
      <c r="CE71" s="624"/>
      <c r="CF71" s="624"/>
      <c r="CG71" s="624"/>
      <c r="CH71" s="624"/>
      <c r="CI71" s="624"/>
      <c r="CJ71" s="624"/>
      <c r="CK71" s="624"/>
      <c r="CL71" s="624"/>
      <c r="CM71" s="624"/>
      <c r="CN71" s="624"/>
      <c r="CO71" s="624"/>
      <c r="CP71" s="624"/>
      <c r="CQ71" s="624"/>
      <c r="CR71" s="624"/>
      <c r="CS71" s="624"/>
      <c r="CT71" s="624"/>
      <c r="CV71" s="624"/>
    </row>
    <row r="72" spans="1:119" ht="16.05" customHeight="1">
      <c r="A72" s="646" t="str">
        <f ca="1">+Equipos!B37</f>
        <v>Noruega</v>
      </c>
      <c r="B72" s="11"/>
      <c r="C72" s="10"/>
      <c r="D72" s="10" t="str">
        <f t="shared" si="207"/>
        <v>Local</v>
      </c>
      <c r="E72" s="10" t="str">
        <f t="shared" ca="1" si="208"/>
        <v>-</v>
      </c>
      <c r="F72" s="10" t="str">
        <f t="shared" ca="1" si="209"/>
        <v>P.1 (2)</v>
      </c>
      <c r="G72" s="10"/>
      <c r="H72" s="10" t="str">
        <f t="shared" ca="1" si="210"/>
        <v>-</v>
      </c>
      <c r="I72" s="10" t="str">
        <f t="shared" ca="1" si="211"/>
        <v>-</v>
      </c>
      <c r="J72" s="10"/>
      <c r="K72" s="10" t="str">
        <f t="shared" ca="1" si="212"/>
        <v>-</v>
      </c>
      <c r="L72" s="10" t="str">
        <f t="shared" ca="1" si="213"/>
        <v>-</v>
      </c>
      <c r="M72" s="10"/>
      <c r="N72" s="10" t="str">
        <f t="shared" ca="1" si="214"/>
        <v>-</v>
      </c>
      <c r="O72" s="10" t="str">
        <f t="shared" ca="1" si="215"/>
        <v>-</v>
      </c>
      <c r="P72" s="10"/>
      <c r="Q72" s="10" t="str">
        <f t="shared" ca="1" si="216"/>
        <v>-</v>
      </c>
      <c r="R72" s="10" t="str">
        <f t="shared" ca="1" si="217"/>
        <v>-</v>
      </c>
      <c r="S72" s="10"/>
      <c r="T72" s="10" t="str">
        <f t="shared" ca="1" si="218"/>
        <v>-</v>
      </c>
      <c r="U72" s="10" t="str">
        <f t="shared" ca="1" si="219"/>
        <v>-</v>
      </c>
      <c r="V72" s="20"/>
      <c r="W72" s="667"/>
      <c r="X72" s="27">
        <f ca="1">Horarios!C72</f>
        <v>46199.875</v>
      </c>
      <c r="Y72" s="28">
        <f ca="1">Horarios!C72</f>
        <v>46199.875</v>
      </c>
      <c r="Z72" s="29" t="str">
        <f>$Z$8</f>
        <v>J3</v>
      </c>
      <c r="AA72" s="30" t="str">
        <f ca="1">A72</f>
        <v>Noruega</v>
      </c>
      <c r="AB72" s="55" t="str">
        <f ca="1">+INDEX(Equipos!$L$2:$L$49,MATCH(WORLDCUP!AA72,Equipos!$K$2:$K$49,0))</f>
        <v>🇳🇴</v>
      </c>
      <c r="AC72" s="56">
        <v>1</v>
      </c>
      <c r="AD72" s="57">
        <v>0</v>
      </c>
      <c r="AE72" s="58" t="str">
        <f ca="1">+INDEX(Equipos!$L$2:$L$49,MATCH(WORLDCUP!AF72,Equipos!$K$2:$K$49,0))</f>
        <v>🇫🇷</v>
      </c>
      <c r="AF72" s="35" t="str">
        <f ca="1">A69</f>
        <v>Francia</v>
      </c>
      <c r="AG72" s="335">
        <f t="shared" si="220"/>
        <v>1</v>
      </c>
      <c r="AH72" s="204">
        <v>61</v>
      </c>
      <c r="AI72" s="190" t="str">
        <f t="shared" si="224"/>
        <v>3I</v>
      </c>
      <c r="AJ72" s="46">
        <v>3</v>
      </c>
      <c r="AK72" s="40" t="str">
        <f ca="1">+INDEX(Equipos!$L$2:$L$49,MATCH(WORLDCUP!AL72,Equipos!$K$2:$K$49,0))</f>
        <v>🇳🇴</v>
      </c>
      <c r="AL72" s="40" t="str">
        <f ca="1">IFERROR(INDEX($BD$6:$BD$53,MATCH(AI72,$BN$6:$BN$53,0)),"")</f>
        <v>Noruega</v>
      </c>
      <c r="AM72" s="41">
        <f t="shared" ca="1" si="223"/>
        <v>4</v>
      </c>
      <c r="AN72" s="42">
        <f t="shared" ca="1" si="223"/>
        <v>3</v>
      </c>
      <c r="AO72" s="42">
        <f t="shared" ca="1" si="223"/>
        <v>1</v>
      </c>
      <c r="AP72" s="42">
        <f t="shared" ca="1" si="223"/>
        <v>1</v>
      </c>
      <c r="AQ72" s="42">
        <f t="shared" ca="1" si="223"/>
        <v>1</v>
      </c>
      <c r="AR72" s="42">
        <f t="shared" ca="1" si="223"/>
        <v>1</v>
      </c>
      <c r="AS72" s="42">
        <f t="shared" ca="1" si="223"/>
        <v>1</v>
      </c>
      <c r="AT72" s="48">
        <f t="shared" ca="1" si="223"/>
        <v>0</v>
      </c>
      <c r="AU72" s="342">
        <f ca="1">INDEX($DJ$6:$DJ$53,MATCH(AI72,$DN$6:$DN$53,0))</f>
        <v>1</v>
      </c>
      <c r="AV72" s="191" t="str">
        <f ca="1">INDEX($BD$6:$BD$53,MATCH(AI72,$BM$6:$BM$53,0))</f>
        <v>Noruega</v>
      </c>
      <c r="AW72" s="219"/>
      <c r="AX72" s="179"/>
      <c r="AY72" s="210" t="str">
        <f ca="1">+A71</f>
        <v>PO 2: IRQ/BOL/SUR</v>
      </c>
      <c r="AZ72" s="211"/>
      <c r="BA72" s="155"/>
      <c r="BN72" s="624"/>
      <c r="BO72" s="624"/>
      <c r="BR72" s="624"/>
      <c r="BS72" s="624"/>
      <c r="BT72" s="624"/>
      <c r="BU72" s="624"/>
      <c r="BV72" s="624"/>
      <c r="BW72" s="624"/>
      <c r="BX72" s="624"/>
      <c r="BY72" s="624"/>
      <c r="BZ72" s="624"/>
      <c r="CA72" s="624"/>
      <c r="CB72" s="624"/>
      <c r="CC72" s="624"/>
      <c r="CD72" s="624"/>
      <c r="CE72" s="624"/>
      <c r="CF72" s="624"/>
      <c r="CG72" s="624"/>
      <c r="CH72" s="624"/>
      <c r="CI72" s="624"/>
      <c r="CJ72" s="624"/>
      <c r="CK72" s="624"/>
      <c r="CL72" s="624"/>
      <c r="CM72" s="624"/>
      <c r="CN72" s="624"/>
      <c r="CO72" s="624"/>
      <c r="CP72" s="624"/>
      <c r="CQ72" s="624"/>
      <c r="CR72" s="624"/>
      <c r="CS72" s="624"/>
      <c r="CT72" s="624"/>
      <c r="CV72" s="624"/>
    </row>
    <row r="73" spans="1:119" ht="16.95" customHeight="1" thickBot="1">
      <c r="A73" s="643"/>
      <c r="B73" s="643"/>
      <c r="C73" s="643"/>
      <c r="D73" s="10" t="str">
        <f t="shared" si="207"/>
        <v>Local</v>
      </c>
      <c r="E73" s="10" t="str">
        <f t="shared" ca="1" si="208"/>
        <v>P.1 (2)</v>
      </c>
      <c r="F73" s="10" t="str">
        <f t="shared" ca="1" si="209"/>
        <v>-</v>
      </c>
      <c r="G73" s="10"/>
      <c r="H73" s="10" t="str">
        <f t="shared" ca="1" si="210"/>
        <v>-</v>
      </c>
      <c r="I73" s="10" t="str">
        <f t="shared" ca="1" si="211"/>
        <v>-</v>
      </c>
      <c r="J73" s="10"/>
      <c r="K73" s="10" t="str">
        <f t="shared" ca="1" si="212"/>
        <v>-</v>
      </c>
      <c r="L73" s="10" t="str">
        <f t="shared" ca="1" si="213"/>
        <v>-</v>
      </c>
      <c r="M73" s="10"/>
      <c r="N73" s="10" t="str">
        <f t="shared" ca="1" si="214"/>
        <v>-</v>
      </c>
      <c r="O73" s="10" t="str">
        <f t="shared" ca="1" si="215"/>
        <v>-</v>
      </c>
      <c r="P73" s="10"/>
      <c r="Q73" s="10" t="str">
        <f t="shared" ca="1" si="216"/>
        <v>-</v>
      </c>
      <c r="R73" s="10" t="str">
        <f t="shared" ca="1" si="217"/>
        <v>-</v>
      </c>
      <c r="S73" s="10"/>
      <c r="T73" s="10" t="str">
        <f t="shared" ca="1" si="218"/>
        <v>-</v>
      </c>
      <c r="U73" s="10" t="str">
        <f t="shared" ca="1" si="219"/>
        <v>-</v>
      </c>
      <c r="V73" s="20"/>
      <c r="W73" s="668"/>
      <c r="X73" s="31">
        <f ca="1">Horarios!C73</f>
        <v>46199.875</v>
      </c>
      <c r="Y73" s="32">
        <f ca="1">Horarios!C73</f>
        <v>46199.875</v>
      </c>
      <c r="Z73" s="33" t="str">
        <f>$Z$8</f>
        <v>J3</v>
      </c>
      <c r="AA73" s="34" t="str">
        <f ca="1">A70</f>
        <v>Senegal</v>
      </c>
      <c r="AB73" s="59" t="str">
        <f ca="1">+INDEX(Equipos!$L$2:$L$49,MATCH(WORLDCUP!AA73,Equipos!$K$2:$K$49,0))</f>
        <v>🇸🇳</v>
      </c>
      <c r="AC73" s="60">
        <v>1</v>
      </c>
      <c r="AD73" s="61">
        <v>0</v>
      </c>
      <c r="AE73" s="62" t="str">
        <f ca="1">+INDEX(Equipos!$L$2:$L$49,MATCH(WORLDCUP!AF73,Equipos!$K$2:$K$49,0))</f>
        <v xml:space="preserve"> </v>
      </c>
      <c r="AF73" s="36" t="str">
        <f ca="1">A71</f>
        <v>PO 2: IRQ/BOL/SUR</v>
      </c>
      <c r="AG73" s="335">
        <f t="shared" si="220"/>
        <v>1</v>
      </c>
      <c r="AH73" s="204">
        <v>62</v>
      </c>
      <c r="AI73" s="190" t="str">
        <f t="shared" si="224"/>
        <v>4I</v>
      </c>
      <c r="AJ73" s="49">
        <v>4</v>
      </c>
      <c r="AK73" s="51" t="str">
        <f ca="1">+INDEX(Equipos!$L$2:$L$49,MATCH(WORLDCUP!AL73,Equipos!$K$2:$K$49,0))</f>
        <v xml:space="preserve"> </v>
      </c>
      <c r="AL73" s="51" t="str">
        <f ca="1">IFERROR(INDEX($BD$6:$BD$53,MATCH(AI73,$BN$6:$BN$53,0)),"")</f>
        <v>PO 2: IRQ/BOL/SUR</v>
      </c>
      <c r="AM73" s="52">
        <f t="shared" ca="1" si="223"/>
        <v>1</v>
      </c>
      <c r="AN73" s="53">
        <f t="shared" ca="1" si="223"/>
        <v>3</v>
      </c>
      <c r="AO73" s="53">
        <f t="shared" ca="1" si="223"/>
        <v>0</v>
      </c>
      <c r="AP73" s="53">
        <f t="shared" ca="1" si="223"/>
        <v>1</v>
      </c>
      <c r="AQ73" s="53">
        <f t="shared" ca="1" si="223"/>
        <v>2</v>
      </c>
      <c r="AR73" s="53">
        <f t="shared" ca="1" si="223"/>
        <v>0</v>
      </c>
      <c r="AS73" s="53">
        <f t="shared" ca="1" si="223"/>
        <v>3</v>
      </c>
      <c r="AT73" s="54">
        <f t="shared" ca="1" si="223"/>
        <v>-3</v>
      </c>
      <c r="AU73" s="342">
        <f ca="1">INDEX($DJ$6:$DJ$53,MATCH(AI73,$DN$6:$DN$53,0))</f>
        <v>1</v>
      </c>
      <c r="AV73" s="191" t="str">
        <f ca="1">INDEX($BD$6:$BD$53,MATCH(AI73,$BM$6:$BM$53,0))</f>
        <v>PO 2: IRQ/BOL/SUR</v>
      </c>
      <c r="AW73" s="219"/>
      <c r="AX73" s="179"/>
      <c r="AY73" s="214" t="str">
        <f ca="1">+A72</f>
        <v>Noruega</v>
      </c>
      <c r="AZ73" s="215"/>
      <c r="BA73" s="155"/>
      <c r="BN73" s="624"/>
      <c r="BO73" s="624"/>
      <c r="BR73" s="624"/>
      <c r="BS73" s="624"/>
      <c r="BT73" s="624"/>
      <c r="BU73" s="624"/>
      <c r="BV73" s="624"/>
      <c r="BW73" s="624"/>
      <c r="BX73" s="624"/>
      <c r="BY73" s="624"/>
      <c r="BZ73" s="624"/>
      <c r="CA73" s="624"/>
      <c r="CB73" s="624"/>
      <c r="CC73" s="624"/>
      <c r="CD73" s="624"/>
      <c r="CE73" s="624"/>
      <c r="CF73" s="624"/>
      <c r="CG73" s="624"/>
      <c r="CH73" s="624"/>
      <c r="CI73" s="624"/>
      <c r="CJ73" s="624"/>
      <c r="CK73" s="624"/>
      <c r="CL73" s="624"/>
      <c r="CM73" s="624"/>
      <c r="CN73" s="624"/>
      <c r="CO73" s="624"/>
      <c r="CP73" s="624"/>
      <c r="CQ73" s="624"/>
      <c r="CR73" s="624"/>
      <c r="CS73" s="624"/>
      <c r="CT73" s="624"/>
      <c r="CV73" s="624"/>
    </row>
    <row r="74" spans="1:119" ht="15" thickBot="1">
      <c r="A74" s="643"/>
      <c r="B74" s="643"/>
      <c r="C74" s="643"/>
      <c r="D74" s="10"/>
      <c r="E74" s="10"/>
      <c r="F74" s="10"/>
      <c r="G74" s="10"/>
      <c r="H74" s="10"/>
      <c r="I74" s="10"/>
      <c r="J74" s="10"/>
      <c r="K74" s="10"/>
      <c r="L74" s="10"/>
      <c r="M74" s="10"/>
      <c r="N74" s="10"/>
      <c r="O74" s="10"/>
      <c r="P74" s="10"/>
      <c r="Q74" s="10"/>
      <c r="R74" s="10"/>
      <c r="S74" s="10"/>
      <c r="T74" s="10"/>
      <c r="U74" s="10"/>
      <c r="V74" s="20"/>
      <c r="W74" s="162"/>
      <c r="X74" s="163"/>
      <c r="Y74" s="162"/>
      <c r="Z74" s="164"/>
      <c r="AA74" s="165"/>
      <c r="AB74" s="166"/>
      <c r="AC74" s="159"/>
      <c r="AD74" s="159"/>
      <c r="AE74" s="166"/>
      <c r="AF74" s="167"/>
      <c r="AG74" s="337"/>
      <c r="AH74" s="204"/>
      <c r="AI74" s="189"/>
      <c r="AJ74" s="168"/>
      <c r="AK74" s="169"/>
      <c r="AL74" s="170"/>
      <c r="AM74" s="171"/>
      <c r="AN74" s="168"/>
      <c r="AO74" s="168"/>
      <c r="AP74" s="168"/>
      <c r="AQ74" s="168"/>
      <c r="AR74" s="168"/>
      <c r="AS74" s="168"/>
      <c r="AT74" s="168"/>
      <c r="AU74" s="342"/>
      <c r="AV74" s="198"/>
      <c r="AW74" s="220"/>
      <c r="AX74" s="179"/>
      <c r="AY74" s="162"/>
      <c r="AZ74" s="163"/>
      <c r="BA74" s="155"/>
      <c r="BN74" s="624"/>
      <c r="BO74" s="624"/>
      <c r="BR74" s="624"/>
      <c r="BS74" s="624"/>
      <c r="BT74" s="624"/>
      <c r="BU74" s="624"/>
      <c r="BV74" s="624"/>
      <c r="BW74" s="624"/>
      <c r="BX74" s="624"/>
      <c r="BY74" s="624"/>
      <c r="BZ74" s="624"/>
      <c r="CA74" s="624"/>
      <c r="CB74" s="624"/>
      <c r="CC74" s="624"/>
      <c r="CD74" s="624"/>
      <c r="CE74" s="624"/>
      <c r="CF74" s="624"/>
      <c r="CG74" s="624"/>
      <c r="CH74" s="624"/>
      <c r="CI74" s="624"/>
      <c r="CJ74" s="624"/>
      <c r="CK74" s="624"/>
      <c r="CL74" s="624"/>
      <c r="CM74" s="624"/>
      <c r="CN74" s="624"/>
      <c r="CO74" s="624"/>
      <c r="CP74" s="624"/>
      <c r="CQ74" s="624"/>
      <c r="CR74" s="624"/>
      <c r="CS74" s="624"/>
      <c r="CT74" s="624"/>
      <c r="CV74" s="624"/>
    </row>
    <row r="75" spans="1:119" ht="15" thickBot="1">
      <c r="A75" s="643"/>
      <c r="B75" s="11"/>
      <c r="C75" s="643"/>
      <c r="D75" s="643"/>
      <c r="E75" s="643"/>
      <c r="F75" s="643"/>
      <c r="G75" s="643"/>
      <c r="H75" s="643"/>
      <c r="I75" s="643"/>
      <c r="J75" s="643"/>
      <c r="K75" s="643"/>
      <c r="L75" s="643"/>
      <c r="M75" s="643"/>
      <c r="N75" s="10"/>
      <c r="O75" s="10"/>
      <c r="P75" s="10"/>
      <c r="Q75" s="10"/>
      <c r="R75" s="10"/>
      <c r="S75" s="10"/>
      <c r="T75" s="10"/>
      <c r="U75" s="10"/>
      <c r="V75" s="20"/>
      <c r="W75" s="9"/>
      <c r="X75" s="77" t="str">
        <f>X3</f>
        <v>Fecha</v>
      </c>
      <c r="Y75" s="77" t="str">
        <f>Y3</f>
        <v>Hora</v>
      </c>
      <c r="Z75" s="63" t="str">
        <f>Z3</f>
        <v>Jor.</v>
      </c>
      <c r="AA75" s="65" t="str">
        <f>AA3</f>
        <v>Casa</v>
      </c>
      <c r="AB75" s="64"/>
      <c r="AC75" s="63" t="str">
        <f>AC3</f>
        <v>Gol</v>
      </c>
      <c r="AD75" s="63" t="str">
        <f>AD3</f>
        <v>Gol</v>
      </c>
      <c r="AE75" s="64"/>
      <c r="AF75" s="66" t="str">
        <f>AF3</f>
        <v>Fuera</v>
      </c>
      <c r="AG75" s="336"/>
      <c r="AH75" s="204"/>
      <c r="AI75" s="188"/>
      <c r="AJ75" s="170"/>
      <c r="AK75" s="172"/>
      <c r="AL75" s="170"/>
      <c r="AM75" s="170"/>
      <c r="AN75" s="170"/>
      <c r="AO75" s="170"/>
      <c r="AP75" s="170"/>
      <c r="AQ75" s="170"/>
      <c r="AR75" s="170"/>
      <c r="AS75" s="170"/>
      <c r="AT75" s="170"/>
      <c r="AU75" s="343"/>
      <c r="AV75" s="197"/>
      <c r="AW75" s="221"/>
      <c r="AX75" s="180"/>
      <c r="AY75" s="162"/>
      <c r="AZ75" s="163"/>
      <c r="BA75" s="155"/>
    </row>
    <row r="76" spans="1:119" ht="16.05" customHeight="1" thickBot="1">
      <c r="A76" s="645" t="s">
        <v>32</v>
      </c>
      <c r="B76" s="11" t="s">
        <v>5</v>
      </c>
      <c r="C76" s="441">
        <f>COUNTIF(Equipos!$C$2:$C$49,WORLDCUP!B76)</f>
        <v>4</v>
      </c>
      <c r="D76" s="10" t="str">
        <f t="shared" ref="D76:D81" si="225">IF(OR(AC76="",AD76=""),"Pendiente",IF(AC76&gt;AD76,"Local",IF(AC76&lt;AD76,"Visitante","Empate")))</f>
        <v>Local</v>
      </c>
      <c r="E76" s="10" t="str">
        <f t="shared" ref="E76:E81" ca="1" si="226">IF(D76="Pendiente","-",INDEX($BR$6:$BR$53,MATCH($AA76,$BD$6:$BD$53,0)))</f>
        <v>-</v>
      </c>
      <c r="F76" s="10" t="str">
        <f t="shared" ref="F76:F81" ca="1" si="227">IF(D76="Pendiente","-",INDEX($BR$6:$BR$53,MATCH($AF76,$BD$6:$BD$53,0)))</f>
        <v>P.3 (2)</v>
      </c>
      <c r="G76" s="10"/>
      <c r="H76" s="10" t="str">
        <f t="shared" ref="H76:H81" ca="1" si="228">IF(D76="Pendiente","-",INDEX($BX$6:$BX$53,MATCH($AA76,$BD$6:$BD$53,0)))</f>
        <v>-</v>
      </c>
      <c r="I76" s="10" t="str">
        <f t="shared" ref="I76:I81" ca="1" si="229">IF(D76="Pendiente","-",INDEX($BX$6:$BX$53,MATCH($AF76,$BD$6:$BD$53,0)))</f>
        <v>P.3 (2)</v>
      </c>
      <c r="J76" s="10"/>
      <c r="K76" s="10" t="str">
        <f t="shared" ref="K76:K81" ca="1" si="230">IF(D76="Pendiente","-",INDEX($CC$6:$CC$53,MATCH($AA76,$BD$6:$BD$53,0)))</f>
        <v>-</v>
      </c>
      <c r="L76" s="10" t="str">
        <f t="shared" ref="L76:L81" ca="1" si="231">IF(D76="Pendiente","-",INDEX($CC$6:$CC$53,MATCH($AF76,$BD$6:$BD$53,0)))</f>
        <v>P.3 (2)</v>
      </c>
      <c r="M76" s="10"/>
      <c r="N76" s="10" t="str">
        <f t="shared" ref="N76:N81" ca="1" si="232">IF(D76="Pendiente","-",INDEX($CF$6:$CF$53,MATCH($AA76,$BD$6:$BD$53,0)))</f>
        <v>-</v>
      </c>
      <c r="O76" s="10" t="str">
        <f t="shared" ref="O76:O81" ca="1" si="233">IF(D76="Pendiente","-",INDEX($CF$6:$CF$53,MATCH($AF76,$BD$6:$BD$53,0)))</f>
        <v>P.3 (2)</v>
      </c>
      <c r="P76" s="10"/>
      <c r="Q76" s="10" t="str">
        <f t="shared" ref="Q76:Q81" ca="1" si="234">IF(D76="Pendiente","-",INDEX($CL$6:$CL$53,MATCH($AA76,$BD$6:$BD$53,0)))</f>
        <v>-</v>
      </c>
      <c r="R76" s="10" t="str">
        <f t="shared" ref="R76:R81" ca="1" si="235">IF(D76="Pendiente","-",INDEX($CL$6:$CL$53,MATCH($AF76,$BD$6:$BD$53,0)))</f>
        <v>P.3 (2)</v>
      </c>
      <c r="S76" s="10"/>
      <c r="T76" s="10" t="str">
        <f t="shared" ref="T76:T81" ca="1" si="236">IF(D76="Pendiente","-",INDEX($CQ$6:$CQ$53,MATCH($AA76,$BD$6:$BD$53,0)))</f>
        <v>-</v>
      </c>
      <c r="U76" s="10" t="str">
        <f t="shared" ref="U76:U81" ca="1" si="237">IF(D76="Pendiente","-",INDEX($CQ$6:$CQ$53,MATCH($AF76,$BD$6:$BD$53,0)))</f>
        <v>P.3 (2)</v>
      </c>
      <c r="V76" s="20"/>
      <c r="W76" s="663" t="s">
        <v>5</v>
      </c>
      <c r="X76" s="27">
        <f ca="1">Horarios!C76</f>
        <v>46189.25</v>
      </c>
      <c r="Y76" s="28">
        <f ca="1">Horarios!C76</f>
        <v>46189.25</v>
      </c>
      <c r="Z76" s="29" t="str">
        <f>$Z$4</f>
        <v>J1</v>
      </c>
      <c r="AA76" s="30" t="str">
        <f ca="1">A79</f>
        <v>Austria</v>
      </c>
      <c r="AB76" s="55" t="str">
        <f ca="1">+INDEX(Equipos!$L$2:$L$49,MATCH(WORLDCUP!AA76,Equipos!$K$2:$K$49,0))</f>
        <v>🇦🇹</v>
      </c>
      <c r="AC76" s="56">
        <v>1</v>
      </c>
      <c r="AD76" s="57">
        <v>0</v>
      </c>
      <c r="AE76" s="58" t="str">
        <f ca="1">+INDEX(Equipos!$L$2:$L$49,MATCH(WORLDCUP!AF76,Equipos!$K$2:$K$49,0))</f>
        <v>🇯🇴</v>
      </c>
      <c r="AF76" s="35" t="str">
        <f ca="1">A80</f>
        <v>Jordania</v>
      </c>
      <c r="AG76" s="335">
        <f t="shared" ref="AG76:AG81" si="238">IF(NOT(OR(ISBLANK(AC76),ISBLANK(AD76))),1,0)</f>
        <v>1</v>
      </c>
      <c r="AH76" s="204">
        <v>19</v>
      </c>
      <c r="AI76" s="190"/>
      <c r="AJ76" s="67" t="str">
        <f>CONCATENATE(AJ3," ",B76)</f>
        <v>Grupo J</v>
      </c>
      <c r="AK76" s="68"/>
      <c r="AL76" s="68"/>
      <c r="AM76" s="68"/>
      <c r="AN76" s="68"/>
      <c r="AO76" s="68"/>
      <c r="AP76" s="68"/>
      <c r="AQ76" s="68"/>
      <c r="AR76" s="68"/>
      <c r="AS76" s="68"/>
      <c r="AT76" s="69"/>
      <c r="AU76" s="343"/>
      <c r="AV76" s="295" t="str">
        <f ca="1">IF(AU77&gt;0,$AV$3,"")</f>
        <v/>
      </c>
      <c r="AW76" s="175"/>
      <c r="AX76" s="175"/>
      <c r="AY76" s="162"/>
      <c r="AZ76" s="163"/>
      <c r="BA76" s="155"/>
      <c r="CV76" s="624"/>
    </row>
    <row r="77" spans="1:119" ht="16.05" customHeight="1">
      <c r="A77" s="646" t="str">
        <f ca="1">+Equipos!B38</f>
        <v>Argentina</v>
      </c>
      <c r="B77" s="11"/>
      <c r="C77" s="11"/>
      <c r="D77" s="10" t="str">
        <f t="shared" si="225"/>
        <v>Local</v>
      </c>
      <c r="E77" s="10" t="str">
        <f t="shared" ca="1" si="226"/>
        <v>-</v>
      </c>
      <c r="F77" s="10" t="str">
        <f t="shared" ca="1" si="227"/>
        <v>P.3 (2)</v>
      </c>
      <c r="G77" s="10"/>
      <c r="H77" s="10" t="str">
        <f t="shared" ca="1" si="228"/>
        <v>-</v>
      </c>
      <c r="I77" s="10" t="str">
        <f t="shared" ca="1" si="229"/>
        <v>P.3 (2)</v>
      </c>
      <c r="J77" s="10"/>
      <c r="K77" s="10" t="str">
        <f t="shared" ca="1" si="230"/>
        <v>-</v>
      </c>
      <c r="L77" s="10" t="str">
        <f t="shared" ca="1" si="231"/>
        <v>P.3 (2)</v>
      </c>
      <c r="M77" s="10"/>
      <c r="N77" s="10" t="str">
        <f t="shared" ca="1" si="232"/>
        <v>-</v>
      </c>
      <c r="O77" s="10" t="str">
        <f t="shared" ca="1" si="233"/>
        <v>P.3 (2)</v>
      </c>
      <c r="P77" s="10"/>
      <c r="Q77" s="10" t="str">
        <f t="shared" ca="1" si="234"/>
        <v>-</v>
      </c>
      <c r="R77" s="10" t="str">
        <f t="shared" ca="1" si="235"/>
        <v>P.3 (2)</v>
      </c>
      <c r="S77" s="10"/>
      <c r="T77" s="10" t="str">
        <f t="shared" ca="1" si="236"/>
        <v>-</v>
      </c>
      <c r="U77" s="10" t="str">
        <f t="shared" ca="1" si="237"/>
        <v>P.3 (2)</v>
      </c>
      <c r="V77" s="20"/>
      <c r="W77" s="663"/>
      <c r="X77" s="27">
        <f ca="1">Horarios!C77</f>
        <v>46190.125</v>
      </c>
      <c r="Y77" s="28">
        <f ca="1">Horarios!C77</f>
        <v>46190.125</v>
      </c>
      <c r="Z77" s="29" t="str">
        <f>$Z$4</f>
        <v>J1</v>
      </c>
      <c r="AA77" s="30" t="str">
        <f ca="1">A77</f>
        <v>Argentina</v>
      </c>
      <c r="AB77" s="55" t="str">
        <f ca="1">+INDEX(Equipos!$L$2:$L$49,MATCH(WORLDCUP!AA77,Equipos!$K$2:$K$49,0))</f>
        <v>🇦🇷</v>
      </c>
      <c r="AC77" s="56">
        <v>2</v>
      </c>
      <c r="AD77" s="57">
        <v>1</v>
      </c>
      <c r="AE77" s="58" t="str">
        <f ca="1">+INDEX(Equipos!$L$2:$L$49,MATCH(WORLDCUP!AF77,Equipos!$K$2:$K$49,0))</f>
        <v>🇩🇿</v>
      </c>
      <c r="AF77" s="35" t="str">
        <f ca="1">A78</f>
        <v>Argelia</v>
      </c>
      <c r="AG77" s="335">
        <f t="shared" si="238"/>
        <v>1</v>
      </c>
      <c r="AH77" s="204">
        <v>20</v>
      </c>
      <c r="AI77" s="190"/>
      <c r="AJ77" s="70" t="str">
        <f>AJ5</f>
        <v>Pos</v>
      </c>
      <c r="AK77" s="71"/>
      <c r="AL77" s="72" t="str">
        <f t="shared" ref="AL77:AT77" si="239">AL5</f>
        <v>Selección</v>
      </c>
      <c r="AM77" s="71" t="str">
        <f t="shared" si="239"/>
        <v>Pts</v>
      </c>
      <c r="AN77" s="71" t="str">
        <f t="shared" si="239"/>
        <v>J</v>
      </c>
      <c r="AO77" s="71" t="str">
        <f t="shared" si="239"/>
        <v>G</v>
      </c>
      <c r="AP77" s="71" t="str">
        <f t="shared" si="239"/>
        <v>E</v>
      </c>
      <c r="AQ77" s="71" t="str">
        <f t="shared" si="239"/>
        <v>P</v>
      </c>
      <c r="AR77" s="71" t="str">
        <f t="shared" si="239"/>
        <v>GF</v>
      </c>
      <c r="AS77" s="71" t="str">
        <f t="shared" si="239"/>
        <v>GC</v>
      </c>
      <c r="AT77" s="73" t="str">
        <f t="shared" si="239"/>
        <v>DG</v>
      </c>
      <c r="AU77" s="343">
        <f t="shared" ref="AU77" ca="1" si="240">COUNTIF(AU78:AU81,"&gt;1")</f>
        <v>0</v>
      </c>
      <c r="AV77" s="201"/>
      <c r="AW77" s="175"/>
      <c r="AX77" s="175"/>
      <c r="AY77" s="216" t="str">
        <f>AL77</f>
        <v>Selección</v>
      </c>
      <c r="AZ77" s="217" t="str">
        <f>+Idiomas!$D$67</f>
        <v>Puntos penalizados</v>
      </c>
      <c r="BA77" s="155"/>
      <c r="BN77" s="428"/>
      <c r="BO77" s="428"/>
      <c r="BR77" s="428"/>
      <c r="BS77" s="428"/>
      <c r="BT77" s="428"/>
      <c r="BU77" s="428"/>
      <c r="BV77" s="428"/>
      <c r="BW77" s="428"/>
      <c r="BX77" s="428"/>
      <c r="BY77" s="428"/>
      <c r="BZ77" s="428"/>
      <c r="CA77" s="428"/>
      <c r="CB77" s="428"/>
      <c r="CC77" s="428"/>
      <c r="CD77" s="428"/>
      <c r="CE77" s="428"/>
      <c r="CF77" s="428"/>
      <c r="CG77" s="428"/>
      <c r="CH77" s="428"/>
      <c r="CI77" s="428"/>
      <c r="CJ77" s="428"/>
      <c r="CK77" s="428"/>
      <c r="CL77" s="428"/>
      <c r="CM77" s="428"/>
      <c r="CN77" s="428"/>
      <c r="CO77" s="428"/>
      <c r="CP77" s="428"/>
      <c r="CQ77" s="428"/>
      <c r="CR77" s="428"/>
      <c r="CS77" s="428"/>
      <c r="CT77" s="428"/>
      <c r="CV77" s="428"/>
    </row>
    <row r="78" spans="1:119" ht="16.05" customHeight="1">
      <c r="A78" s="646" t="str">
        <f ca="1">+Equipos!B39</f>
        <v>Argelia</v>
      </c>
      <c r="B78" s="11"/>
      <c r="C78" s="429"/>
      <c r="D78" s="10" t="str">
        <f t="shared" si="225"/>
        <v>Local</v>
      </c>
      <c r="E78" s="10" t="str">
        <f t="shared" ca="1" si="226"/>
        <v>-</v>
      </c>
      <c r="F78" s="10" t="str">
        <f t="shared" ca="1" si="227"/>
        <v>-</v>
      </c>
      <c r="G78" s="10"/>
      <c r="H78" s="10" t="str">
        <f t="shared" ca="1" si="228"/>
        <v>-</v>
      </c>
      <c r="I78" s="10" t="str">
        <f t="shared" ca="1" si="229"/>
        <v>-</v>
      </c>
      <c r="J78" s="10"/>
      <c r="K78" s="10" t="str">
        <f t="shared" ca="1" si="230"/>
        <v>-</v>
      </c>
      <c r="L78" s="10" t="str">
        <f t="shared" ca="1" si="231"/>
        <v>-</v>
      </c>
      <c r="M78" s="10"/>
      <c r="N78" s="10" t="str">
        <f t="shared" ca="1" si="232"/>
        <v>-</v>
      </c>
      <c r="O78" s="10" t="str">
        <f t="shared" ca="1" si="233"/>
        <v>-</v>
      </c>
      <c r="P78" s="10"/>
      <c r="Q78" s="10" t="str">
        <f t="shared" ca="1" si="234"/>
        <v>-</v>
      </c>
      <c r="R78" s="10" t="str">
        <f t="shared" ca="1" si="235"/>
        <v>-</v>
      </c>
      <c r="S78" s="10"/>
      <c r="T78" s="10" t="str">
        <f t="shared" ca="1" si="236"/>
        <v>-</v>
      </c>
      <c r="U78" s="10" t="str">
        <f t="shared" ca="1" si="237"/>
        <v>-</v>
      </c>
      <c r="V78" s="20"/>
      <c r="W78" s="663"/>
      <c r="X78" s="27">
        <f ca="1">Horarios!C78</f>
        <v>46195.791666666664</v>
      </c>
      <c r="Y78" s="28">
        <f ca="1">Horarios!C78</f>
        <v>46195.791666666664</v>
      </c>
      <c r="Z78" s="29" t="str">
        <f>$Z$6</f>
        <v>J2</v>
      </c>
      <c r="AA78" s="30" t="str">
        <f ca="1">A77</f>
        <v>Argentina</v>
      </c>
      <c r="AB78" s="55" t="str">
        <f ca="1">+INDEX(Equipos!$L$2:$L$49,MATCH(WORLDCUP!AA78,Equipos!$K$2:$K$49,0))</f>
        <v>🇦🇷</v>
      </c>
      <c r="AC78" s="56">
        <v>1</v>
      </c>
      <c r="AD78" s="57">
        <v>0</v>
      </c>
      <c r="AE78" s="58" t="str">
        <f ca="1">+INDEX(Equipos!$L$2:$L$49,MATCH(WORLDCUP!AF78,Equipos!$K$2:$K$49,0))</f>
        <v>🇦🇹</v>
      </c>
      <c r="AF78" s="35" t="str">
        <f ca="1">A79</f>
        <v>Austria</v>
      </c>
      <c r="AG78" s="335">
        <f t="shared" si="238"/>
        <v>1</v>
      </c>
      <c r="AH78" s="204">
        <v>43</v>
      </c>
      <c r="AI78" s="190" t="str">
        <f>AJ78&amp;$B$76</f>
        <v>1J</v>
      </c>
      <c r="AJ78" s="43">
        <v>1</v>
      </c>
      <c r="AK78" s="37" t="str">
        <f ca="1">+INDEX(Equipos!$L$2:$L$49,MATCH(WORLDCUP!AL78,Equipos!$K$2:$K$49,0))</f>
        <v>🇦🇷</v>
      </c>
      <c r="AL78" s="37" t="str">
        <f ca="1">IFERROR(INDEX($BD$6:$BD$53,MATCH(AI78,$BN$6:$BN$53,0)),"")</f>
        <v>Argentina</v>
      </c>
      <c r="AM78" s="38">
        <f t="shared" ref="AM78:AT81" ca="1" si="241">INDEX($BE$6:$BN$53,MATCH($AL78,$BD$6:$BD$53,0),MATCH(AM$5,$BE$5:$BN$5,0))</f>
        <v>9</v>
      </c>
      <c r="AN78" s="39">
        <f t="shared" ca="1" si="241"/>
        <v>3</v>
      </c>
      <c r="AO78" s="39">
        <f t="shared" ca="1" si="241"/>
        <v>3</v>
      </c>
      <c r="AP78" s="39">
        <f t="shared" ca="1" si="241"/>
        <v>0</v>
      </c>
      <c r="AQ78" s="39">
        <f t="shared" ca="1" si="241"/>
        <v>0</v>
      </c>
      <c r="AR78" s="39">
        <f t="shared" ca="1" si="241"/>
        <v>5</v>
      </c>
      <c r="AS78" s="39">
        <f t="shared" ca="1" si="241"/>
        <v>1</v>
      </c>
      <c r="AT78" s="45">
        <f t="shared" ca="1" si="241"/>
        <v>4</v>
      </c>
      <c r="AU78" s="342">
        <f ca="1">INDEX($DJ$6:$DJ$53,MATCH(AI78,$DN$6:$DN$53,0))</f>
        <v>1</v>
      </c>
      <c r="AV78" s="191" t="str">
        <f ca="1">INDEX($BD$6:$BD$53,MATCH(AI78,$BM$6:$BM$53,0))</f>
        <v>Argentina</v>
      </c>
      <c r="AW78" s="219"/>
      <c r="AX78" s="179"/>
      <c r="AY78" s="210" t="str">
        <f ca="1">+A77</f>
        <v>Argentina</v>
      </c>
      <c r="AZ78" s="211"/>
      <c r="BA78" s="155"/>
      <c r="BN78" s="624"/>
      <c r="BO78" s="624"/>
      <c r="BR78" s="624"/>
      <c r="BS78" s="624"/>
      <c r="BT78" s="624"/>
      <c r="BU78" s="624"/>
      <c r="BV78" s="624"/>
      <c r="BW78" s="624"/>
      <c r="BX78" s="624"/>
      <c r="BY78" s="624"/>
      <c r="BZ78" s="624"/>
      <c r="CA78" s="624"/>
      <c r="CB78" s="624"/>
      <c r="CC78" s="624"/>
      <c r="CD78" s="624"/>
      <c r="CE78" s="624"/>
      <c r="CF78" s="624"/>
      <c r="CG78" s="624"/>
      <c r="CH78" s="624"/>
      <c r="CI78" s="624"/>
      <c r="CJ78" s="624"/>
      <c r="CK78" s="624"/>
      <c r="CL78" s="624"/>
      <c r="CM78" s="624"/>
      <c r="CN78" s="624"/>
      <c r="CO78" s="624"/>
      <c r="CP78" s="624"/>
      <c r="CQ78" s="624"/>
      <c r="CR78" s="624"/>
      <c r="CS78" s="624"/>
      <c r="CT78" s="624"/>
      <c r="CV78" s="624"/>
    </row>
    <row r="79" spans="1:119" ht="16.05" customHeight="1">
      <c r="A79" s="646" t="str">
        <f ca="1">+Equipos!B40</f>
        <v>Austria</v>
      </c>
      <c r="B79" s="11"/>
      <c r="C79" s="10"/>
      <c r="D79" s="10" t="str">
        <f t="shared" si="225"/>
        <v>Empate</v>
      </c>
      <c r="E79" s="10" t="str">
        <f t="shared" ca="1" si="226"/>
        <v>P.3 (2)</v>
      </c>
      <c r="F79" s="10" t="str">
        <f t="shared" ca="1" si="227"/>
        <v>P.3 (2)</v>
      </c>
      <c r="G79" s="10"/>
      <c r="H79" s="10" t="str">
        <f t="shared" ca="1" si="228"/>
        <v>P.3 (2)</v>
      </c>
      <c r="I79" s="10" t="str">
        <f t="shared" ca="1" si="229"/>
        <v>P.3 (2)</v>
      </c>
      <c r="J79" s="10"/>
      <c r="K79" s="10" t="str">
        <f t="shared" ca="1" si="230"/>
        <v>P.3 (2)</v>
      </c>
      <c r="L79" s="10" t="str">
        <f t="shared" ca="1" si="231"/>
        <v>P.3 (2)</v>
      </c>
      <c r="M79" s="10"/>
      <c r="N79" s="10" t="str">
        <f t="shared" ca="1" si="232"/>
        <v>P.3 (2)</v>
      </c>
      <c r="O79" s="10" t="str">
        <f t="shared" ca="1" si="233"/>
        <v>P.3 (2)</v>
      </c>
      <c r="P79" s="10"/>
      <c r="Q79" s="10" t="str">
        <f t="shared" ca="1" si="234"/>
        <v>P.3 (2)</v>
      </c>
      <c r="R79" s="10" t="str">
        <f t="shared" ca="1" si="235"/>
        <v>P.3 (2)</v>
      </c>
      <c r="S79" s="10"/>
      <c r="T79" s="10" t="str">
        <f t="shared" ca="1" si="236"/>
        <v>P.3 (2)</v>
      </c>
      <c r="U79" s="10" t="str">
        <f t="shared" ca="1" si="237"/>
        <v>P.3 (2)</v>
      </c>
      <c r="V79" s="20"/>
      <c r="W79" s="663"/>
      <c r="X79" s="27">
        <f ca="1">Horarios!C79</f>
        <v>46196.208333333336</v>
      </c>
      <c r="Y79" s="28">
        <f ca="1">Horarios!C79</f>
        <v>46196.208333333336</v>
      </c>
      <c r="Z79" s="29" t="str">
        <f>$Z$6</f>
        <v>J2</v>
      </c>
      <c r="AA79" s="30" t="str">
        <f ca="1">A80</f>
        <v>Jordania</v>
      </c>
      <c r="AB79" s="55" t="str">
        <f ca="1">+INDEX(Equipos!$L$2:$L$49,MATCH(WORLDCUP!AA79,Equipos!$K$2:$K$49,0))</f>
        <v>🇯🇴</v>
      </c>
      <c r="AC79" s="56">
        <v>0</v>
      </c>
      <c r="AD79" s="57">
        <v>0</v>
      </c>
      <c r="AE79" s="58" t="str">
        <f ca="1">+INDEX(Equipos!$L$2:$L$49,MATCH(WORLDCUP!AF79,Equipos!$K$2:$K$49,0))</f>
        <v>🇩🇿</v>
      </c>
      <c r="AF79" s="35" t="str">
        <f ca="1">A78</f>
        <v>Argelia</v>
      </c>
      <c r="AG79" s="335">
        <f t="shared" si="238"/>
        <v>1</v>
      </c>
      <c r="AH79" s="204">
        <v>44</v>
      </c>
      <c r="AI79" s="190" t="str">
        <f t="shared" ref="AI79:AI81" si="242">AJ79&amp;$B$76</f>
        <v>2J</v>
      </c>
      <c r="AJ79" s="46">
        <v>2</v>
      </c>
      <c r="AK79" s="40" t="str">
        <f ca="1">+INDEX(Equipos!$L$2:$L$49,MATCH(WORLDCUP!AL79,Equipos!$K$2:$K$49,0))</f>
        <v>🇦🇹</v>
      </c>
      <c r="AL79" s="40" t="str">
        <f ca="1">IFERROR(INDEX($BD$6:$BD$53,MATCH(AI79,$BN$6:$BN$53,0)),"")</f>
        <v>Austria</v>
      </c>
      <c r="AM79" s="41">
        <f t="shared" ca="1" si="241"/>
        <v>6</v>
      </c>
      <c r="AN79" s="42">
        <f t="shared" ca="1" si="241"/>
        <v>3</v>
      </c>
      <c r="AO79" s="42">
        <f t="shared" ca="1" si="241"/>
        <v>2</v>
      </c>
      <c r="AP79" s="42">
        <f t="shared" ca="1" si="241"/>
        <v>0</v>
      </c>
      <c r="AQ79" s="42">
        <f t="shared" ca="1" si="241"/>
        <v>1</v>
      </c>
      <c r="AR79" s="42">
        <f t="shared" ca="1" si="241"/>
        <v>2</v>
      </c>
      <c r="AS79" s="42">
        <f t="shared" ca="1" si="241"/>
        <v>1</v>
      </c>
      <c r="AT79" s="48">
        <f t="shared" ca="1" si="241"/>
        <v>1</v>
      </c>
      <c r="AU79" s="342">
        <f ca="1">INDEX($DJ$6:$DJ$53,MATCH(AI79,$DN$6:$DN$53,0))</f>
        <v>1</v>
      </c>
      <c r="AV79" s="191" t="str">
        <f ca="1">INDEX($BD$6:$BD$53,MATCH(AI79,$BM$6:$BM$53,0))</f>
        <v>Austria</v>
      </c>
      <c r="AW79" s="219"/>
      <c r="AX79" s="179"/>
      <c r="AY79" s="212" t="str">
        <f ca="1">+A78</f>
        <v>Argelia</v>
      </c>
      <c r="AZ79" s="213"/>
      <c r="BA79" s="155"/>
      <c r="BN79" s="624"/>
      <c r="BO79" s="624"/>
      <c r="BR79" s="624"/>
      <c r="BS79" s="624"/>
      <c r="BT79" s="624"/>
      <c r="BU79" s="624"/>
      <c r="BV79" s="624"/>
      <c r="BW79" s="624"/>
      <c r="BX79" s="624"/>
      <c r="BY79" s="624"/>
      <c r="BZ79" s="624"/>
      <c r="CA79" s="624"/>
      <c r="CB79" s="624"/>
      <c r="CC79" s="624"/>
      <c r="CD79" s="624"/>
      <c r="CE79" s="624"/>
      <c r="CF79" s="624"/>
      <c r="CG79" s="624"/>
      <c r="CH79" s="624"/>
      <c r="CI79" s="624"/>
      <c r="CJ79" s="624"/>
      <c r="CK79" s="624"/>
      <c r="CL79" s="624"/>
      <c r="CM79" s="624"/>
      <c r="CN79" s="624"/>
      <c r="CO79" s="624"/>
      <c r="CP79" s="624"/>
      <c r="CQ79" s="624"/>
      <c r="CR79" s="624"/>
      <c r="CS79" s="624"/>
      <c r="CT79" s="624"/>
      <c r="CV79" s="624"/>
    </row>
    <row r="80" spans="1:119" ht="16.05" customHeight="1">
      <c r="A80" s="646" t="str">
        <f ca="1">+Equipos!B41</f>
        <v>Jordania</v>
      </c>
      <c r="B80" s="11"/>
      <c r="C80" s="10"/>
      <c r="D80" s="10" t="str">
        <f t="shared" si="225"/>
        <v>Visitante</v>
      </c>
      <c r="E80" s="10" t="str">
        <f t="shared" ca="1" si="226"/>
        <v>P.3 (2)</v>
      </c>
      <c r="F80" s="10" t="str">
        <f t="shared" ca="1" si="227"/>
        <v>-</v>
      </c>
      <c r="G80" s="10"/>
      <c r="H80" s="10" t="str">
        <f t="shared" ca="1" si="228"/>
        <v>P.3 (2)</v>
      </c>
      <c r="I80" s="10" t="str">
        <f t="shared" ca="1" si="229"/>
        <v>-</v>
      </c>
      <c r="J80" s="10"/>
      <c r="K80" s="10" t="str">
        <f t="shared" ca="1" si="230"/>
        <v>P.3 (2)</v>
      </c>
      <c r="L80" s="10" t="str">
        <f t="shared" ca="1" si="231"/>
        <v>-</v>
      </c>
      <c r="M80" s="10"/>
      <c r="N80" s="10" t="str">
        <f t="shared" ca="1" si="232"/>
        <v>P.3 (2)</v>
      </c>
      <c r="O80" s="10" t="str">
        <f t="shared" ca="1" si="233"/>
        <v>-</v>
      </c>
      <c r="P80" s="10"/>
      <c r="Q80" s="10" t="str">
        <f t="shared" ca="1" si="234"/>
        <v>P.3 (2)</v>
      </c>
      <c r="R80" s="10" t="str">
        <f t="shared" ca="1" si="235"/>
        <v>-</v>
      </c>
      <c r="S80" s="10"/>
      <c r="T80" s="10" t="str">
        <f t="shared" ca="1" si="236"/>
        <v>P.3 (2)</v>
      </c>
      <c r="U80" s="10" t="str">
        <f t="shared" ca="1" si="237"/>
        <v>-</v>
      </c>
      <c r="V80" s="20"/>
      <c r="W80" s="663"/>
      <c r="X80" s="27">
        <f ca="1">Horarios!C80</f>
        <v>46201.166666666664</v>
      </c>
      <c r="Y80" s="28">
        <f ca="1">Horarios!C80</f>
        <v>46201.166666666664</v>
      </c>
      <c r="Z80" s="29" t="str">
        <f>$Z$8</f>
        <v>J3</v>
      </c>
      <c r="AA80" s="30" t="str">
        <f ca="1">A78</f>
        <v>Argelia</v>
      </c>
      <c r="AB80" s="55" t="str">
        <f ca="1">+INDEX(Equipos!$L$2:$L$49,MATCH(WORLDCUP!AA80,Equipos!$K$2:$K$49,0))</f>
        <v>🇩🇿</v>
      </c>
      <c r="AC80" s="56">
        <v>0</v>
      </c>
      <c r="AD80" s="57">
        <v>1</v>
      </c>
      <c r="AE80" s="58" t="str">
        <f ca="1">+INDEX(Equipos!$L$2:$L$49,MATCH(WORLDCUP!AF80,Equipos!$K$2:$K$49,0))</f>
        <v>🇦🇹</v>
      </c>
      <c r="AF80" s="35" t="str">
        <f ca="1">A79</f>
        <v>Austria</v>
      </c>
      <c r="AG80" s="335">
        <f t="shared" si="238"/>
        <v>1</v>
      </c>
      <c r="AH80" s="204">
        <v>69</v>
      </c>
      <c r="AI80" s="190" t="str">
        <f t="shared" si="242"/>
        <v>3J</v>
      </c>
      <c r="AJ80" s="46">
        <v>3</v>
      </c>
      <c r="AK80" s="40" t="str">
        <f ca="1">+INDEX(Equipos!$L$2:$L$49,MATCH(WORLDCUP!AL80,Equipos!$K$2:$K$49,0))</f>
        <v>🇩🇿</v>
      </c>
      <c r="AL80" s="40" t="str">
        <f ca="1">IFERROR(INDEX($BD$6:$BD$53,MATCH(AI80,$BN$6:$BN$53,0)),"")</f>
        <v>Argelia</v>
      </c>
      <c r="AM80" s="41">
        <f t="shared" ca="1" si="241"/>
        <v>1</v>
      </c>
      <c r="AN80" s="42">
        <f t="shared" ca="1" si="241"/>
        <v>3</v>
      </c>
      <c r="AO80" s="42">
        <f t="shared" ca="1" si="241"/>
        <v>0</v>
      </c>
      <c r="AP80" s="42">
        <f t="shared" ca="1" si="241"/>
        <v>1</v>
      </c>
      <c r="AQ80" s="42">
        <f t="shared" ca="1" si="241"/>
        <v>2</v>
      </c>
      <c r="AR80" s="42">
        <f t="shared" ca="1" si="241"/>
        <v>1</v>
      </c>
      <c r="AS80" s="42">
        <f t="shared" ca="1" si="241"/>
        <v>3</v>
      </c>
      <c r="AT80" s="48">
        <f t="shared" ca="1" si="241"/>
        <v>-2</v>
      </c>
      <c r="AU80" s="342">
        <f ca="1">INDEX($DJ$6:$DJ$53,MATCH(AI80,$DN$6:$DN$53,0))</f>
        <v>1</v>
      </c>
      <c r="AV80" s="191" t="str">
        <f ca="1">INDEX($BD$6:$BD$53,MATCH(AI80,$BM$6:$BM$53,0))</f>
        <v>Argelia</v>
      </c>
      <c r="AW80" s="219">
        <v>3</v>
      </c>
      <c r="AX80" s="179"/>
      <c r="AY80" s="210" t="str">
        <f ca="1">+A79</f>
        <v>Austria</v>
      </c>
      <c r="AZ80" s="211"/>
      <c r="BA80" s="155"/>
      <c r="BN80" s="624"/>
      <c r="BO80" s="624"/>
      <c r="BR80" s="624"/>
      <c r="BS80" s="624"/>
      <c r="BT80" s="624"/>
      <c r="BU80" s="624"/>
      <c r="BV80" s="624"/>
      <c r="BW80" s="624"/>
      <c r="BX80" s="624"/>
      <c r="BY80" s="624"/>
      <c r="BZ80" s="624"/>
      <c r="CA80" s="624"/>
      <c r="CB80" s="624"/>
      <c r="CC80" s="624"/>
      <c r="CD80" s="624"/>
      <c r="CE80" s="624"/>
      <c r="CF80" s="624"/>
      <c r="CG80" s="624"/>
      <c r="CH80" s="624"/>
      <c r="CI80" s="624"/>
      <c r="CJ80" s="624"/>
      <c r="CK80" s="624"/>
      <c r="CL80" s="624"/>
      <c r="CM80" s="624"/>
      <c r="CN80" s="624"/>
      <c r="CO80" s="624"/>
      <c r="CP80" s="624"/>
      <c r="CQ80" s="624"/>
      <c r="CR80" s="624"/>
      <c r="CS80" s="624"/>
      <c r="CT80" s="624"/>
      <c r="CV80" s="624"/>
    </row>
    <row r="81" spans="1:100" ht="16.95" customHeight="1" thickBot="1">
      <c r="A81" s="643"/>
      <c r="B81" s="643"/>
      <c r="C81" s="643"/>
      <c r="D81" s="10" t="str">
        <f t="shared" si="225"/>
        <v>Visitante</v>
      </c>
      <c r="E81" s="10" t="str">
        <f t="shared" ca="1" si="226"/>
        <v>P.3 (2)</v>
      </c>
      <c r="F81" s="10" t="str">
        <f t="shared" ca="1" si="227"/>
        <v>-</v>
      </c>
      <c r="G81" s="10"/>
      <c r="H81" s="10" t="str">
        <f t="shared" ca="1" si="228"/>
        <v>P.3 (2)</v>
      </c>
      <c r="I81" s="10" t="str">
        <f t="shared" ca="1" si="229"/>
        <v>-</v>
      </c>
      <c r="J81" s="10"/>
      <c r="K81" s="10" t="str">
        <f t="shared" ca="1" si="230"/>
        <v>P.3 (2)</v>
      </c>
      <c r="L81" s="10" t="str">
        <f t="shared" ca="1" si="231"/>
        <v>-</v>
      </c>
      <c r="M81" s="10"/>
      <c r="N81" s="10" t="str">
        <f t="shared" ca="1" si="232"/>
        <v>P.3 (2)</v>
      </c>
      <c r="O81" s="10" t="str">
        <f t="shared" ca="1" si="233"/>
        <v>-</v>
      </c>
      <c r="P81" s="10"/>
      <c r="Q81" s="10" t="str">
        <f t="shared" ca="1" si="234"/>
        <v>P.3 (2)</v>
      </c>
      <c r="R81" s="10" t="str">
        <f t="shared" ca="1" si="235"/>
        <v>-</v>
      </c>
      <c r="S81" s="10"/>
      <c r="T81" s="10" t="str">
        <f t="shared" ca="1" si="236"/>
        <v>P.3 (2)</v>
      </c>
      <c r="U81" s="10" t="str">
        <f t="shared" ca="1" si="237"/>
        <v>-</v>
      </c>
      <c r="V81" s="20"/>
      <c r="W81" s="664"/>
      <c r="X81" s="31">
        <f ca="1">Horarios!C81</f>
        <v>46201.166666666664</v>
      </c>
      <c r="Y81" s="32">
        <f ca="1">Horarios!C81</f>
        <v>46201.166666666664</v>
      </c>
      <c r="Z81" s="33" t="str">
        <f>$Z$8</f>
        <v>J3</v>
      </c>
      <c r="AA81" s="34" t="str">
        <f ca="1">A80</f>
        <v>Jordania</v>
      </c>
      <c r="AB81" s="59" t="str">
        <f ca="1">+INDEX(Equipos!$L$2:$L$49,MATCH(WORLDCUP!AA81,Equipos!$K$2:$K$49,0))</f>
        <v>🇯🇴</v>
      </c>
      <c r="AC81" s="60">
        <v>0</v>
      </c>
      <c r="AD81" s="61">
        <v>2</v>
      </c>
      <c r="AE81" s="62" t="str">
        <f ca="1">+INDEX(Equipos!$L$2:$L$49,MATCH(WORLDCUP!AF81,Equipos!$K$2:$K$49,0))</f>
        <v>🇦🇷</v>
      </c>
      <c r="AF81" s="36" t="str">
        <f ca="1">A77</f>
        <v>Argentina</v>
      </c>
      <c r="AG81" s="335">
        <f t="shared" si="238"/>
        <v>1</v>
      </c>
      <c r="AH81" s="204">
        <v>70</v>
      </c>
      <c r="AI81" s="190" t="str">
        <f t="shared" si="242"/>
        <v>4J</v>
      </c>
      <c r="AJ81" s="49">
        <v>4</v>
      </c>
      <c r="AK81" s="51" t="str">
        <f ca="1">+INDEX(Equipos!$L$2:$L$49,MATCH(WORLDCUP!AL81,Equipos!$K$2:$K$49,0))</f>
        <v>🇯🇴</v>
      </c>
      <c r="AL81" s="51" t="str">
        <f ca="1">IFERROR(INDEX($BD$6:$BD$53,MATCH(AI81,$BN$6:$BN$53,0)),"")</f>
        <v>Jordania</v>
      </c>
      <c r="AM81" s="52">
        <f t="shared" ca="1" si="241"/>
        <v>1</v>
      </c>
      <c r="AN81" s="53">
        <f t="shared" ca="1" si="241"/>
        <v>3</v>
      </c>
      <c r="AO81" s="53">
        <f t="shared" ca="1" si="241"/>
        <v>0</v>
      </c>
      <c r="AP81" s="53">
        <f t="shared" ca="1" si="241"/>
        <v>1</v>
      </c>
      <c r="AQ81" s="53">
        <f t="shared" ca="1" si="241"/>
        <v>2</v>
      </c>
      <c r="AR81" s="53">
        <f t="shared" ca="1" si="241"/>
        <v>0</v>
      </c>
      <c r="AS81" s="53">
        <f t="shared" ca="1" si="241"/>
        <v>3</v>
      </c>
      <c r="AT81" s="54">
        <f t="shared" ca="1" si="241"/>
        <v>-3</v>
      </c>
      <c r="AU81" s="342">
        <f ca="1">INDEX($DJ$6:$DJ$53,MATCH(AI81,$DN$6:$DN$53,0))</f>
        <v>1</v>
      </c>
      <c r="AV81" s="191" t="str">
        <f ca="1">INDEX($BD$6:$BD$53,MATCH(AI81,$BM$6:$BM$53,0))</f>
        <v>Jordania</v>
      </c>
      <c r="AW81" s="219">
        <v>4</v>
      </c>
      <c r="AX81" s="179"/>
      <c r="AY81" s="214" t="str">
        <f ca="1">+A80</f>
        <v>Jordania</v>
      </c>
      <c r="AZ81" s="215"/>
      <c r="BA81" s="155"/>
      <c r="BN81" s="624"/>
      <c r="BO81" s="624"/>
      <c r="BR81" s="624"/>
      <c r="BS81" s="624"/>
      <c r="BT81" s="624"/>
      <c r="BU81" s="624"/>
      <c r="BV81" s="624"/>
      <c r="BW81" s="624"/>
      <c r="BX81" s="624"/>
      <c r="BY81" s="624"/>
      <c r="BZ81" s="624"/>
      <c r="CA81" s="624"/>
      <c r="CB81" s="624"/>
      <c r="CC81" s="624"/>
      <c r="CD81" s="624"/>
      <c r="CE81" s="624"/>
      <c r="CF81" s="624"/>
      <c r="CG81" s="624"/>
      <c r="CH81" s="624"/>
      <c r="CI81" s="624"/>
      <c r="CJ81" s="624"/>
      <c r="CK81" s="624"/>
      <c r="CL81" s="624"/>
      <c r="CM81" s="624"/>
      <c r="CN81" s="624"/>
      <c r="CO81" s="624"/>
      <c r="CP81" s="624"/>
      <c r="CQ81" s="624"/>
      <c r="CR81" s="624"/>
      <c r="CS81" s="624"/>
      <c r="CT81" s="624"/>
      <c r="CV81" s="624"/>
    </row>
    <row r="82" spans="1:100" ht="15" thickBot="1">
      <c r="A82" s="643"/>
      <c r="B82" s="643"/>
      <c r="C82" s="643"/>
      <c r="D82" s="10"/>
      <c r="E82" s="10"/>
      <c r="F82" s="10"/>
      <c r="G82" s="10"/>
      <c r="H82" s="10"/>
      <c r="I82" s="10"/>
      <c r="J82" s="10"/>
      <c r="K82" s="10"/>
      <c r="L82" s="10"/>
      <c r="M82" s="10"/>
      <c r="N82" s="10"/>
      <c r="O82" s="10"/>
      <c r="P82" s="10"/>
      <c r="Q82" s="10"/>
      <c r="R82" s="10"/>
      <c r="S82" s="10"/>
      <c r="T82" s="10"/>
      <c r="U82" s="10"/>
      <c r="V82" s="20"/>
      <c r="W82" s="162"/>
      <c r="X82" s="163"/>
      <c r="Y82" s="162"/>
      <c r="Z82" s="164"/>
      <c r="AA82" s="165"/>
      <c r="AB82" s="166"/>
      <c r="AC82" s="159"/>
      <c r="AD82" s="159"/>
      <c r="AE82" s="166"/>
      <c r="AF82" s="167"/>
      <c r="AG82" s="337"/>
      <c r="AH82" s="204"/>
      <c r="AI82" s="189"/>
      <c r="AJ82" s="168"/>
      <c r="AK82" s="169"/>
      <c r="AL82" s="170"/>
      <c r="AM82" s="171"/>
      <c r="AN82" s="168"/>
      <c r="AO82" s="168"/>
      <c r="AP82" s="168"/>
      <c r="AQ82" s="168"/>
      <c r="AR82" s="168"/>
      <c r="AS82" s="168"/>
      <c r="AT82" s="168"/>
      <c r="AU82" s="342"/>
      <c r="AV82" s="198"/>
      <c r="AW82" s="220"/>
      <c r="AX82" s="179"/>
      <c r="AY82" s="162"/>
      <c r="AZ82" s="163"/>
      <c r="BA82" s="155"/>
      <c r="BN82" s="624"/>
      <c r="BO82" s="624"/>
      <c r="BR82" s="624"/>
      <c r="BS82" s="624"/>
      <c r="BT82" s="624"/>
      <c r="BU82" s="624"/>
      <c r="BV82" s="624"/>
      <c r="BW82" s="624"/>
      <c r="BX82" s="624"/>
      <c r="BY82" s="624"/>
      <c r="BZ82" s="624"/>
      <c r="CA82" s="624"/>
      <c r="CB82" s="624"/>
      <c r="CC82" s="624"/>
      <c r="CD82" s="624"/>
      <c r="CE82" s="624"/>
      <c r="CF82" s="624"/>
      <c r="CG82" s="624"/>
      <c r="CH82" s="624"/>
      <c r="CI82" s="624"/>
      <c r="CJ82" s="624"/>
      <c r="CK82" s="624"/>
      <c r="CL82" s="624"/>
      <c r="CM82" s="624"/>
      <c r="CN82" s="624"/>
      <c r="CO82" s="624"/>
      <c r="CP82" s="624"/>
      <c r="CQ82" s="624"/>
      <c r="CR82" s="624"/>
      <c r="CS82" s="624"/>
      <c r="CT82" s="624"/>
      <c r="CV82" s="624"/>
    </row>
    <row r="83" spans="1:100" ht="15" thickBot="1">
      <c r="A83" s="643"/>
      <c r="B83" s="11"/>
      <c r="C83" s="643"/>
      <c r="D83" s="643"/>
      <c r="E83" s="643"/>
      <c r="F83" s="643"/>
      <c r="G83" s="643"/>
      <c r="H83" s="643"/>
      <c r="I83" s="643"/>
      <c r="J83" s="643"/>
      <c r="K83" s="643"/>
      <c r="L83" s="643"/>
      <c r="M83" s="643"/>
      <c r="N83" s="10"/>
      <c r="O83" s="10"/>
      <c r="P83" s="10"/>
      <c r="Q83" s="10"/>
      <c r="R83" s="10"/>
      <c r="S83" s="10"/>
      <c r="T83" s="10"/>
      <c r="U83" s="10"/>
      <c r="V83" s="20"/>
      <c r="W83" s="9"/>
      <c r="X83" s="77" t="str">
        <f>X3</f>
        <v>Fecha</v>
      </c>
      <c r="Y83" s="77" t="str">
        <f>Y3</f>
        <v>Hora</v>
      </c>
      <c r="Z83" s="63" t="str">
        <f>Z3</f>
        <v>Jor.</v>
      </c>
      <c r="AA83" s="65" t="str">
        <f>AA3</f>
        <v>Casa</v>
      </c>
      <c r="AB83" s="64"/>
      <c r="AC83" s="63" t="str">
        <f>AC3</f>
        <v>Gol</v>
      </c>
      <c r="AD83" s="63" t="str">
        <f>AD3</f>
        <v>Gol</v>
      </c>
      <c r="AE83" s="64"/>
      <c r="AF83" s="66" t="str">
        <f>AF3</f>
        <v>Fuera</v>
      </c>
      <c r="AG83" s="336"/>
      <c r="AH83" s="204"/>
      <c r="AI83" s="188"/>
      <c r="AJ83" s="170"/>
      <c r="AK83" s="172"/>
      <c r="AL83" s="170"/>
      <c r="AM83" s="170"/>
      <c r="AN83" s="170"/>
      <c r="AO83" s="170"/>
      <c r="AP83" s="170"/>
      <c r="AQ83" s="170"/>
      <c r="AR83" s="170"/>
      <c r="AS83" s="170"/>
      <c r="AT83" s="170"/>
      <c r="AU83" s="343"/>
      <c r="AV83" s="197"/>
      <c r="AW83" s="221"/>
      <c r="AX83" s="180"/>
      <c r="AY83" s="162"/>
      <c r="AZ83" s="163"/>
      <c r="BA83" s="155"/>
    </row>
    <row r="84" spans="1:100" ht="15" customHeight="1" thickBot="1">
      <c r="A84" s="645" t="s">
        <v>32</v>
      </c>
      <c r="B84" s="11" t="s">
        <v>456</v>
      </c>
      <c r="C84" s="441">
        <f>COUNTIF(Equipos!$C$2:$C$49,WORLDCUP!B84)</f>
        <v>4</v>
      </c>
      <c r="D84" s="10" t="str">
        <f t="shared" ref="D84:D89" si="243">IF(OR(AC84="",AD84=""),"Pendiente",IF(AC84&gt;AD84,"Local",IF(AC84&lt;AD84,"Visitante","Empate")))</f>
        <v>Local</v>
      </c>
      <c r="E84" s="10" t="str">
        <f t="shared" ref="E84:E89" ca="1" si="244">IF(D84="Pendiente","-",INDEX($BR$6:$BR$53,MATCH($AA84,$BD$6:$BD$53,0)))</f>
        <v>-</v>
      </c>
      <c r="F84" s="10" t="str">
        <f t="shared" ref="F84:F89" ca="1" si="245">IF(D84="Pendiente","-",INDEX($BR$6:$BR$53,MATCH($AF84,$BD$6:$BD$53,0)))</f>
        <v>P.3 (2)</v>
      </c>
      <c r="G84" s="10"/>
      <c r="H84" s="10" t="str">
        <f t="shared" ref="H84:H89" ca="1" si="246">IF(D84="Pendiente","-",INDEX($BX$6:$BX$53,MATCH($AA84,$BD$6:$BD$53,0)))</f>
        <v>-</v>
      </c>
      <c r="I84" s="10" t="str">
        <f t="shared" ref="I84:I89" ca="1" si="247">IF(D84="Pendiente","-",INDEX($BX$6:$BX$53,MATCH($AF84,$BD$6:$BD$53,0)))</f>
        <v>P.3 (2)</v>
      </c>
      <c r="J84" s="10"/>
      <c r="K84" s="10" t="str">
        <f t="shared" ref="K84:K89" ca="1" si="248">IF(D84="Pendiente","-",INDEX($CC$6:$CC$53,MATCH($AA84,$BD$6:$BD$53,0)))</f>
        <v>-</v>
      </c>
      <c r="L84" s="10" t="str">
        <f t="shared" ref="L84:L89" ca="1" si="249">IF(D84="Pendiente","-",INDEX($CC$6:$CC$53,MATCH($AF84,$BD$6:$BD$53,0)))</f>
        <v>P.3 (2)</v>
      </c>
      <c r="M84" s="10"/>
      <c r="N84" s="10" t="str">
        <f t="shared" ref="N84:N89" ca="1" si="250">IF(D84="Pendiente","-",INDEX($CF$6:$CF$53,MATCH($AA84,$BD$6:$BD$53,0)))</f>
        <v>-</v>
      </c>
      <c r="O84" s="10" t="str">
        <f t="shared" ref="O84:O89" ca="1" si="251">IF(D84="Pendiente","-",INDEX($CF$6:$CF$53,MATCH($AF84,$BD$6:$BD$53,0)))</f>
        <v>P.3 (2)</v>
      </c>
      <c r="P84" s="10"/>
      <c r="Q84" s="10" t="str">
        <f t="shared" ref="Q84:Q89" ca="1" si="252">IF(D84="Pendiente","-",INDEX($CL$6:$CL$53,MATCH($AA84,$BD$6:$BD$53,0)))</f>
        <v>-</v>
      </c>
      <c r="R84" s="10" t="str">
        <f t="shared" ref="R84:R89" ca="1" si="253">IF(D84="Pendiente","-",INDEX($CL$6:$CL$53,MATCH($AF84,$BD$6:$BD$53,0)))</f>
        <v>P.3 (2)</v>
      </c>
      <c r="S84" s="10"/>
      <c r="T84" s="10" t="str">
        <f t="shared" ref="T84:T89" ca="1" si="254">IF(D84="Pendiente","-",INDEX($CQ$6:$CQ$53,MATCH($AA84,$BD$6:$BD$53,0)))</f>
        <v>-</v>
      </c>
      <c r="U84" s="10" t="str">
        <f t="shared" ref="U84:U89" ca="1" si="255">IF(D84="Pendiente","-",INDEX($CQ$6:$CQ$53,MATCH($AF84,$BD$6:$BD$53,0)))</f>
        <v>P.3 (2)</v>
      </c>
      <c r="V84" s="20"/>
      <c r="W84" s="669" t="s">
        <v>456</v>
      </c>
      <c r="X84" s="27">
        <f ca="1">Horarios!C84</f>
        <v>46190.791666666664</v>
      </c>
      <c r="Y84" s="28">
        <f ca="1">Horarios!C84</f>
        <v>46190.791666666664</v>
      </c>
      <c r="Z84" s="29" t="str">
        <f>$Z$4</f>
        <v>J1</v>
      </c>
      <c r="AA84" s="30" t="str">
        <f ca="1">A85</f>
        <v>Portugal</v>
      </c>
      <c r="AB84" s="55" t="str">
        <f ca="1">+INDEX(Equipos!$L$2:$L$49,MATCH(WORLDCUP!AA84,Equipos!$K$2:$K$49,0))</f>
        <v>🇵🇹</v>
      </c>
      <c r="AC84" s="56">
        <v>1</v>
      </c>
      <c r="AD84" s="57">
        <v>0</v>
      </c>
      <c r="AE84" s="58" t="str">
        <f ca="1">+INDEX(Equipos!$L$2:$L$49,MATCH(WORLDCUP!AF84,Equipos!$K$2:$K$49,0))</f>
        <v xml:space="preserve"> </v>
      </c>
      <c r="AF84" s="35" t="str">
        <f ca="1">A86</f>
        <v>PO 1: COD/JAM/NCL</v>
      </c>
      <c r="AG84" s="335">
        <f t="shared" ref="AG84:AG89" si="256">IF(NOT(OR(ISBLANK(AC84),ISBLANK(AD84))),1,0)</f>
        <v>1</v>
      </c>
      <c r="AH84" s="204">
        <v>23</v>
      </c>
      <c r="AI84" s="190"/>
      <c r="AJ84" s="67" t="str">
        <f>CONCATENATE(AJ3," ",B84)</f>
        <v>Grupo K</v>
      </c>
      <c r="AK84" s="68"/>
      <c r="AL84" s="68"/>
      <c r="AM84" s="68"/>
      <c r="AN84" s="68"/>
      <c r="AO84" s="68"/>
      <c r="AP84" s="68"/>
      <c r="AQ84" s="68"/>
      <c r="AR84" s="68"/>
      <c r="AS84" s="68"/>
      <c r="AT84" s="69"/>
      <c r="AU84" s="343"/>
      <c r="AV84" s="295" t="str">
        <f ca="1">IF(AU85&gt;0,$AV$3,"")</f>
        <v/>
      </c>
      <c r="AW84" s="175"/>
      <c r="AX84" s="175"/>
      <c r="AY84" s="162"/>
      <c r="AZ84" s="163"/>
      <c r="BA84" s="155"/>
      <c r="CV84" s="624"/>
    </row>
    <row r="85" spans="1:100" ht="16.05" customHeight="1">
      <c r="A85" s="646" t="str">
        <f ca="1">+Equipos!B42</f>
        <v>Portugal</v>
      </c>
      <c r="B85" s="11"/>
      <c r="C85" s="11"/>
      <c r="D85" s="10" t="str">
        <f t="shared" si="243"/>
        <v>Visitante</v>
      </c>
      <c r="E85" s="10" t="str">
        <f t="shared" ca="1" si="244"/>
        <v>P.3 (2)</v>
      </c>
      <c r="F85" s="10" t="str">
        <f t="shared" ca="1" si="245"/>
        <v>-</v>
      </c>
      <c r="G85" s="10"/>
      <c r="H85" s="10" t="str">
        <f t="shared" ca="1" si="246"/>
        <v>P.3 (2)</v>
      </c>
      <c r="I85" s="10" t="str">
        <f t="shared" ca="1" si="247"/>
        <v>-</v>
      </c>
      <c r="J85" s="10"/>
      <c r="K85" s="10" t="str">
        <f t="shared" ca="1" si="248"/>
        <v>P.3 (2)</v>
      </c>
      <c r="L85" s="10" t="str">
        <f t="shared" ca="1" si="249"/>
        <v>-</v>
      </c>
      <c r="M85" s="10"/>
      <c r="N85" s="10" t="str">
        <f t="shared" ca="1" si="250"/>
        <v>P.3 (2)</v>
      </c>
      <c r="O85" s="10" t="str">
        <f t="shared" ca="1" si="251"/>
        <v>-</v>
      </c>
      <c r="P85" s="10"/>
      <c r="Q85" s="10" t="str">
        <f t="shared" ca="1" si="252"/>
        <v>P.3 (2)</v>
      </c>
      <c r="R85" s="10" t="str">
        <f t="shared" ca="1" si="253"/>
        <v>-</v>
      </c>
      <c r="S85" s="10"/>
      <c r="T85" s="10" t="str">
        <f t="shared" ca="1" si="254"/>
        <v>P.3 (2)</v>
      </c>
      <c r="U85" s="10" t="str">
        <f t="shared" ca="1" si="255"/>
        <v>-</v>
      </c>
      <c r="V85" s="20"/>
      <c r="W85" s="669"/>
      <c r="X85" s="27">
        <f ca="1">Horarios!C85</f>
        <v>46191.166666666664</v>
      </c>
      <c r="Y85" s="28">
        <f ca="1">Horarios!C85</f>
        <v>46191.166666666664</v>
      </c>
      <c r="Z85" s="29" t="str">
        <f>$Z$4</f>
        <v>J1</v>
      </c>
      <c r="AA85" s="30" t="str">
        <f ca="1">A87</f>
        <v>Uzbekistán</v>
      </c>
      <c r="AB85" s="55" t="str">
        <f ca="1">+INDEX(Equipos!$L$2:$L$49,MATCH(WORLDCUP!AA85,Equipos!$K$2:$K$49,0))</f>
        <v>🇺🇿</v>
      </c>
      <c r="AC85" s="56">
        <v>0</v>
      </c>
      <c r="AD85" s="57">
        <v>2</v>
      </c>
      <c r="AE85" s="58" t="str">
        <f ca="1">+INDEX(Equipos!$L$2:$L$49,MATCH(WORLDCUP!AF85,Equipos!$K$2:$K$49,0))</f>
        <v>🇨🇴</v>
      </c>
      <c r="AF85" s="35" t="str">
        <f ca="1">A88</f>
        <v>Colombia</v>
      </c>
      <c r="AG85" s="335">
        <f t="shared" si="256"/>
        <v>1</v>
      </c>
      <c r="AH85" s="204">
        <v>24</v>
      </c>
      <c r="AI85" s="190"/>
      <c r="AJ85" s="70" t="str">
        <f>AJ5</f>
        <v>Pos</v>
      </c>
      <c r="AK85" s="71"/>
      <c r="AL85" s="72" t="str">
        <f t="shared" ref="AL85:AT85" si="257">AL5</f>
        <v>Selección</v>
      </c>
      <c r="AM85" s="71" t="str">
        <f t="shared" si="257"/>
        <v>Pts</v>
      </c>
      <c r="AN85" s="71" t="str">
        <f t="shared" si="257"/>
        <v>J</v>
      </c>
      <c r="AO85" s="71" t="str">
        <f t="shared" si="257"/>
        <v>G</v>
      </c>
      <c r="AP85" s="71" t="str">
        <f t="shared" si="257"/>
        <v>E</v>
      </c>
      <c r="AQ85" s="71" t="str">
        <f t="shared" si="257"/>
        <v>P</v>
      </c>
      <c r="AR85" s="71" t="str">
        <f t="shared" si="257"/>
        <v>GF</v>
      </c>
      <c r="AS85" s="71" t="str">
        <f t="shared" si="257"/>
        <v>GC</v>
      </c>
      <c r="AT85" s="73" t="str">
        <f t="shared" si="257"/>
        <v>DG</v>
      </c>
      <c r="AU85" s="343">
        <f t="shared" ref="AU85" ca="1" si="258">COUNTIF(AU86:AU89,"&gt;1")</f>
        <v>0</v>
      </c>
      <c r="AV85" s="201"/>
      <c r="AW85" s="175"/>
      <c r="AX85" s="175"/>
      <c r="AY85" s="216" t="str">
        <f>AL85</f>
        <v>Selección</v>
      </c>
      <c r="AZ85" s="217" t="str">
        <f>+Idiomas!$D$67</f>
        <v>Puntos penalizados</v>
      </c>
      <c r="BA85" s="155"/>
      <c r="BN85" s="428"/>
      <c r="BO85" s="428"/>
      <c r="BR85" s="428"/>
      <c r="BS85" s="428"/>
      <c r="BT85" s="428"/>
      <c r="BU85" s="428"/>
      <c r="BV85" s="428"/>
      <c r="BW85" s="428"/>
      <c r="BX85" s="428"/>
      <c r="BY85" s="428"/>
      <c r="BZ85" s="428"/>
      <c r="CA85" s="428"/>
      <c r="CB85" s="428"/>
      <c r="CC85" s="428"/>
      <c r="CD85" s="428"/>
      <c r="CE85" s="428"/>
      <c r="CF85" s="428"/>
      <c r="CG85" s="428"/>
      <c r="CH85" s="428"/>
      <c r="CI85" s="428"/>
      <c r="CJ85" s="428"/>
      <c r="CK85" s="428"/>
      <c r="CL85" s="428"/>
      <c r="CM85" s="428"/>
      <c r="CN85" s="428"/>
      <c r="CO85" s="428"/>
      <c r="CP85" s="428"/>
      <c r="CQ85" s="428"/>
      <c r="CR85" s="428"/>
      <c r="CS85" s="428"/>
      <c r="CT85" s="428"/>
      <c r="CV85" s="428"/>
    </row>
    <row r="86" spans="1:100" ht="16.05" customHeight="1">
      <c r="A86" s="646" t="str">
        <f ca="1">+Equipos!B43</f>
        <v>PO 1: COD/JAM/NCL</v>
      </c>
      <c r="B86" s="11"/>
      <c r="C86" s="429"/>
      <c r="D86" s="10" t="str">
        <f t="shared" si="243"/>
        <v>Local</v>
      </c>
      <c r="E86" s="10" t="str">
        <f t="shared" ca="1" si="244"/>
        <v>-</v>
      </c>
      <c r="F86" s="10" t="str">
        <f t="shared" ca="1" si="245"/>
        <v>P.3 (2)</v>
      </c>
      <c r="G86" s="10"/>
      <c r="H86" s="10" t="str">
        <f t="shared" ca="1" si="246"/>
        <v>-</v>
      </c>
      <c r="I86" s="10" t="str">
        <f t="shared" ca="1" si="247"/>
        <v>P.3 (2)</v>
      </c>
      <c r="J86" s="10"/>
      <c r="K86" s="10" t="str">
        <f t="shared" ca="1" si="248"/>
        <v>-</v>
      </c>
      <c r="L86" s="10" t="str">
        <f t="shared" ca="1" si="249"/>
        <v>P.3 (2)</v>
      </c>
      <c r="M86" s="10"/>
      <c r="N86" s="10" t="str">
        <f t="shared" ca="1" si="250"/>
        <v>-</v>
      </c>
      <c r="O86" s="10" t="str">
        <f t="shared" ca="1" si="251"/>
        <v>P.3 (2)</v>
      </c>
      <c r="P86" s="10"/>
      <c r="Q86" s="10" t="str">
        <f t="shared" ca="1" si="252"/>
        <v>-</v>
      </c>
      <c r="R86" s="10" t="str">
        <f t="shared" ca="1" si="253"/>
        <v>P.3 (2)</v>
      </c>
      <c r="S86" s="10"/>
      <c r="T86" s="10" t="str">
        <f t="shared" ca="1" si="254"/>
        <v>-</v>
      </c>
      <c r="U86" s="10" t="str">
        <f t="shared" ca="1" si="255"/>
        <v>P.3 (2)</v>
      </c>
      <c r="V86" s="20"/>
      <c r="W86" s="669"/>
      <c r="X86" s="27">
        <f ca="1">Horarios!C86</f>
        <v>46196.791666666664</v>
      </c>
      <c r="Y86" s="28">
        <f ca="1">Horarios!C86</f>
        <v>46196.791666666664</v>
      </c>
      <c r="Z86" s="29" t="str">
        <f>$Z$6</f>
        <v>J2</v>
      </c>
      <c r="AA86" s="30" t="str">
        <f ca="1">A85</f>
        <v>Portugal</v>
      </c>
      <c r="AB86" s="55" t="str">
        <f ca="1">+INDEX(Equipos!$L$2:$L$49,MATCH(WORLDCUP!AA86,Equipos!$K$2:$K$49,0))</f>
        <v>🇵🇹</v>
      </c>
      <c r="AC86" s="56">
        <v>1</v>
      </c>
      <c r="AD86" s="57">
        <v>0</v>
      </c>
      <c r="AE86" s="58" t="str">
        <f ca="1">+INDEX(Equipos!$L$2:$L$49,MATCH(WORLDCUP!AF86,Equipos!$K$2:$K$49,0))</f>
        <v>🇺🇿</v>
      </c>
      <c r="AF86" s="35" t="str">
        <f ca="1">A87</f>
        <v>Uzbekistán</v>
      </c>
      <c r="AG86" s="335">
        <f t="shared" si="256"/>
        <v>1</v>
      </c>
      <c r="AH86" s="204">
        <v>47</v>
      </c>
      <c r="AI86" s="190" t="str">
        <f>AJ86&amp;$B$84</f>
        <v>1K</v>
      </c>
      <c r="AJ86" s="43">
        <v>1</v>
      </c>
      <c r="AK86" s="37" t="str">
        <f ca="1">+INDEX(Equipos!$L$2:$L$49,MATCH(WORLDCUP!AL86,Equipos!$K$2:$K$49,0))</f>
        <v>🇨🇴</v>
      </c>
      <c r="AL86" s="37" t="str">
        <f ca="1">IFERROR(INDEX($BD$6:$BD$53,MATCH(AI86,$BN$6:$BN$53,0)),"")</f>
        <v>Colombia</v>
      </c>
      <c r="AM86" s="38">
        <f t="shared" ref="AM86:AT89" ca="1" si="259">INDEX($BE$6:$BN$53,MATCH($AL86,$BD$6:$BD$53,0),MATCH(AM$5,$BE$5:$BN$5,0))</f>
        <v>9</v>
      </c>
      <c r="AN86" s="39">
        <f t="shared" ca="1" si="259"/>
        <v>3</v>
      </c>
      <c r="AO86" s="39">
        <f t="shared" ca="1" si="259"/>
        <v>3</v>
      </c>
      <c r="AP86" s="39">
        <f t="shared" ca="1" si="259"/>
        <v>0</v>
      </c>
      <c r="AQ86" s="39">
        <f t="shared" ca="1" si="259"/>
        <v>0</v>
      </c>
      <c r="AR86" s="39">
        <f t="shared" ca="1" si="259"/>
        <v>4</v>
      </c>
      <c r="AS86" s="39">
        <f t="shared" ca="1" si="259"/>
        <v>0</v>
      </c>
      <c r="AT86" s="45">
        <f t="shared" ca="1" si="259"/>
        <v>4</v>
      </c>
      <c r="AU86" s="342">
        <f ca="1">INDEX($DJ$6:$DJ$53,MATCH(AI86,$DN$6:$DN$53,0))</f>
        <v>1</v>
      </c>
      <c r="AV86" s="191" t="str">
        <f ca="1">INDEX($BD$6:$BD$53,MATCH(AI86,$BM$6:$BM$53,0))</f>
        <v>Colombia</v>
      </c>
      <c r="AW86" s="219"/>
      <c r="AX86" s="179"/>
      <c r="AY86" s="210" t="str">
        <f ca="1">+A85</f>
        <v>Portugal</v>
      </c>
      <c r="AZ86" s="211"/>
      <c r="BA86" s="155"/>
      <c r="BN86" s="624"/>
      <c r="BO86" s="624"/>
      <c r="BR86" s="624"/>
      <c r="BS86" s="624"/>
      <c r="BT86" s="624"/>
      <c r="BU86" s="624"/>
      <c r="BV86" s="624"/>
      <c r="BW86" s="624"/>
      <c r="BX86" s="624"/>
      <c r="BY86" s="624"/>
      <c r="BZ86" s="624"/>
      <c r="CA86" s="624"/>
      <c r="CB86" s="624"/>
      <c r="CC86" s="624"/>
      <c r="CD86" s="624"/>
      <c r="CE86" s="624"/>
      <c r="CF86" s="624"/>
      <c r="CG86" s="624"/>
      <c r="CH86" s="624"/>
      <c r="CI86" s="624"/>
      <c r="CJ86" s="624"/>
      <c r="CK86" s="624"/>
      <c r="CL86" s="624"/>
      <c r="CM86" s="624"/>
      <c r="CN86" s="624"/>
      <c r="CO86" s="624"/>
      <c r="CP86" s="624"/>
      <c r="CQ86" s="624"/>
      <c r="CR86" s="624"/>
      <c r="CS86" s="624"/>
      <c r="CT86" s="624"/>
      <c r="CV86" s="624"/>
    </row>
    <row r="87" spans="1:100" ht="16.05" customHeight="1">
      <c r="A87" s="646" t="str">
        <f ca="1">+Equipos!B44</f>
        <v>Uzbekistán</v>
      </c>
      <c r="B87" s="11"/>
      <c r="C87" s="10"/>
      <c r="D87" s="10" t="str">
        <f t="shared" si="243"/>
        <v>Local</v>
      </c>
      <c r="E87" s="10" t="str">
        <f t="shared" ca="1" si="244"/>
        <v>-</v>
      </c>
      <c r="F87" s="10" t="str">
        <f t="shared" ca="1" si="245"/>
        <v>P.3 (2)</v>
      </c>
      <c r="G87" s="10"/>
      <c r="H87" s="10" t="str">
        <f t="shared" ca="1" si="246"/>
        <v>-</v>
      </c>
      <c r="I87" s="10" t="str">
        <f t="shared" ca="1" si="247"/>
        <v>P.3 (2)</v>
      </c>
      <c r="J87" s="10"/>
      <c r="K87" s="10" t="str">
        <f t="shared" ca="1" si="248"/>
        <v>-</v>
      </c>
      <c r="L87" s="10" t="str">
        <f t="shared" ca="1" si="249"/>
        <v>P.3 (2)</v>
      </c>
      <c r="M87" s="10"/>
      <c r="N87" s="10" t="str">
        <f t="shared" ca="1" si="250"/>
        <v>-</v>
      </c>
      <c r="O87" s="10" t="str">
        <f t="shared" ca="1" si="251"/>
        <v>P.3 (2)</v>
      </c>
      <c r="P87" s="10"/>
      <c r="Q87" s="10" t="str">
        <f t="shared" ca="1" si="252"/>
        <v>-</v>
      </c>
      <c r="R87" s="10" t="str">
        <f t="shared" ca="1" si="253"/>
        <v>P.3 (2)</v>
      </c>
      <c r="S87" s="10"/>
      <c r="T87" s="10" t="str">
        <f t="shared" ca="1" si="254"/>
        <v>-</v>
      </c>
      <c r="U87" s="10" t="str">
        <f t="shared" ca="1" si="255"/>
        <v>P.3 (2)</v>
      </c>
      <c r="V87" s="20"/>
      <c r="W87" s="669"/>
      <c r="X87" s="27">
        <f ca="1">Horarios!C87</f>
        <v>46197.166666666664</v>
      </c>
      <c r="Y87" s="28">
        <f ca="1">Horarios!C87</f>
        <v>46197.166666666664</v>
      </c>
      <c r="Z87" s="29" t="str">
        <f>$Z$6</f>
        <v>J2</v>
      </c>
      <c r="AA87" s="30" t="str">
        <f ca="1">A88</f>
        <v>Colombia</v>
      </c>
      <c r="AB87" s="55" t="str">
        <f ca="1">+INDEX(Equipos!$L$2:$L$49,MATCH(WORLDCUP!AA87,Equipos!$K$2:$K$49,0))</f>
        <v>🇨🇴</v>
      </c>
      <c r="AC87" s="56">
        <v>1</v>
      </c>
      <c r="AD87" s="57">
        <v>0</v>
      </c>
      <c r="AE87" s="58" t="str">
        <f ca="1">+INDEX(Equipos!$L$2:$L$49,MATCH(WORLDCUP!AF87,Equipos!$K$2:$K$49,0))</f>
        <v xml:space="preserve"> </v>
      </c>
      <c r="AF87" s="35" t="str">
        <f ca="1">A86</f>
        <v>PO 1: COD/JAM/NCL</v>
      </c>
      <c r="AG87" s="335">
        <f t="shared" si="256"/>
        <v>1</v>
      </c>
      <c r="AH87" s="204">
        <v>48</v>
      </c>
      <c r="AI87" s="190" t="str">
        <f t="shared" ref="AI87:AI89" si="260">AJ87&amp;$B$84</f>
        <v>2K</v>
      </c>
      <c r="AJ87" s="46">
        <v>2</v>
      </c>
      <c r="AK87" s="40" t="str">
        <f ca="1">+INDEX(Equipos!$L$2:$L$49,MATCH(WORLDCUP!AL87,Equipos!$K$2:$K$49,0))</f>
        <v>🇵🇹</v>
      </c>
      <c r="AL87" s="40" t="str">
        <f ca="1">IFERROR(INDEX($BD$6:$BD$53,MATCH(AI87,$BN$6:$BN$53,0)),"")</f>
        <v>Portugal</v>
      </c>
      <c r="AM87" s="41">
        <f t="shared" ca="1" si="259"/>
        <v>6</v>
      </c>
      <c r="AN87" s="42">
        <f t="shared" ca="1" si="259"/>
        <v>3</v>
      </c>
      <c r="AO87" s="42">
        <f t="shared" ca="1" si="259"/>
        <v>2</v>
      </c>
      <c r="AP87" s="42">
        <f t="shared" ca="1" si="259"/>
        <v>0</v>
      </c>
      <c r="AQ87" s="42">
        <f t="shared" ca="1" si="259"/>
        <v>1</v>
      </c>
      <c r="AR87" s="42">
        <f t="shared" ca="1" si="259"/>
        <v>2</v>
      </c>
      <c r="AS87" s="42">
        <f t="shared" ca="1" si="259"/>
        <v>1</v>
      </c>
      <c r="AT87" s="48">
        <f t="shared" ca="1" si="259"/>
        <v>1</v>
      </c>
      <c r="AU87" s="342">
        <f ca="1">INDEX($DJ$6:$DJ$53,MATCH(AI87,$DN$6:$DN$53,0))</f>
        <v>1</v>
      </c>
      <c r="AV87" s="191" t="str">
        <f ca="1">INDEX($BD$6:$BD$53,MATCH(AI87,$BM$6:$BM$53,0))</f>
        <v>Portugal</v>
      </c>
      <c r="AW87" s="219"/>
      <c r="AX87" s="179"/>
      <c r="AY87" s="212" t="str">
        <f ca="1">+A86</f>
        <v>PO 1: COD/JAM/NCL</v>
      </c>
      <c r="AZ87" s="213"/>
      <c r="BA87" s="155"/>
      <c r="BN87" s="624"/>
      <c r="BO87" s="624"/>
      <c r="BR87" s="624"/>
      <c r="BS87" s="624"/>
      <c r="BT87" s="624"/>
      <c r="BU87" s="624"/>
      <c r="BV87" s="624"/>
      <c r="BW87" s="624"/>
      <c r="BX87" s="624"/>
      <c r="BY87" s="624"/>
      <c r="BZ87" s="624"/>
      <c r="CA87" s="624"/>
      <c r="CB87" s="624"/>
      <c r="CC87" s="624"/>
      <c r="CD87" s="624"/>
      <c r="CE87" s="624"/>
      <c r="CF87" s="624"/>
      <c r="CG87" s="624"/>
      <c r="CH87" s="624"/>
      <c r="CI87" s="624"/>
      <c r="CJ87" s="624"/>
      <c r="CK87" s="624"/>
      <c r="CL87" s="624"/>
      <c r="CM87" s="624"/>
      <c r="CN87" s="624"/>
      <c r="CO87" s="624"/>
      <c r="CP87" s="624"/>
      <c r="CQ87" s="624"/>
      <c r="CR87" s="624"/>
      <c r="CS87" s="624"/>
      <c r="CT87" s="624"/>
      <c r="CV87" s="624"/>
    </row>
    <row r="88" spans="1:100" ht="16.05" customHeight="1">
      <c r="A88" s="646" t="str">
        <f ca="1">+Equipos!B45</f>
        <v>Colombia</v>
      </c>
      <c r="B88" s="11"/>
      <c r="C88" s="10"/>
      <c r="D88" s="10" t="str">
        <f t="shared" si="243"/>
        <v>Local</v>
      </c>
      <c r="E88" s="10" t="str">
        <f t="shared" ca="1" si="244"/>
        <v>-</v>
      </c>
      <c r="F88" s="10" t="str">
        <f t="shared" ca="1" si="245"/>
        <v>-</v>
      </c>
      <c r="G88" s="10"/>
      <c r="H88" s="10" t="str">
        <f t="shared" ca="1" si="246"/>
        <v>-</v>
      </c>
      <c r="I88" s="10" t="str">
        <f t="shared" ca="1" si="247"/>
        <v>-</v>
      </c>
      <c r="J88" s="10"/>
      <c r="K88" s="10" t="str">
        <f t="shared" ca="1" si="248"/>
        <v>-</v>
      </c>
      <c r="L88" s="10" t="str">
        <f t="shared" ca="1" si="249"/>
        <v>-</v>
      </c>
      <c r="M88" s="10"/>
      <c r="N88" s="10" t="str">
        <f t="shared" ca="1" si="250"/>
        <v>-</v>
      </c>
      <c r="O88" s="10" t="str">
        <f t="shared" ca="1" si="251"/>
        <v>-</v>
      </c>
      <c r="P88" s="10"/>
      <c r="Q88" s="10" t="str">
        <f t="shared" ca="1" si="252"/>
        <v>-</v>
      </c>
      <c r="R88" s="10" t="str">
        <f t="shared" ca="1" si="253"/>
        <v>-</v>
      </c>
      <c r="S88" s="10"/>
      <c r="T88" s="10" t="str">
        <f t="shared" ca="1" si="254"/>
        <v>-</v>
      </c>
      <c r="U88" s="10" t="str">
        <f t="shared" ca="1" si="255"/>
        <v>-</v>
      </c>
      <c r="V88" s="20"/>
      <c r="W88" s="669"/>
      <c r="X88" s="27">
        <f ca="1">Horarios!C88</f>
        <v>46201.0625</v>
      </c>
      <c r="Y88" s="28">
        <f ca="1">Horarios!C88</f>
        <v>46201.0625</v>
      </c>
      <c r="Z88" s="29" t="str">
        <f>$Z$8</f>
        <v>J3</v>
      </c>
      <c r="AA88" s="30" t="str">
        <f ca="1">A88</f>
        <v>Colombia</v>
      </c>
      <c r="AB88" s="55" t="str">
        <f ca="1">+INDEX(Equipos!$L$2:$L$49,MATCH(WORLDCUP!AA88,Equipos!$K$2:$K$49,0))</f>
        <v>🇨🇴</v>
      </c>
      <c r="AC88" s="56">
        <v>1</v>
      </c>
      <c r="AD88" s="57">
        <v>0</v>
      </c>
      <c r="AE88" s="58" t="str">
        <f ca="1">+INDEX(Equipos!$L$2:$L$49,MATCH(WORLDCUP!AF88,Equipos!$K$2:$K$49,0))</f>
        <v>🇵🇹</v>
      </c>
      <c r="AF88" s="35" t="str">
        <f ca="1">A85</f>
        <v>Portugal</v>
      </c>
      <c r="AG88" s="335">
        <f t="shared" si="256"/>
        <v>1</v>
      </c>
      <c r="AH88" s="204">
        <v>71</v>
      </c>
      <c r="AI88" s="190" t="str">
        <f t="shared" si="260"/>
        <v>3K</v>
      </c>
      <c r="AJ88" s="46">
        <v>3</v>
      </c>
      <c r="AK88" s="40" t="str">
        <f ca="1">+INDEX(Equipos!$L$2:$L$49,MATCH(WORLDCUP!AL88,Equipos!$K$2:$K$49,0))</f>
        <v xml:space="preserve"> </v>
      </c>
      <c r="AL88" s="40" t="str">
        <f ca="1">IFERROR(INDEX($BD$6:$BD$53,MATCH(AI88,$BN$6:$BN$53,0)),"")</f>
        <v>PO 1: COD/JAM/NCL</v>
      </c>
      <c r="AM88" s="41">
        <f t="shared" ca="1" si="259"/>
        <v>1</v>
      </c>
      <c r="AN88" s="42">
        <f t="shared" ca="1" si="259"/>
        <v>3</v>
      </c>
      <c r="AO88" s="42">
        <f t="shared" ca="1" si="259"/>
        <v>0</v>
      </c>
      <c r="AP88" s="42">
        <f t="shared" ca="1" si="259"/>
        <v>1</v>
      </c>
      <c r="AQ88" s="42">
        <f t="shared" ca="1" si="259"/>
        <v>2</v>
      </c>
      <c r="AR88" s="42">
        <f t="shared" ca="1" si="259"/>
        <v>0</v>
      </c>
      <c r="AS88" s="42">
        <f t="shared" ca="1" si="259"/>
        <v>2</v>
      </c>
      <c r="AT88" s="48">
        <f t="shared" ca="1" si="259"/>
        <v>-2</v>
      </c>
      <c r="AU88" s="342">
        <f ca="1">INDEX($DJ$6:$DJ$53,MATCH(AI88,$DN$6:$DN$53,0))</f>
        <v>1</v>
      </c>
      <c r="AV88" s="191" t="str">
        <f ca="1">INDEX($BD$6:$BD$53,MATCH(AI88,$BM$6:$BM$53,0))</f>
        <v>PO 1: COD/JAM/NCL</v>
      </c>
      <c r="AW88" s="219"/>
      <c r="AX88" s="179"/>
      <c r="AY88" s="210" t="str">
        <f ca="1">+A87</f>
        <v>Uzbekistán</v>
      </c>
      <c r="AZ88" s="211"/>
      <c r="BA88" s="155"/>
      <c r="BN88" s="624"/>
      <c r="BO88" s="624"/>
      <c r="BR88" s="624"/>
      <c r="BS88" s="624"/>
      <c r="BT88" s="624"/>
      <c r="BU88" s="624"/>
      <c r="BV88" s="624"/>
      <c r="BW88" s="624"/>
      <c r="BX88" s="624"/>
      <c r="BY88" s="624"/>
      <c r="BZ88" s="624"/>
      <c r="CA88" s="624"/>
      <c r="CB88" s="624"/>
      <c r="CC88" s="624"/>
      <c r="CD88" s="624"/>
      <c r="CE88" s="624"/>
      <c r="CF88" s="624"/>
      <c r="CG88" s="624"/>
      <c r="CH88" s="624"/>
      <c r="CI88" s="624"/>
      <c r="CJ88" s="624"/>
      <c r="CK88" s="624"/>
      <c r="CL88" s="624"/>
      <c r="CM88" s="624"/>
      <c r="CN88" s="624"/>
      <c r="CO88" s="624"/>
      <c r="CP88" s="624"/>
      <c r="CQ88" s="624"/>
      <c r="CR88" s="624"/>
      <c r="CS88" s="624"/>
      <c r="CT88" s="624"/>
      <c r="CV88" s="624"/>
    </row>
    <row r="89" spans="1:100" ht="16.95" customHeight="1" thickBot="1">
      <c r="A89" s="643"/>
      <c r="B89" s="643"/>
      <c r="C89" s="643"/>
      <c r="D89" s="10" t="str">
        <f t="shared" si="243"/>
        <v>Empate</v>
      </c>
      <c r="E89" s="10" t="str">
        <f t="shared" ca="1" si="244"/>
        <v>P.3 (2)</v>
      </c>
      <c r="F89" s="10" t="str">
        <f t="shared" ca="1" si="245"/>
        <v>P.3 (2)</v>
      </c>
      <c r="G89" s="10"/>
      <c r="H89" s="10" t="str">
        <f t="shared" ca="1" si="246"/>
        <v>P.3 (2)</v>
      </c>
      <c r="I89" s="10" t="str">
        <f t="shared" ca="1" si="247"/>
        <v>P.3 (2)</v>
      </c>
      <c r="J89" s="10"/>
      <c r="K89" s="10" t="str">
        <f t="shared" ca="1" si="248"/>
        <v>P.3 (2)</v>
      </c>
      <c r="L89" s="10" t="str">
        <f t="shared" ca="1" si="249"/>
        <v>P.3 (2)</v>
      </c>
      <c r="M89" s="10"/>
      <c r="N89" s="10" t="str">
        <f t="shared" ca="1" si="250"/>
        <v>P.3 (2)</v>
      </c>
      <c r="O89" s="10" t="str">
        <f t="shared" ca="1" si="251"/>
        <v>P.3 (2)</v>
      </c>
      <c r="P89" s="10"/>
      <c r="Q89" s="10" t="str">
        <f t="shared" ca="1" si="252"/>
        <v>P.3 (2)</v>
      </c>
      <c r="R89" s="10" t="str">
        <f t="shared" ca="1" si="253"/>
        <v>P.3 (2)</v>
      </c>
      <c r="S89" s="10"/>
      <c r="T89" s="10" t="str">
        <f t="shared" ca="1" si="254"/>
        <v>P.3 (2)</v>
      </c>
      <c r="U89" s="10" t="str">
        <f t="shared" ca="1" si="255"/>
        <v>P.3 (2)</v>
      </c>
      <c r="V89" s="20"/>
      <c r="W89" s="670"/>
      <c r="X89" s="31">
        <f ca="1">Horarios!C89</f>
        <v>46201.0625</v>
      </c>
      <c r="Y89" s="32">
        <f ca="1">Horarios!C89</f>
        <v>46201.0625</v>
      </c>
      <c r="Z89" s="33" t="str">
        <f>$Z$8</f>
        <v>J3</v>
      </c>
      <c r="AA89" s="34" t="str">
        <f ca="1">A86</f>
        <v>PO 1: COD/JAM/NCL</v>
      </c>
      <c r="AB89" s="59" t="str">
        <f ca="1">+INDEX(Equipos!$L$2:$L$49,MATCH(WORLDCUP!AA89,Equipos!$K$2:$K$49,0))</f>
        <v xml:space="preserve"> </v>
      </c>
      <c r="AC89" s="60">
        <v>0</v>
      </c>
      <c r="AD89" s="61">
        <v>0</v>
      </c>
      <c r="AE89" s="62" t="str">
        <f ca="1">+INDEX(Equipos!$L$2:$L$49,MATCH(WORLDCUP!AF89,Equipos!$K$2:$K$49,0))</f>
        <v>🇺🇿</v>
      </c>
      <c r="AF89" s="36" t="str">
        <f ca="1">A87</f>
        <v>Uzbekistán</v>
      </c>
      <c r="AG89" s="335">
        <f t="shared" si="256"/>
        <v>1</v>
      </c>
      <c r="AH89" s="204">
        <v>72</v>
      </c>
      <c r="AI89" s="190" t="str">
        <f t="shared" si="260"/>
        <v>4K</v>
      </c>
      <c r="AJ89" s="49">
        <v>4</v>
      </c>
      <c r="AK89" s="51" t="str">
        <f ca="1">+INDEX(Equipos!$L$2:$L$49,MATCH(WORLDCUP!AL89,Equipos!$K$2:$K$49,0))</f>
        <v>🇺🇿</v>
      </c>
      <c r="AL89" s="51" t="str">
        <f ca="1">IFERROR(INDEX($BD$6:$BD$53,MATCH(AI89,$BN$6:$BN$53,0)),"")</f>
        <v>Uzbekistán</v>
      </c>
      <c r="AM89" s="52">
        <f t="shared" ca="1" si="259"/>
        <v>1</v>
      </c>
      <c r="AN89" s="53">
        <f t="shared" ca="1" si="259"/>
        <v>3</v>
      </c>
      <c r="AO89" s="53">
        <f t="shared" ca="1" si="259"/>
        <v>0</v>
      </c>
      <c r="AP89" s="53">
        <f t="shared" ca="1" si="259"/>
        <v>1</v>
      </c>
      <c r="AQ89" s="53">
        <f t="shared" ca="1" si="259"/>
        <v>2</v>
      </c>
      <c r="AR89" s="53">
        <f t="shared" ca="1" si="259"/>
        <v>0</v>
      </c>
      <c r="AS89" s="53">
        <f t="shared" ca="1" si="259"/>
        <v>3</v>
      </c>
      <c r="AT89" s="54">
        <f t="shared" ca="1" si="259"/>
        <v>-3</v>
      </c>
      <c r="AU89" s="342">
        <f ca="1">INDEX($DJ$6:$DJ$53,MATCH(AI89,$DN$6:$DN$53,0))</f>
        <v>1</v>
      </c>
      <c r="AV89" s="191" t="str">
        <f ca="1">INDEX($BD$6:$BD$53,MATCH(AI89,$BM$6:$BM$53,0))</f>
        <v>Uzbekistán</v>
      </c>
      <c r="AW89" s="219"/>
      <c r="AX89" s="179"/>
      <c r="AY89" s="214" t="str">
        <f ca="1">+A88</f>
        <v>Colombia</v>
      </c>
      <c r="AZ89" s="215"/>
      <c r="BA89" s="155"/>
      <c r="BN89" s="624"/>
      <c r="BO89" s="624"/>
      <c r="BR89" s="624"/>
      <c r="BS89" s="624"/>
      <c r="BT89" s="624"/>
      <c r="BU89" s="624"/>
      <c r="BV89" s="624"/>
      <c r="BW89" s="624"/>
      <c r="BX89" s="624"/>
      <c r="BY89" s="624"/>
      <c r="BZ89" s="624"/>
      <c r="CA89" s="624"/>
      <c r="CB89" s="624"/>
      <c r="CC89" s="624"/>
      <c r="CD89" s="624"/>
      <c r="CE89" s="624"/>
      <c r="CF89" s="624"/>
      <c r="CG89" s="624"/>
      <c r="CH89" s="624"/>
      <c r="CI89" s="624"/>
      <c r="CJ89" s="624"/>
      <c r="CK89" s="624"/>
      <c r="CL89" s="624"/>
      <c r="CM89" s="624"/>
      <c r="CN89" s="624"/>
      <c r="CO89" s="624"/>
      <c r="CP89" s="624"/>
      <c r="CQ89" s="624"/>
      <c r="CR89" s="624"/>
      <c r="CS89" s="624"/>
      <c r="CT89" s="624"/>
      <c r="CV89" s="624"/>
    </row>
    <row r="90" spans="1:100" ht="15" thickBot="1">
      <c r="A90" s="643"/>
      <c r="B90" s="643"/>
      <c r="C90" s="643"/>
      <c r="D90" s="10"/>
      <c r="E90" s="10"/>
      <c r="F90" s="10"/>
      <c r="G90" s="10"/>
      <c r="H90" s="10"/>
      <c r="I90" s="10"/>
      <c r="J90" s="10"/>
      <c r="K90" s="10"/>
      <c r="L90" s="10"/>
      <c r="M90" s="10"/>
      <c r="N90" s="10"/>
      <c r="O90" s="10"/>
      <c r="P90" s="10"/>
      <c r="Q90" s="10"/>
      <c r="R90" s="10"/>
      <c r="S90" s="10"/>
      <c r="T90" s="10"/>
      <c r="U90" s="10"/>
      <c r="V90" s="20"/>
      <c r="W90" s="162"/>
      <c r="X90" s="163"/>
      <c r="Y90" s="162"/>
      <c r="Z90" s="164"/>
      <c r="AA90" s="165"/>
      <c r="AB90" s="166"/>
      <c r="AC90" s="159"/>
      <c r="AD90" s="159"/>
      <c r="AE90" s="166"/>
      <c r="AF90" s="167"/>
      <c r="AG90" s="337"/>
      <c r="AH90" s="204"/>
      <c r="AI90" s="189"/>
      <c r="AJ90" s="168"/>
      <c r="AK90" s="169"/>
      <c r="AL90" s="170"/>
      <c r="AM90" s="171"/>
      <c r="AN90" s="168"/>
      <c r="AO90" s="168"/>
      <c r="AP90" s="168"/>
      <c r="AQ90" s="168"/>
      <c r="AR90" s="168"/>
      <c r="AS90" s="168"/>
      <c r="AT90" s="168"/>
      <c r="AU90" s="342"/>
      <c r="AV90" s="198"/>
      <c r="AW90" s="220"/>
      <c r="AX90" s="179"/>
      <c r="AY90" s="162"/>
      <c r="AZ90" s="163"/>
      <c r="BA90" s="155"/>
      <c r="BN90" s="624"/>
      <c r="BO90" s="624"/>
      <c r="BR90" s="624"/>
      <c r="BS90" s="624"/>
      <c r="BT90" s="624"/>
      <c r="BU90" s="624"/>
      <c r="BV90" s="624"/>
      <c r="BW90" s="624"/>
      <c r="BX90" s="624"/>
      <c r="BY90" s="624"/>
      <c r="BZ90" s="624"/>
      <c r="CA90" s="624"/>
      <c r="CB90" s="624"/>
      <c r="CC90" s="624"/>
      <c r="CD90" s="624"/>
      <c r="CE90" s="624"/>
      <c r="CF90" s="624"/>
      <c r="CG90" s="624"/>
      <c r="CH90" s="624"/>
      <c r="CI90" s="624"/>
      <c r="CJ90" s="624"/>
      <c r="CK90" s="624"/>
      <c r="CL90" s="624"/>
      <c r="CM90" s="624"/>
      <c r="CN90" s="624"/>
      <c r="CO90" s="624"/>
      <c r="CP90" s="624"/>
      <c r="CQ90" s="624"/>
      <c r="CR90" s="624"/>
      <c r="CS90" s="624"/>
      <c r="CT90" s="624"/>
      <c r="CV90" s="624"/>
    </row>
    <row r="91" spans="1:100" ht="15" thickBot="1">
      <c r="A91" s="643"/>
      <c r="B91" s="11"/>
      <c r="C91" s="643"/>
      <c r="D91" s="643"/>
      <c r="E91" s="643"/>
      <c r="F91" s="643"/>
      <c r="G91" s="643"/>
      <c r="H91" s="643"/>
      <c r="I91" s="643"/>
      <c r="J91" s="643"/>
      <c r="K91" s="643"/>
      <c r="L91" s="643"/>
      <c r="M91" s="643"/>
      <c r="N91" s="10"/>
      <c r="O91" s="10"/>
      <c r="P91" s="10"/>
      <c r="Q91" s="10"/>
      <c r="R91" s="10"/>
      <c r="S91" s="10"/>
      <c r="T91" s="10"/>
      <c r="U91" s="10"/>
      <c r="V91" s="20"/>
      <c r="W91" s="9"/>
      <c r="X91" s="77" t="str">
        <f>X3</f>
        <v>Fecha</v>
      </c>
      <c r="Y91" s="77" t="str">
        <f>Y3</f>
        <v>Hora</v>
      </c>
      <c r="Z91" s="75" t="str">
        <f>Z3</f>
        <v>Jor.</v>
      </c>
      <c r="AA91" s="76" t="str">
        <f>AA3</f>
        <v>Casa</v>
      </c>
      <c r="AB91" s="75"/>
      <c r="AC91" s="77" t="str">
        <f>AC3</f>
        <v>Gol</v>
      </c>
      <c r="AD91" s="77" t="str">
        <f>AD3</f>
        <v>Gol</v>
      </c>
      <c r="AE91" s="75"/>
      <c r="AF91" s="78" t="str">
        <f>AF3</f>
        <v>Fuera</v>
      </c>
      <c r="AG91" s="336"/>
      <c r="AH91" s="204"/>
      <c r="AI91" s="188"/>
      <c r="AJ91" s="170"/>
      <c r="AK91" s="172"/>
      <c r="AL91" s="170"/>
      <c r="AM91" s="170"/>
      <c r="AN91" s="170"/>
      <c r="AO91" s="170"/>
      <c r="AP91" s="170"/>
      <c r="AQ91" s="170"/>
      <c r="AR91" s="170"/>
      <c r="AS91" s="170"/>
      <c r="AT91" s="170"/>
      <c r="AU91" s="343"/>
      <c r="AV91" s="197"/>
      <c r="AW91" s="221"/>
      <c r="AX91" s="180"/>
      <c r="AY91" s="162"/>
      <c r="AZ91" s="163"/>
      <c r="BA91" s="155"/>
    </row>
    <row r="92" spans="1:100" ht="15" customHeight="1" thickBot="1">
      <c r="A92" s="645" t="s">
        <v>32</v>
      </c>
      <c r="B92" s="11" t="s">
        <v>254</v>
      </c>
      <c r="C92" s="441">
        <f>COUNTIF(Equipos!$C$2:$C$49,WORLDCUP!B92)</f>
        <v>4</v>
      </c>
      <c r="D92" s="10" t="str">
        <f t="shared" ref="D92:D97" si="261">IF(OR(AC92="",AD92=""),"Pendiente",IF(AC92&gt;AD92,"Local",IF(AC92&lt;AD92,"Visitante","Empate")))</f>
        <v>Empate</v>
      </c>
      <c r="E92" s="10" t="str">
        <f t="shared" ref="E92:E97" ca="1" si="262">IF(D92="Pendiente","-",INDEX($BR$6:$BR$53,MATCH($AA92,$BD$6:$BD$53,0)))</f>
        <v>-</v>
      </c>
      <c r="F92" s="10" t="str">
        <f t="shared" ref="F92:F97" ca="1" si="263">IF(D92="Pendiente","-",INDEX($BR$6:$BR$53,MATCH($AF92,$BD$6:$BD$53,0)))</f>
        <v>-</v>
      </c>
      <c r="G92" s="10"/>
      <c r="H92" s="10" t="str">
        <f t="shared" ref="H92:H97" ca="1" si="264">IF(D92="Pendiente","-",INDEX($BX$6:$BX$53,MATCH($AA92,$BD$6:$BD$53,0)))</f>
        <v>-</v>
      </c>
      <c r="I92" s="10" t="str">
        <f t="shared" ref="I92:I97" ca="1" si="265">IF(D92="Pendiente","-",INDEX($BX$6:$BX$53,MATCH($AF92,$BD$6:$BD$53,0)))</f>
        <v>-</v>
      </c>
      <c r="J92" s="10"/>
      <c r="K92" s="10" t="str">
        <f t="shared" ref="K92:K97" ca="1" si="266">IF(D92="Pendiente","-",INDEX($CC$6:$CC$53,MATCH($AA92,$BD$6:$BD$53,0)))</f>
        <v>-</v>
      </c>
      <c r="L92" s="10" t="str">
        <f t="shared" ref="L92:L97" ca="1" si="267">IF(D92="Pendiente","-",INDEX($CC$6:$CC$53,MATCH($AF92,$BD$6:$BD$53,0)))</f>
        <v>-</v>
      </c>
      <c r="M92" s="10"/>
      <c r="N92" s="10" t="str">
        <f t="shared" ref="N92:N97" ca="1" si="268">IF(D92="Pendiente","-",INDEX($CF$6:$CF$53,MATCH($AA92,$BD$6:$BD$53,0)))</f>
        <v>-</v>
      </c>
      <c r="O92" s="10" t="str">
        <f t="shared" ref="O92:O97" ca="1" si="269">IF(D92="Pendiente","-",INDEX($CF$6:$CF$53,MATCH($AF92,$BD$6:$BD$53,0)))</f>
        <v>-</v>
      </c>
      <c r="P92" s="10"/>
      <c r="Q92" s="10" t="str">
        <f t="shared" ref="Q92:Q97" ca="1" si="270">IF(D92="Pendiente","-",INDEX($CL$6:$CL$53,MATCH($AA92,$BD$6:$BD$53,0)))</f>
        <v>-</v>
      </c>
      <c r="R92" s="10" t="str">
        <f t="shared" ref="R92:R97" ca="1" si="271">IF(D92="Pendiente","-",INDEX($CL$6:$CL$53,MATCH($AF92,$BD$6:$BD$53,0)))</f>
        <v>-</v>
      </c>
      <c r="S92" s="10"/>
      <c r="T92" s="10" t="str">
        <f t="shared" ref="T92:T97" ca="1" si="272">IF(D92="Pendiente","-",INDEX($CQ$6:$CQ$53,MATCH($AA92,$BD$6:$BD$53,0)))</f>
        <v>-</v>
      </c>
      <c r="U92" s="10" t="str">
        <f t="shared" ref="U92:U97" ca="1" si="273">IF(D92="Pendiente","-",INDEX($CQ$6:$CQ$53,MATCH($AF92,$BD$6:$BD$53,0)))</f>
        <v>-</v>
      </c>
      <c r="V92" s="20"/>
      <c r="W92" s="665" t="s">
        <v>254</v>
      </c>
      <c r="X92" s="27">
        <f ca="1">Horarios!C92</f>
        <v>46190.916666666664</v>
      </c>
      <c r="Y92" s="28">
        <f ca="1">Horarios!C92</f>
        <v>46190.916666666664</v>
      </c>
      <c r="Z92" s="29" t="str">
        <f>$Z$4</f>
        <v>J1</v>
      </c>
      <c r="AA92" s="30" t="str">
        <f ca="1">A93</f>
        <v>Inglaterra</v>
      </c>
      <c r="AB92" s="55" t="str">
        <f ca="1">+INDEX(Equipos!$L$2:$L$49,MATCH(WORLDCUP!AA92,Equipos!$K$2:$K$49,0))</f>
        <v>🏴󠁧󠁢󠁥󠁮󠁧󠁿</v>
      </c>
      <c r="AC92" s="56">
        <v>1</v>
      </c>
      <c r="AD92" s="57">
        <v>1</v>
      </c>
      <c r="AE92" s="58" t="str">
        <f ca="1">+INDEX(Equipos!$L$2:$L$49,MATCH(WORLDCUP!AF92,Equipos!$K$2:$K$49,0))</f>
        <v>🇭🇷</v>
      </c>
      <c r="AF92" s="35" t="str">
        <f ca="1">A94</f>
        <v>Croacia</v>
      </c>
      <c r="AG92" s="335">
        <f t="shared" ref="AG92:AG97" si="274">IF(NOT(OR(ISBLANK(AC92),ISBLANK(AD92))),1,0)</f>
        <v>1</v>
      </c>
      <c r="AH92" s="204">
        <v>21</v>
      </c>
      <c r="AI92" s="190"/>
      <c r="AJ92" s="67" t="str">
        <f>CONCATENATE(AJ3," ",B92)</f>
        <v>Grupo L</v>
      </c>
      <c r="AK92" s="68"/>
      <c r="AL92" s="68"/>
      <c r="AM92" s="68"/>
      <c r="AN92" s="68"/>
      <c r="AO92" s="68"/>
      <c r="AP92" s="68"/>
      <c r="AQ92" s="68"/>
      <c r="AR92" s="68"/>
      <c r="AS92" s="68"/>
      <c r="AT92" s="69"/>
      <c r="AU92" s="343"/>
      <c r="AV92" s="295" t="str">
        <f ca="1">IF(AU93&gt;0,$AV$3,"")</f>
        <v/>
      </c>
      <c r="AW92" s="175"/>
      <c r="AX92" s="175"/>
      <c r="AY92" s="162"/>
      <c r="AZ92" s="163"/>
      <c r="BA92" s="155"/>
      <c r="CV92" s="624"/>
    </row>
    <row r="93" spans="1:100" ht="16.05" customHeight="1">
      <c r="A93" s="646" t="str">
        <f ca="1">+Equipos!B46</f>
        <v>Inglaterra</v>
      </c>
      <c r="B93" s="11"/>
      <c r="C93" s="11"/>
      <c r="D93" s="10" t="str">
        <f t="shared" si="261"/>
        <v>Local</v>
      </c>
      <c r="E93" s="10" t="str">
        <f t="shared" ca="1" si="262"/>
        <v>-</v>
      </c>
      <c r="F93" s="10" t="str">
        <f t="shared" ca="1" si="263"/>
        <v>-</v>
      </c>
      <c r="G93" s="10"/>
      <c r="H93" s="10" t="str">
        <f t="shared" ca="1" si="264"/>
        <v>-</v>
      </c>
      <c r="I93" s="10" t="str">
        <f t="shared" ca="1" si="265"/>
        <v>-</v>
      </c>
      <c r="J93" s="10"/>
      <c r="K93" s="10" t="str">
        <f t="shared" ca="1" si="266"/>
        <v>-</v>
      </c>
      <c r="L93" s="10" t="str">
        <f t="shared" ca="1" si="267"/>
        <v>-</v>
      </c>
      <c r="M93" s="10"/>
      <c r="N93" s="10" t="str">
        <f t="shared" ca="1" si="268"/>
        <v>-</v>
      </c>
      <c r="O93" s="10" t="str">
        <f t="shared" ca="1" si="269"/>
        <v>-</v>
      </c>
      <c r="P93" s="10"/>
      <c r="Q93" s="10" t="str">
        <f t="shared" ca="1" si="270"/>
        <v>-</v>
      </c>
      <c r="R93" s="10" t="str">
        <f t="shared" ca="1" si="271"/>
        <v>-</v>
      </c>
      <c r="S93" s="10"/>
      <c r="T93" s="10" t="str">
        <f t="shared" ca="1" si="272"/>
        <v>-</v>
      </c>
      <c r="U93" s="10" t="str">
        <f t="shared" ca="1" si="273"/>
        <v>-</v>
      </c>
      <c r="V93" s="20"/>
      <c r="W93" s="665"/>
      <c r="X93" s="27">
        <f ca="1">Horarios!C93</f>
        <v>46191.041666666664</v>
      </c>
      <c r="Y93" s="28">
        <f ca="1">Horarios!C93</f>
        <v>46191.041666666664</v>
      </c>
      <c r="Z93" s="29" t="str">
        <f>$Z$4</f>
        <v>J1</v>
      </c>
      <c r="AA93" s="30" t="str">
        <f ca="1">A95</f>
        <v>Ghana</v>
      </c>
      <c r="AB93" s="55" t="str">
        <f ca="1">+INDEX(Equipos!$L$2:$L$49,MATCH(WORLDCUP!AA93,Equipos!$K$2:$K$49,0))</f>
        <v>🇬🇭</v>
      </c>
      <c r="AC93" s="56">
        <v>1</v>
      </c>
      <c r="AD93" s="57">
        <v>0</v>
      </c>
      <c r="AE93" s="58" t="str">
        <f ca="1">+INDEX(Equipos!$L$2:$L$49,MATCH(WORLDCUP!AF93,Equipos!$K$2:$K$49,0))</f>
        <v>🇵🇦</v>
      </c>
      <c r="AF93" s="35" t="str">
        <f ca="1">A96</f>
        <v>Panamá</v>
      </c>
      <c r="AG93" s="335">
        <f t="shared" si="274"/>
        <v>1</v>
      </c>
      <c r="AH93" s="204">
        <v>22</v>
      </c>
      <c r="AI93" s="190"/>
      <c r="AJ93" s="70" t="str">
        <f>AJ5</f>
        <v>Pos</v>
      </c>
      <c r="AK93" s="71"/>
      <c r="AL93" s="72" t="str">
        <f t="shared" ref="AL93:AT93" si="275">AL5</f>
        <v>Selección</v>
      </c>
      <c r="AM93" s="71" t="str">
        <f t="shared" si="275"/>
        <v>Pts</v>
      </c>
      <c r="AN93" s="71" t="str">
        <f t="shared" si="275"/>
        <v>J</v>
      </c>
      <c r="AO93" s="71" t="str">
        <f t="shared" si="275"/>
        <v>G</v>
      </c>
      <c r="AP93" s="71" t="str">
        <f t="shared" si="275"/>
        <v>E</v>
      </c>
      <c r="AQ93" s="71" t="str">
        <f t="shared" si="275"/>
        <v>P</v>
      </c>
      <c r="AR93" s="71" t="str">
        <f t="shared" si="275"/>
        <v>GF</v>
      </c>
      <c r="AS93" s="71" t="str">
        <f t="shared" si="275"/>
        <v>GC</v>
      </c>
      <c r="AT93" s="73" t="str">
        <f t="shared" si="275"/>
        <v>DG</v>
      </c>
      <c r="AU93" s="343">
        <f t="shared" ref="AU93" ca="1" si="276">COUNTIF(AU94:AU97,"&gt;1")</f>
        <v>0</v>
      </c>
      <c r="AV93" s="201"/>
      <c r="AW93" s="175"/>
      <c r="AX93" s="175"/>
      <c r="AY93" s="216" t="str">
        <f>AL93</f>
        <v>Selección</v>
      </c>
      <c r="AZ93" s="217" t="str">
        <f>+Idiomas!$D$67</f>
        <v>Puntos penalizados</v>
      </c>
      <c r="BA93" s="155"/>
      <c r="BN93" s="428"/>
      <c r="BO93" s="428"/>
      <c r="BR93" s="428"/>
      <c r="BS93" s="428"/>
      <c r="BT93" s="428"/>
      <c r="BU93" s="428"/>
      <c r="BV93" s="428"/>
      <c r="BW93" s="428"/>
      <c r="BX93" s="428"/>
      <c r="BY93" s="428"/>
      <c r="BZ93" s="428"/>
      <c r="CA93" s="428"/>
      <c r="CB93" s="428"/>
      <c r="CC93" s="428"/>
      <c r="CD93" s="428"/>
      <c r="CE93" s="428"/>
      <c r="CF93" s="428"/>
      <c r="CG93" s="428"/>
      <c r="CH93" s="428"/>
      <c r="CI93" s="428"/>
      <c r="CJ93" s="428"/>
      <c r="CK93" s="428"/>
      <c r="CL93" s="428"/>
      <c r="CM93" s="428"/>
      <c r="CN93" s="428"/>
      <c r="CO93" s="428"/>
      <c r="CP93" s="428"/>
      <c r="CQ93" s="428"/>
      <c r="CR93" s="428"/>
      <c r="CS93" s="428"/>
      <c r="CT93" s="428"/>
      <c r="CV93" s="428"/>
    </row>
    <row r="94" spans="1:100" ht="16.05" customHeight="1">
      <c r="A94" s="646" t="str">
        <f ca="1">+Equipos!B47</f>
        <v>Croacia</v>
      </c>
      <c r="B94" s="11"/>
      <c r="C94" s="429"/>
      <c r="D94" s="10" t="str">
        <f t="shared" si="261"/>
        <v>Local</v>
      </c>
      <c r="E94" s="10" t="str">
        <f t="shared" ca="1" si="262"/>
        <v>-</v>
      </c>
      <c r="F94" s="10" t="str">
        <f t="shared" ca="1" si="263"/>
        <v>-</v>
      </c>
      <c r="G94" s="10"/>
      <c r="H94" s="10" t="str">
        <f t="shared" ca="1" si="264"/>
        <v>-</v>
      </c>
      <c r="I94" s="10" t="str">
        <f t="shared" ca="1" si="265"/>
        <v>-</v>
      </c>
      <c r="J94" s="10"/>
      <c r="K94" s="10" t="str">
        <f t="shared" ca="1" si="266"/>
        <v>-</v>
      </c>
      <c r="L94" s="10" t="str">
        <f t="shared" ca="1" si="267"/>
        <v>-</v>
      </c>
      <c r="M94" s="10"/>
      <c r="N94" s="10" t="str">
        <f t="shared" ca="1" si="268"/>
        <v>-</v>
      </c>
      <c r="O94" s="10" t="str">
        <f t="shared" ca="1" si="269"/>
        <v>-</v>
      </c>
      <c r="P94" s="10"/>
      <c r="Q94" s="10" t="str">
        <f t="shared" ca="1" si="270"/>
        <v>-</v>
      </c>
      <c r="R94" s="10" t="str">
        <f t="shared" ca="1" si="271"/>
        <v>-</v>
      </c>
      <c r="S94" s="10"/>
      <c r="T94" s="10" t="str">
        <f t="shared" ca="1" si="272"/>
        <v>-</v>
      </c>
      <c r="U94" s="10" t="str">
        <f t="shared" ca="1" si="273"/>
        <v>-</v>
      </c>
      <c r="V94" s="20"/>
      <c r="W94" s="665"/>
      <c r="X94" s="27">
        <f ca="1">Horarios!C94</f>
        <v>46196.916666666664</v>
      </c>
      <c r="Y94" s="28">
        <f ca="1">Horarios!C94</f>
        <v>46196.916666666664</v>
      </c>
      <c r="Z94" s="29" t="str">
        <f>$Z$6</f>
        <v>J2</v>
      </c>
      <c r="AA94" s="30" t="str">
        <f ca="1">A93</f>
        <v>Inglaterra</v>
      </c>
      <c r="AB94" s="55" t="str">
        <f ca="1">+INDEX(Equipos!$L$2:$L$49,MATCH(WORLDCUP!AA94,Equipos!$K$2:$K$49,0))</f>
        <v>🏴󠁧󠁢󠁥󠁮󠁧󠁿</v>
      </c>
      <c r="AC94" s="56">
        <v>1</v>
      </c>
      <c r="AD94" s="57">
        <v>0</v>
      </c>
      <c r="AE94" s="58" t="str">
        <f ca="1">+INDEX(Equipos!$L$2:$L$49,MATCH(WORLDCUP!AF94,Equipos!$K$2:$K$49,0))</f>
        <v>🇬🇭</v>
      </c>
      <c r="AF94" s="35" t="str">
        <f ca="1">A95</f>
        <v>Ghana</v>
      </c>
      <c r="AG94" s="335">
        <f t="shared" si="274"/>
        <v>1</v>
      </c>
      <c r="AH94" s="204">
        <v>45</v>
      </c>
      <c r="AI94" s="190" t="str">
        <f>AJ94&amp;$B$92</f>
        <v>1L</v>
      </c>
      <c r="AJ94" s="43">
        <v>1</v>
      </c>
      <c r="AK94" s="37" t="str">
        <f ca="1">+INDEX(Equipos!$L$2:$L$49,MATCH(WORLDCUP!AL94,Equipos!$K$2:$K$49,0))</f>
        <v>🏴󠁧󠁢󠁥󠁮󠁧󠁿</v>
      </c>
      <c r="AL94" s="37" t="str">
        <f ca="1">IFERROR(INDEX($BD$6:$BD$53,MATCH(AI94,$BN$6:$BN$53,0)),"")</f>
        <v>Inglaterra</v>
      </c>
      <c r="AM94" s="38">
        <f t="shared" ref="AM94:AT97" ca="1" si="277">INDEX($BE$6:$BN$53,MATCH($AL94,$BD$6:$BD$53,0),MATCH(AM$5,$BE$5:$BN$5,0))</f>
        <v>7</v>
      </c>
      <c r="AN94" s="39">
        <f t="shared" ca="1" si="277"/>
        <v>3</v>
      </c>
      <c r="AO94" s="39">
        <f t="shared" ca="1" si="277"/>
        <v>2</v>
      </c>
      <c r="AP94" s="39">
        <f t="shared" ca="1" si="277"/>
        <v>1</v>
      </c>
      <c r="AQ94" s="39">
        <f t="shared" ca="1" si="277"/>
        <v>0</v>
      </c>
      <c r="AR94" s="39">
        <f t="shared" ca="1" si="277"/>
        <v>4</v>
      </c>
      <c r="AS94" s="39">
        <f t="shared" ca="1" si="277"/>
        <v>1</v>
      </c>
      <c r="AT94" s="45">
        <f t="shared" ca="1" si="277"/>
        <v>3</v>
      </c>
      <c r="AU94" s="342">
        <f ca="1">INDEX($DJ$6:$DJ$53,MATCH(AI94,$DN$6:$DN$53,0))</f>
        <v>1</v>
      </c>
      <c r="AV94" s="191" t="str">
        <f ca="1">INDEX($BD$6:$BD$53,MATCH(AI94,$BM$6:$BM$53,0))</f>
        <v>Inglaterra</v>
      </c>
      <c r="AW94" s="219"/>
      <c r="AX94" s="179"/>
      <c r="AY94" s="210" t="str">
        <f ca="1">+A93</f>
        <v>Inglaterra</v>
      </c>
      <c r="AZ94" s="211"/>
      <c r="BA94" s="155"/>
      <c r="BN94" s="624"/>
      <c r="BO94" s="624"/>
      <c r="BR94" s="624"/>
      <c r="BS94" s="624"/>
      <c r="BT94" s="624"/>
      <c r="BU94" s="624"/>
      <c r="BV94" s="624"/>
      <c r="BW94" s="624"/>
      <c r="BX94" s="624"/>
      <c r="BY94" s="624"/>
      <c r="BZ94" s="624"/>
      <c r="CA94" s="624"/>
      <c r="CB94" s="624"/>
      <c r="CC94" s="624"/>
      <c r="CD94" s="624"/>
      <c r="CE94" s="624"/>
      <c r="CF94" s="624"/>
      <c r="CG94" s="624"/>
      <c r="CH94" s="624"/>
      <c r="CI94" s="624"/>
      <c r="CJ94" s="624"/>
      <c r="CK94" s="624"/>
      <c r="CL94" s="624"/>
      <c r="CM94" s="624"/>
      <c r="CN94" s="624"/>
      <c r="CO94" s="624"/>
      <c r="CP94" s="624"/>
      <c r="CQ94" s="624"/>
      <c r="CR94" s="624"/>
      <c r="CS94" s="624"/>
      <c r="CT94" s="624"/>
      <c r="CV94" s="624"/>
    </row>
    <row r="95" spans="1:100" ht="16.05" customHeight="1">
      <c r="A95" s="646" t="str">
        <f ca="1">+Equipos!B48</f>
        <v>Ghana</v>
      </c>
      <c r="B95" s="11"/>
      <c r="C95" s="10"/>
      <c r="D95" s="10" t="str">
        <f t="shared" si="261"/>
        <v>Visitante</v>
      </c>
      <c r="E95" s="10" t="str">
        <f t="shared" ca="1" si="262"/>
        <v>-</v>
      </c>
      <c r="F95" s="10" t="str">
        <f t="shared" ca="1" si="263"/>
        <v>-</v>
      </c>
      <c r="G95" s="10"/>
      <c r="H95" s="10" t="str">
        <f t="shared" ca="1" si="264"/>
        <v>-</v>
      </c>
      <c r="I95" s="10" t="str">
        <f t="shared" ca="1" si="265"/>
        <v>-</v>
      </c>
      <c r="J95" s="10"/>
      <c r="K95" s="10" t="str">
        <f t="shared" ca="1" si="266"/>
        <v>-</v>
      </c>
      <c r="L95" s="10" t="str">
        <f t="shared" ca="1" si="267"/>
        <v>-</v>
      </c>
      <c r="M95" s="10"/>
      <c r="N95" s="10" t="str">
        <f t="shared" ca="1" si="268"/>
        <v>-</v>
      </c>
      <c r="O95" s="10" t="str">
        <f t="shared" ca="1" si="269"/>
        <v>-</v>
      </c>
      <c r="P95" s="10"/>
      <c r="Q95" s="10" t="str">
        <f t="shared" ca="1" si="270"/>
        <v>-</v>
      </c>
      <c r="R95" s="10" t="str">
        <f t="shared" ca="1" si="271"/>
        <v>-</v>
      </c>
      <c r="S95" s="10"/>
      <c r="T95" s="10" t="str">
        <f t="shared" ca="1" si="272"/>
        <v>-</v>
      </c>
      <c r="U95" s="10" t="str">
        <f t="shared" ca="1" si="273"/>
        <v>-</v>
      </c>
      <c r="V95" s="20"/>
      <c r="W95" s="665"/>
      <c r="X95" s="27">
        <f ca="1">Horarios!C95</f>
        <v>46197.041666666664</v>
      </c>
      <c r="Y95" s="28">
        <f ca="1">Horarios!C95</f>
        <v>46197.041666666664</v>
      </c>
      <c r="Z95" s="29" t="str">
        <f>$Z$6</f>
        <v>J2</v>
      </c>
      <c r="AA95" s="30" t="str">
        <f ca="1">A96</f>
        <v>Panamá</v>
      </c>
      <c r="AB95" s="55" t="str">
        <f ca="1">+INDEX(Equipos!$L$2:$L$49,MATCH(WORLDCUP!AA95,Equipos!$K$2:$K$49,0))</f>
        <v>🇵🇦</v>
      </c>
      <c r="AC95" s="56">
        <v>0</v>
      </c>
      <c r="AD95" s="57">
        <v>1</v>
      </c>
      <c r="AE95" s="58" t="str">
        <f ca="1">+INDEX(Equipos!$L$2:$L$49,MATCH(WORLDCUP!AF95,Equipos!$K$2:$K$49,0))</f>
        <v>🇭🇷</v>
      </c>
      <c r="AF95" s="35" t="str">
        <f ca="1">A94</f>
        <v>Croacia</v>
      </c>
      <c r="AG95" s="335">
        <f t="shared" si="274"/>
        <v>1</v>
      </c>
      <c r="AH95" s="204">
        <v>46</v>
      </c>
      <c r="AI95" s="190" t="str">
        <f t="shared" ref="AI95:AI97" si="278">AJ95&amp;$B$92</f>
        <v>2L</v>
      </c>
      <c r="AJ95" s="46">
        <v>2</v>
      </c>
      <c r="AK95" s="40" t="str">
        <f ca="1">+INDEX(Equipos!$L$2:$L$49,MATCH(WORLDCUP!AL95,Equipos!$K$2:$K$49,0))</f>
        <v>🇭🇷</v>
      </c>
      <c r="AL95" s="40" t="str">
        <f ca="1">IFERROR(INDEX($BD$6:$BD$53,MATCH(AI95,$BN$6:$BN$53,0)),"")</f>
        <v>Croacia</v>
      </c>
      <c r="AM95" s="41">
        <f t="shared" ca="1" si="277"/>
        <v>5</v>
      </c>
      <c r="AN95" s="42">
        <f t="shared" ca="1" si="277"/>
        <v>3</v>
      </c>
      <c r="AO95" s="42">
        <f t="shared" ca="1" si="277"/>
        <v>1</v>
      </c>
      <c r="AP95" s="42">
        <f t="shared" ca="1" si="277"/>
        <v>2</v>
      </c>
      <c r="AQ95" s="42">
        <f t="shared" ca="1" si="277"/>
        <v>0</v>
      </c>
      <c r="AR95" s="42">
        <f t="shared" ca="1" si="277"/>
        <v>3</v>
      </c>
      <c r="AS95" s="42">
        <f t="shared" ca="1" si="277"/>
        <v>2</v>
      </c>
      <c r="AT95" s="48">
        <f t="shared" ca="1" si="277"/>
        <v>1</v>
      </c>
      <c r="AU95" s="342">
        <f ca="1">INDEX($DJ$6:$DJ$53,MATCH(AI95,$DN$6:$DN$53,0))</f>
        <v>1</v>
      </c>
      <c r="AV95" s="191" t="str">
        <f ca="1">INDEX($BD$6:$BD$53,MATCH(AI95,$BM$6:$BM$53,0))</f>
        <v>Croacia</v>
      </c>
      <c r="AW95" s="219"/>
      <c r="AX95" s="179"/>
      <c r="AY95" s="212" t="str">
        <f ca="1">+A94</f>
        <v>Croacia</v>
      </c>
      <c r="AZ95" s="213"/>
      <c r="BA95" s="155"/>
      <c r="BN95" s="624"/>
      <c r="BO95" s="624"/>
      <c r="BR95" s="624"/>
      <c r="BS95" s="624"/>
      <c r="BT95" s="624"/>
      <c r="BU95" s="624"/>
      <c r="BV95" s="624"/>
      <c r="BW95" s="624"/>
      <c r="BX95" s="624"/>
      <c r="BY95" s="624"/>
      <c r="BZ95" s="624"/>
      <c r="CA95" s="624"/>
      <c r="CB95" s="624"/>
      <c r="CC95" s="624"/>
      <c r="CD95" s="624"/>
      <c r="CE95" s="624"/>
      <c r="CF95" s="624"/>
      <c r="CG95" s="624"/>
      <c r="CH95" s="624"/>
      <c r="CI95" s="624"/>
      <c r="CJ95" s="624"/>
      <c r="CK95" s="624"/>
      <c r="CL95" s="624"/>
      <c r="CM95" s="624"/>
      <c r="CN95" s="624"/>
      <c r="CO95" s="624"/>
      <c r="CP95" s="624"/>
      <c r="CQ95" s="624"/>
      <c r="CR95" s="624"/>
      <c r="CS95" s="624"/>
      <c r="CT95" s="624"/>
      <c r="CV95" s="624"/>
    </row>
    <row r="96" spans="1:100" ht="16.05" customHeight="1">
      <c r="A96" s="646" t="str">
        <f ca="1">+Equipos!B49</f>
        <v>Panamá</v>
      </c>
      <c r="B96" s="11"/>
      <c r="C96" s="10"/>
      <c r="D96" s="10" t="str">
        <f t="shared" si="261"/>
        <v>Visitante</v>
      </c>
      <c r="E96" s="10" t="str">
        <f t="shared" ca="1" si="262"/>
        <v>-</v>
      </c>
      <c r="F96" s="10" t="str">
        <f t="shared" ca="1" si="263"/>
        <v>-</v>
      </c>
      <c r="G96" s="10"/>
      <c r="H96" s="10" t="str">
        <f t="shared" ca="1" si="264"/>
        <v>-</v>
      </c>
      <c r="I96" s="10" t="str">
        <f t="shared" ca="1" si="265"/>
        <v>-</v>
      </c>
      <c r="J96" s="10"/>
      <c r="K96" s="10" t="str">
        <f t="shared" ca="1" si="266"/>
        <v>-</v>
      </c>
      <c r="L96" s="10" t="str">
        <f t="shared" ca="1" si="267"/>
        <v>-</v>
      </c>
      <c r="M96" s="10"/>
      <c r="N96" s="10" t="str">
        <f t="shared" ca="1" si="268"/>
        <v>-</v>
      </c>
      <c r="O96" s="10" t="str">
        <f t="shared" ca="1" si="269"/>
        <v>-</v>
      </c>
      <c r="P96" s="10"/>
      <c r="Q96" s="10" t="str">
        <f t="shared" ca="1" si="270"/>
        <v>-</v>
      </c>
      <c r="R96" s="10" t="str">
        <f t="shared" ca="1" si="271"/>
        <v>-</v>
      </c>
      <c r="S96" s="10"/>
      <c r="T96" s="10" t="str">
        <f t="shared" ca="1" si="272"/>
        <v>-</v>
      </c>
      <c r="U96" s="10" t="str">
        <f t="shared" ca="1" si="273"/>
        <v>-</v>
      </c>
      <c r="V96" s="20"/>
      <c r="W96" s="665"/>
      <c r="X96" s="27">
        <f ca="1">Horarios!C96</f>
        <v>46200.958333333336</v>
      </c>
      <c r="Y96" s="28">
        <f ca="1">Horarios!C96</f>
        <v>46200.958333333336</v>
      </c>
      <c r="Z96" s="29" t="str">
        <f>$Z$8</f>
        <v>J3</v>
      </c>
      <c r="AA96" s="30" t="str">
        <f ca="1">A96</f>
        <v>Panamá</v>
      </c>
      <c r="AB96" s="55" t="str">
        <f ca="1">+INDEX(Equipos!$L$2:$L$49,MATCH(WORLDCUP!AA96,Equipos!$K$2:$K$49,0))</f>
        <v>🇵🇦</v>
      </c>
      <c r="AC96" s="56">
        <v>0</v>
      </c>
      <c r="AD96" s="57">
        <v>2</v>
      </c>
      <c r="AE96" s="58" t="str">
        <f ca="1">+INDEX(Equipos!$L$2:$L$49,MATCH(WORLDCUP!AF96,Equipos!$K$2:$K$49,0))</f>
        <v>🏴󠁧󠁢󠁥󠁮󠁧󠁿</v>
      </c>
      <c r="AF96" s="35" t="str">
        <f ca="1">A93</f>
        <v>Inglaterra</v>
      </c>
      <c r="AG96" s="335">
        <f t="shared" si="274"/>
        <v>1</v>
      </c>
      <c r="AH96" s="204">
        <v>67</v>
      </c>
      <c r="AI96" s="190" t="str">
        <f t="shared" si="278"/>
        <v>3L</v>
      </c>
      <c r="AJ96" s="46">
        <v>3</v>
      </c>
      <c r="AK96" s="40" t="str">
        <f ca="1">+INDEX(Equipos!$L$2:$L$49,MATCH(WORLDCUP!AL96,Equipos!$K$2:$K$49,0))</f>
        <v>🇬🇭</v>
      </c>
      <c r="AL96" s="40" t="str">
        <f ca="1">IFERROR(INDEX($BD$6:$BD$53,MATCH(AI96,$BN$6:$BN$53,0)),"")</f>
        <v>Ghana</v>
      </c>
      <c r="AM96" s="41">
        <f t="shared" ca="1" si="277"/>
        <v>4</v>
      </c>
      <c r="AN96" s="42">
        <f t="shared" ca="1" si="277"/>
        <v>3</v>
      </c>
      <c r="AO96" s="42">
        <f t="shared" ca="1" si="277"/>
        <v>1</v>
      </c>
      <c r="AP96" s="42">
        <f t="shared" ca="1" si="277"/>
        <v>1</v>
      </c>
      <c r="AQ96" s="42">
        <f t="shared" ca="1" si="277"/>
        <v>1</v>
      </c>
      <c r="AR96" s="42">
        <f t="shared" ca="1" si="277"/>
        <v>2</v>
      </c>
      <c r="AS96" s="42">
        <f t="shared" ca="1" si="277"/>
        <v>2</v>
      </c>
      <c r="AT96" s="48">
        <f t="shared" ca="1" si="277"/>
        <v>0</v>
      </c>
      <c r="AU96" s="342">
        <f ca="1">INDEX($DJ$6:$DJ$53,MATCH(AI96,$DN$6:$DN$53,0))</f>
        <v>1</v>
      </c>
      <c r="AV96" s="191" t="str">
        <f ca="1">INDEX($BD$6:$BD$53,MATCH(AI96,$BM$6:$BM$53,0))</f>
        <v>Ghana</v>
      </c>
      <c r="AW96" s="219"/>
      <c r="AX96" s="179"/>
      <c r="AY96" s="210" t="str">
        <f ca="1">+A95</f>
        <v>Ghana</v>
      </c>
      <c r="AZ96" s="211"/>
      <c r="BA96" s="155"/>
      <c r="BN96" s="624"/>
      <c r="BO96" s="624"/>
      <c r="BR96" s="624"/>
      <c r="BS96" s="624"/>
      <c r="BT96" s="624"/>
      <c r="BU96" s="624"/>
      <c r="BV96" s="624"/>
      <c r="BW96" s="624"/>
      <c r="BX96" s="624"/>
      <c r="BY96" s="624"/>
      <c r="BZ96" s="624"/>
      <c r="CA96" s="624"/>
      <c r="CB96" s="624"/>
      <c r="CC96" s="624"/>
      <c r="CD96" s="624"/>
      <c r="CE96" s="624"/>
      <c r="CF96" s="624"/>
      <c r="CG96" s="624"/>
      <c r="CH96" s="624"/>
      <c r="CI96" s="624"/>
      <c r="CJ96" s="624"/>
      <c r="CK96" s="624"/>
      <c r="CL96" s="624"/>
      <c r="CM96" s="624"/>
      <c r="CN96" s="624"/>
      <c r="CO96" s="624"/>
      <c r="CP96" s="624"/>
      <c r="CQ96" s="624"/>
      <c r="CR96" s="624"/>
      <c r="CS96" s="624"/>
      <c r="CT96" s="624"/>
      <c r="CV96" s="624"/>
    </row>
    <row r="97" spans="1:2297 10881:10881" ht="16.95" customHeight="1" thickBot="1">
      <c r="A97" s="643"/>
      <c r="B97" s="643"/>
      <c r="C97" s="643"/>
      <c r="D97" s="10" t="str">
        <f t="shared" si="261"/>
        <v>Empate</v>
      </c>
      <c r="E97" s="10" t="str">
        <f t="shared" ca="1" si="262"/>
        <v>-</v>
      </c>
      <c r="F97" s="10" t="str">
        <f t="shared" ca="1" si="263"/>
        <v>-</v>
      </c>
      <c r="G97" s="10"/>
      <c r="H97" s="10" t="str">
        <f t="shared" ca="1" si="264"/>
        <v>-</v>
      </c>
      <c r="I97" s="10" t="str">
        <f t="shared" ca="1" si="265"/>
        <v>-</v>
      </c>
      <c r="J97" s="10"/>
      <c r="K97" s="10" t="str">
        <f t="shared" ca="1" si="266"/>
        <v>-</v>
      </c>
      <c r="L97" s="10" t="str">
        <f t="shared" ca="1" si="267"/>
        <v>-</v>
      </c>
      <c r="M97" s="10"/>
      <c r="N97" s="10" t="str">
        <f t="shared" ca="1" si="268"/>
        <v>-</v>
      </c>
      <c r="O97" s="10" t="str">
        <f t="shared" ca="1" si="269"/>
        <v>-</v>
      </c>
      <c r="P97" s="10"/>
      <c r="Q97" s="10" t="str">
        <f t="shared" ca="1" si="270"/>
        <v>-</v>
      </c>
      <c r="R97" s="10" t="str">
        <f t="shared" ca="1" si="271"/>
        <v>-</v>
      </c>
      <c r="S97" s="10"/>
      <c r="T97" s="10" t="str">
        <f t="shared" ca="1" si="272"/>
        <v>-</v>
      </c>
      <c r="U97" s="10" t="str">
        <f t="shared" ca="1" si="273"/>
        <v>-</v>
      </c>
      <c r="V97" s="20"/>
      <c r="W97" s="666"/>
      <c r="X97" s="31">
        <f ca="1">Horarios!C97</f>
        <v>46200.958333333336</v>
      </c>
      <c r="Y97" s="32">
        <f ca="1">Horarios!C97</f>
        <v>46200.958333333336</v>
      </c>
      <c r="Z97" s="33" t="str">
        <f>$Z$8</f>
        <v>J3</v>
      </c>
      <c r="AA97" s="34" t="str">
        <f ca="1">A94</f>
        <v>Croacia</v>
      </c>
      <c r="AB97" s="59" t="str">
        <f ca="1">+INDEX(Equipos!$L$2:$L$49,MATCH(WORLDCUP!AA97,Equipos!$K$2:$K$49,0))</f>
        <v>🇭🇷</v>
      </c>
      <c r="AC97" s="60">
        <v>1</v>
      </c>
      <c r="AD97" s="61">
        <v>1</v>
      </c>
      <c r="AE97" s="62" t="str">
        <f ca="1">+INDEX(Equipos!$L$2:$L$49,MATCH(WORLDCUP!AF97,Equipos!$K$2:$K$49,0))</f>
        <v>🇬🇭</v>
      </c>
      <c r="AF97" s="36" t="str">
        <f ca="1">A95</f>
        <v>Ghana</v>
      </c>
      <c r="AG97" s="335">
        <f t="shared" si="274"/>
        <v>1</v>
      </c>
      <c r="AH97" s="204">
        <v>68</v>
      </c>
      <c r="AI97" s="190" t="str">
        <f t="shared" si="278"/>
        <v>4L</v>
      </c>
      <c r="AJ97" s="49">
        <v>4</v>
      </c>
      <c r="AK97" s="51" t="str">
        <f ca="1">+INDEX(Equipos!$L$2:$L$49,MATCH(WORLDCUP!AL97,Equipos!$K$2:$K$49,0))</f>
        <v>🇵🇦</v>
      </c>
      <c r="AL97" s="51" t="str">
        <f ca="1">IFERROR(INDEX($BD$6:$BD$53,MATCH(AI97,$BN$6:$BN$53,0)),"")</f>
        <v>Panamá</v>
      </c>
      <c r="AM97" s="52">
        <f t="shared" ca="1" si="277"/>
        <v>0</v>
      </c>
      <c r="AN97" s="53">
        <f t="shared" ca="1" si="277"/>
        <v>3</v>
      </c>
      <c r="AO97" s="53">
        <f t="shared" ca="1" si="277"/>
        <v>0</v>
      </c>
      <c r="AP97" s="53">
        <f t="shared" ca="1" si="277"/>
        <v>0</v>
      </c>
      <c r="AQ97" s="53">
        <f t="shared" ca="1" si="277"/>
        <v>3</v>
      </c>
      <c r="AR97" s="53">
        <f t="shared" ca="1" si="277"/>
        <v>0</v>
      </c>
      <c r="AS97" s="53">
        <f t="shared" ca="1" si="277"/>
        <v>4</v>
      </c>
      <c r="AT97" s="54">
        <f t="shared" ca="1" si="277"/>
        <v>-4</v>
      </c>
      <c r="AU97" s="342">
        <f ca="1">INDEX($DJ$6:$DJ$53,MATCH(AI97,$DN$6:$DN$53,0))</f>
        <v>1</v>
      </c>
      <c r="AV97" s="191" t="str">
        <f ca="1">INDEX($BD$6:$BD$53,MATCH(AI97,$BM$6:$BM$53,0))</f>
        <v>Panamá</v>
      </c>
      <c r="AW97" s="219"/>
      <c r="AX97" s="179"/>
      <c r="AY97" s="214" t="str">
        <f ca="1">+A96</f>
        <v>Panamá</v>
      </c>
      <c r="AZ97" s="215"/>
      <c r="BA97" s="155"/>
      <c r="BN97" s="624"/>
      <c r="BO97" s="624"/>
      <c r="BR97" s="624"/>
      <c r="BS97" s="624"/>
      <c r="BT97" s="624"/>
      <c r="BU97" s="624"/>
      <c r="BV97" s="624"/>
      <c r="BW97" s="624"/>
      <c r="BX97" s="624"/>
      <c r="BY97" s="624"/>
      <c r="BZ97" s="624"/>
      <c r="CA97" s="624"/>
      <c r="CB97" s="624"/>
      <c r="CC97" s="624"/>
      <c r="CD97" s="624"/>
      <c r="CE97" s="624"/>
      <c r="CF97" s="624"/>
      <c r="CG97" s="624"/>
      <c r="CH97" s="624"/>
      <c r="CI97" s="624"/>
      <c r="CJ97" s="624"/>
      <c r="CK97" s="624"/>
      <c r="CL97" s="624"/>
      <c r="CM97" s="624"/>
      <c r="CN97" s="624"/>
      <c r="CO97" s="624"/>
      <c r="CP97" s="624"/>
      <c r="CQ97" s="624"/>
      <c r="CR97" s="624"/>
      <c r="CS97" s="624"/>
      <c r="CT97" s="624"/>
      <c r="CV97" s="624"/>
    </row>
    <row r="98" spans="1:2297 10881:10881" ht="15" thickBot="1">
      <c r="A98" s="643"/>
      <c r="B98" s="643"/>
      <c r="C98" s="643"/>
      <c r="D98" s="10"/>
      <c r="E98" s="10"/>
      <c r="F98" s="10"/>
      <c r="G98" s="10"/>
      <c r="H98" s="10"/>
      <c r="I98" s="10"/>
      <c r="J98" s="10"/>
      <c r="K98" s="10"/>
      <c r="L98" s="10"/>
      <c r="M98" s="10"/>
      <c r="N98" s="10"/>
      <c r="O98" s="10"/>
      <c r="P98" s="10"/>
      <c r="Q98" s="10"/>
      <c r="R98" s="10"/>
      <c r="S98" s="10"/>
      <c r="T98" s="10"/>
      <c r="U98" s="10"/>
      <c r="V98" s="20"/>
      <c r="W98" s="162"/>
      <c r="X98" s="163"/>
      <c r="Y98" s="162"/>
      <c r="Z98" s="164"/>
      <c r="AA98" s="165"/>
      <c r="AB98" s="166"/>
      <c r="AC98" s="159"/>
      <c r="AD98" s="159"/>
      <c r="AE98" s="166"/>
      <c r="AF98" s="167"/>
      <c r="AG98" s="337"/>
      <c r="AH98" s="189"/>
      <c r="AI98" s="189"/>
      <c r="AJ98" s="168"/>
      <c r="AK98" s="169"/>
      <c r="AL98" s="170"/>
      <c r="AM98" s="171"/>
      <c r="AN98" s="168"/>
      <c r="AO98" s="168"/>
      <c r="AP98" s="168"/>
      <c r="AQ98" s="168"/>
      <c r="AR98" s="168"/>
      <c r="AS98" s="168"/>
      <c r="AT98" s="168"/>
      <c r="AU98" s="342"/>
      <c r="AV98" s="198"/>
      <c r="AW98" s="222"/>
      <c r="AX98" s="182"/>
      <c r="AY98" s="162"/>
      <c r="AZ98" s="163"/>
      <c r="BA98" s="155"/>
    </row>
    <row r="99" spans="1:2297 10881:10881" ht="15" thickBot="1">
      <c r="A99" s="643"/>
      <c r="B99" s="643"/>
      <c r="C99" s="643"/>
      <c r="D99" s="10"/>
      <c r="E99" s="10"/>
      <c r="F99" s="10"/>
      <c r="G99" s="10"/>
      <c r="H99" s="10"/>
      <c r="I99" s="10"/>
      <c r="J99" s="10" t="s">
        <v>1307</v>
      </c>
      <c r="K99" s="10"/>
      <c r="L99" s="10"/>
      <c r="M99" s="10"/>
      <c r="N99" s="10"/>
      <c r="O99" s="10"/>
      <c r="P99" s="10"/>
      <c r="Q99" s="10"/>
      <c r="R99" s="10"/>
      <c r="S99" s="10"/>
      <c r="T99" s="10"/>
      <c r="U99" s="10"/>
      <c r="V99" s="20"/>
      <c r="W99" s="74" t="str">
        <f>Idiomas!D27</f>
        <v>Dieciseisavos de final</v>
      </c>
      <c r="X99" s="13"/>
      <c r="Y99" s="14"/>
      <c r="Z99" s="14"/>
      <c r="AA99" s="14"/>
      <c r="AB99" s="14"/>
      <c r="AC99" s="14"/>
      <c r="AD99" s="14"/>
      <c r="AE99" s="14"/>
      <c r="AF99" s="15"/>
      <c r="AG99" s="338"/>
      <c r="AH99" s="191"/>
      <c r="AI99" s="189"/>
      <c r="AJ99" s="648"/>
      <c r="AK99" s="330" t="str">
        <f ca="1">+IF(OR($H$113&gt;=48,$AJ$99&gt;=48),"",Idiomas!D69)</f>
        <v/>
      </c>
      <c r="AL99" s="170"/>
      <c r="AM99" s="170"/>
      <c r="AN99" s="170"/>
      <c r="AO99" s="170"/>
      <c r="AP99" s="170"/>
      <c r="AQ99" s="170"/>
      <c r="AR99" s="170"/>
      <c r="AS99" s="170"/>
      <c r="AT99" s="170"/>
      <c r="AU99" s="343"/>
      <c r="AV99" s="197"/>
      <c r="AW99" s="223"/>
      <c r="AX99" s="177"/>
      <c r="AY99" s="162"/>
      <c r="AZ99" s="163"/>
      <c r="BA99" s="155"/>
      <c r="DA99" s="429"/>
      <c r="DB99" s="429"/>
      <c r="DC99" s="429"/>
      <c r="DD99" s="429"/>
      <c r="DE99" s="429"/>
      <c r="DF99" s="429"/>
      <c r="DG99" s="429"/>
      <c r="DH99" s="429"/>
      <c r="DI99" s="429"/>
      <c r="DJ99" s="429"/>
      <c r="DK99" s="429"/>
      <c r="DL99" s="429"/>
      <c r="DM99" s="429"/>
      <c r="DN99" s="429"/>
      <c r="DO99" s="429"/>
      <c r="DP99" s="429"/>
      <c r="DQ99" s="429"/>
      <c r="DR99" s="429"/>
      <c r="DS99" s="429"/>
      <c r="DT99" s="429"/>
      <c r="DU99" s="429"/>
      <c r="DV99" s="429"/>
      <c r="DW99" s="429"/>
      <c r="DX99" s="429"/>
      <c r="DY99" s="429"/>
      <c r="DZ99" s="429"/>
      <c r="EA99" s="429"/>
      <c r="EB99" s="429"/>
      <c r="EC99" s="429"/>
      <c r="ED99" s="429"/>
      <c r="EE99" s="429"/>
      <c r="EF99" s="429"/>
      <c r="EG99" s="429"/>
      <c r="EH99" s="429"/>
      <c r="EI99" s="429"/>
      <c r="EJ99" s="429"/>
      <c r="EK99" s="429"/>
      <c r="EL99" s="429"/>
      <c r="EM99" s="429"/>
      <c r="EN99" s="429"/>
      <c r="EO99" s="429"/>
      <c r="EP99" s="429"/>
      <c r="EQ99" s="429"/>
      <c r="ER99" s="429"/>
      <c r="ES99" s="429"/>
      <c r="ET99" s="429"/>
      <c r="EU99" s="429"/>
      <c r="EV99" s="429"/>
      <c r="EW99" s="429"/>
      <c r="EX99" s="429"/>
      <c r="EY99" s="429"/>
      <c r="EZ99" s="429"/>
      <c r="FA99" s="429"/>
      <c r="FB99" s="429"/>
      <c r="FC99" s="429"/>
      <c r="FD99" s="429"/>
      <c r="FE99" s="429"/>
      <c r="FF99" s="429"/>
      <c r="FG99" s="429"/>
      <c r="FH99" s="429"/>
      <c r="FI99" s="429"/>
      <c r="FJ99" s="429"/>
      <c r="FK99" s="429"/>
      <c r="FL99" s="429"/>
      <c r="FM99" s="429"/>
      <c r="FN99" s="429"/>
      <c r="FO99" s="429"/>
      <c r="FP99" s="429"/>
      <c r="FQ99" s="429"/>
      <c r="FR99" s="429"/>
      <c r="FS99" s="429"/>
      <c r="FT99" s="429"/>
      <c r="FU99" s="429"/>
      <c r="FV99" s="429"/>
      <c r="FW99" s="429"/>
      <c r="FX99" s="429"/>
      <c r="FY99" s="429"/>
      <c r="FZ99" s="429"/>
      <c r="GA99" s="429"/>
      <c r="GB99" s="429"/>
      <c r="GC99" s="429"/>
      <c r="GD99" s="429"/>
      <c r="GE99" s="429"/>
      <c r="GF99" s="429"/>
      <c r="GG99" s="429"/>
      <c r="GH99" s="429"/>
      <c r="GI99" s="429"/>
      <c r="GJ99" s="429"/>
      <c r="GK99" s="429"/>
      <c r="GL99" s="429"/>
      <c r="GM99" s="429"/>
      <c r="GN99" s="429"/>
      <c r="GO99" s="429"/>
      <c r="GP99" s="429"/>
      <c r="GQ99" s="429"/>
      <c r="GR99" s="429"/>
      <c r="GS99" s="429"/>
      <c r="GT99" s="429"/>
      <c r="GU99" s="429"/>
      <c r="GV99" s="429"/>
      <c r="GW99" s="429"/>
      <c r="GX99" s="429"/>
      <c r="GY99" s="429"/>
      <c r="GZ99" s="429"/>
      <c r="HA99" s="429"/>
      <c r="HB99" s="429"/>
      <c r="HC99" s="429"/>
      <c r="HD99" s="429"/>
      <c r="HE99" s="429"/>
      <c r="HF99" s="429"/>
      <c r="HG99" s="429"/>
      <c r="HH99" s="429"/>
      <c r="HI99" s="429"/>
      <c r="HJ99" s="429"/>
      <c r="HK99" s="429"/>
      <c r="HL99" s="429"/>
      <c r="HM99" s="429"/>
      <c r="HN99" s="429"/>
      <c r="HO99" s="429"/>
      <c r="HP99" s="429"/>
      <c r="HQ99" s="429"/>
      <c r="HR99" s="429"/>
      <c r="HS99" s="429"/>
      <c r="HT99" s="429"/>
      <c r="HU99" s="429"/>
      <c r="HV99" s="429"/>
      <c r="HW99" s="429"/>
      <c r="HX99" s="429"/>
      <c r="HY99" s="429"/>
      <c r="HZ99" s="429"/>
      <c r="IA99" s="429"/>
      <c r="IB99" s="429"/>
      <c r="IC99" s="429"/>
      <c r="ID99" s="429"/>
      <c r="IE99" s="429"/>
      <c r="IF99" s="429"/>
      <c r="IG99" s="429"/>
      <c r="IH99" s="429"/>
      <c r="II99" s="429"/>
      <c r="IJ99" s="429"/>
      <c r="IK99" s="429"/>
      <c r="IL99" s="429"/>
      <c r="IM99" s="429"/>
      <c r="IN99" s="429"/>
      <c r="IO99" s="429"/>
      <c r="IP99" s="429"/>
      <c r="IQ99" s="429"/>
      <c r="IR99" s="429"/>
      <c r="IS99" s="429"/>
      <c r="IT99" s="429"/>
      <c r="IU99" s="429"/>
      <c r="IV99" s="429"/>
      <c r="IW99" s="429"/>
      <c r="IX99" s="429"/>
      <c r="IY99" s="429"/>
      <c r="IZ99" s="429"/>
      <c r="JA99" s="429"/>
      <c r="JB99" s="429"/>
      <c r="JC99" s="429"/>
      <c r="JD99" s="429"/>
      <c r="JE99" s="429"/>
      <c r="JF99" s="429"/>
      <c r="JG99" s="429"/>
      <c r="JH99" s="429"/>
      <c r="JI99" s="429"/>
      <c r="JJ99" s="429"/>
      <c r="JK99" s="429"/>
      <c r="JL99" s="429"/>
      <c r="JM99" s="429"/>
      <c r="JN99" s="429"/>
      <c r="JO99" s="429"/>
      <c r="JP99" s="429"/>
      <c r="JQ99" s="429"/>
      <c r="JR99" s="429"/>
      <c r="JS99" s="429"/>
      <c r="JT99" s="429"/>
      <c r="JU99" s="429"/>
      <c r="JV99" s="429"/>
      <c r="JW99" s="429"/>
      <c r="JX99" s="429"/>
      <c r="JY99" s="429"/>
      <c r="JZ99" s="429"/>
      <c r="KA99" s="429"/>
      <c r="KB99" s="429"/>
      <c r="KC99" s="429"/>
      <c r="KD99" s="429"/>
      <c r="KE99" s="429"/>
      <c r="KF99" s="429"/>
      <c r="KG99" s="429"/>
      <c r="KH99" s="429"/>
      <c r="KI99" s="429"/>
      <c r="KJ99" s="429"/>
      <c r="KK99" s="429"/>
      <c r="KL99" s="429"/>
      <c r="KM99" s="429"/>
      <c r="KN99" s="429"/>
      <c r="KO99" s="429"/>
      <c r="KP99" s="429"/>
      <c r="KQ99" s="429"/>
      <c r="KR99" s="429"/>
      <c r="KS99" s="429"/>
      <c r="KT99" s="429"/>
      <c r="KU99" s="429"/>
      <c r="KV99" s="429"/>
      <c r="KW99" s="429"/>
      <c r="KX99" s="429"/>
      <c r="KY99" s="429"/>
      <c r="KZ99" s="429"/>
      <c r="LA99" s="429"/>
      <c r="LB99" s="429"/>
      <c r="LC99" s="429"/>
      <c r="LD99" s="429"/>
      <c r="LE99" s="429"/>
      <c r="LF99" s="429"/>
      <c r="LG99" s="429"/>
      <c r="LH99" s="429"/>
      <c r="LI99" s="429"/>
      <c r="LJ99" s="429"/>
      <c r="LK99" s="429"/>
      <c r="LL99" s="429"/>
      <c r="LM99" s="429"/>
      <c r="LN99" s="429"/>
      <c r="LO99" s="429"/>
      <c r="LP99" s="429"/>
      <c r="LQ99" s="429"/>
      <c r="LR99" s="429"/>
      <c r="LS99" s="429"/>
      <c r="LT99" s="429"/>
      <c r="LU99" s="429"/>
      <c r="LV99" s="429"/>
      <c r="LW99" s="429"/>
      <c r="LX99" s="429"/>
      <c r="LY99" s="429"/>
      <c r="LZ99" s="429"/>
      <c r="MA99" s="429"/>
      <c r="MB99" s="429"/>
      <c r="MC99" s="429"/>
      <c r="MD99" s="429"/>
      <c r="ME99" s="429"/>
      <c r="MF99" s="429"/>
      <c r="MG99" s="429"/>
      <c r="MH99" s="429"/>
      <c r="MI99" s="429"/>
      <c r="MJ99" s="429"/>
      <c r="MK99" s="429"/>
      <c r="ML99" s="429"/>
      <c r="MM99" s="429"/>
      <c r="MN99" s="429"/>
      <c r="MO99" s="429"/>
      <c r="MP99" s="429"/>
      <c r="MQ99" s="429"/>
      <c r="MR99" s="429"/>
      <c r="MS99" s="429"/>
      <c r="MT99" s="429"/>
      <c r="MU99" s="429"/>
      <c r="MV99" s="429"/>
      <c r="MW99" s="429"/>
      <c r="MX99" s="429"/>
      <c r="MY99" s="429"/>
      <c r="MZ99" s="429"/>
      <c r="NA99" s="429"/>
      <c r="NB99" s="429"/>
      <c r="NC99" s="429"/>
      <c r="ND99" s="429"/>
      <c r="NE99" s="429"/>
      <c r="NF99" s="429"/>
      <c r="NG99" s="429"/>
      <c r="NH99" s="429"/>
      <c r="NI99" s="429"/>
      <c r="NJ99" s="429"/>
      <c r="NK99" s="429"/>
      <c r="NL99" s="429"/>
      <c r="NM99" s="429"/>
      <c r="NN99" s="429"/>
      <c r="NO99" s="429"/>
      <c r="NP99" s="429"/>
      <c r="NQ99" s="429"/>
      <c r="NR99" s="429"/>
      <c r="NS99" s="429"/>
      <c r="NT99" s="429"/>
      <c r="NU99" s="429"/>
      <c r="NV99" s="429"/>
      <c r="NW99" s="429"/>
      <c r="NX99" s="429"/>
      <c r="NY99" s="429"/>
      <c r="NZ99" s="429"/>
      <c r="OA99" s="429"/>
      <c r="OB99" s="429"/>
      <c r="OC99" s="429"/>
      <c r="OD99" s="429"/>
      <c r="OE99" s="429"/>
      <c r="OF99" s="429"/>
      <c r="OG99" s="429"/>
      <c r="OH99" s="429"/>
      <c r="OI99" s="429"/>
      <c r="OJ99" s="429"/>
      <c r="OK99" s="429"/>
      <c r="OL99" s="429"/>
      <c r="OM99" s="429"/>
      <c r="ON99" s="429"/>
      <c r="OO99" s="429"/>
      <c r="OP99" s="429"/>
      <c r="OQ99" s="429"/>
      <c r="OR99" s="429"/>
      <c r="OS99" s="429"/>
      <c r="OT99" s="429"/>
      <c r="OU99" s="429"/>
      <c r="OV99" s="429"/>
      <c r="OW99" s="429"/>
      <c r="OX99" s="429"/>
      <c r="OY99" s="429"/>
      <c r="OZ99" s="429"/>
      <c r="PA99" s="429"/>
      <c r="PB99" s="429"/>
      <c r="PC99" s="429"/>
      <c r="PD99" s="429"/>
      <c r="PE99" s="429"/>
      <c r="PF99" s="429"/>
      <c r="PG99" s="429"/>
      <c r="PH99" s="429"/>
      <c r="PI99" s="429"/>
      <c r="PJ99" s="429"/>
      <c r="PK99" s="429"/>
      <c r="PL99" s="429"/>
      <c r="PM99" s="429"/>
      <c r="PN99" s="429"/>
      <c r="PO99" s="429"/>
      <c r="PP99" s="429"/>
      <c r="PQ99" s="429"/>
      <c r="PR99" s="429"/>
      <c r="PS99" s="429"/>
      <c r="PT99" s="429"/>
      <c r="PU99" s="429"/>
      <c r="PV99" s="429"/>
      <c r="PW99" s="429"/>
      <c r="PX99" s="429"/>
      <c r="PY99" s="429"/>
      <c r="PZ99" s="429"/>
      <c r="QA99" s="429"/>
      <c r="QB99" s="429"/>
      <c r="QC99" s="429"/>
      <c r="QD99" s="429"/>
      <c r="QE99" s="429"/>
      <c r="QF99" s="429"/>
      <c r="QG99" s="429"/>
      <c r="QH99" s="429"/>
      <c r="QI99" s="429"/>
      <c r="QJ99" s="429"/>
      <c r="QK99" s="429"/>
      <c r="QL99" s="429"/>
      <c r="QM99" s="429"/>
      <c r="QN99" s="429"/>
      <c r="QO99" s="429"/>
      <c r="QP99" s="429"/>
      <c r="QQ99" s="429"/>
      <c r="QR99" s="429"/>
      <c r="QS99" s="429"/>
      <c r="QT99" s="429"/>
      <c r="QU99" s="429"/>
      <c r="QV99" s="429"/>
      <c r="QW99" s="429"/>
      <c r="QX99" s="429"/>
      <c r="QY99" s="429"/>
      <c r="QZ99" s="429"/>
      <c r="RA99" s="429"/>
      <c r="RB99" s="429"/>
      <c r="RC99" s="429"/>
      <c r="RD99" s="429"/>
      <c r="RE99" s="429"/>
      <c r="RF99" s="429"/>
      <c r="RG99" s="429"/>
      <c r="RH99" s="429"/>
      <c r="RI99" s="429"/>
      <c r="RJ99" s="429"/>
      <c r="RK99" s="429"/>
      <c r="RL99" s="429"/>
      <c r="RM99" s="429"/>
      <c r="RN99" s="429"/>
      <c r="RO99" s="429"/>
      <c r="RP99" s="429"/>
      <c r="RQ99" s="429"/>
      <c r="RR99" s="429"/>
      <c r="RS99" s="429"/>
      <c r="RT99" s="429"/>
      <c r="RU99" s="429"/>
      <c r="RV99" s="429"/>
      <c r="RW99" s="429"/>
      <c r="RX99" s="429"/>
      <c r="RY99" s="429"/>
      <c r="RZ99" s="429"/>
      <c r="SA99" s="429"/>
      <c r="SB99" s="429"/>
      <c r="SC99" s="429"/>
      <c r="SD99" s="429"/>
      <c r="SE99" s="429"/>
      <c r="SF99" s="429"/>
      <c r="SG99" s="429"/>
      <c r="SH99" s="429"/>
      <c r="SI99" s="429"/>
      <c r="SJ99" s="429"/>
      <c r="SK99" s="429"/>
      <c r="SL99" s="429"/>
      <c r="SM99" s="429"/>
      <c r="SN99" s="429"/>
      <c r="SO99" s="429"/>
      <c r="SP99" s="429"/>
      <c r="SQ99" s="429"/>
      <c r="SR99" s="429"/>
      <c r="SS99" s="429"/>
      <c r="ST99" s="429"/>
      <c r="SU99" s="429"/>
      <c r="SV99" s="429"/>
      <c r="SW99" s="429"/>
      <c r="SX99" s="429"/>
      <c r="SY99" s="429"/>
      <c r="SZ99" s="429"/>
      <c r="TA99" s="429"/>
      <c r="TB99" s="429"/>
      <c r="TC99" s="429"/>
      <c r="TD99" s="429"/>
      <c r="TE99" s="429"/>
      <c r="TF99" s="429"/>
      <c r="TG99" s="429"/>
      <c r="TH99" s="429"/>
      <c r="TI99" s="429"/>
      <c r="TJ99" s="429"/>
      <c r="TK99" s="429"/>
      <c r="TL99" s="429"/>
      <c r="TM99" s="429"/>
      <c r="TN99" s="429"/>
      <c r="TO99" s="429"/>
      <c r="TP99" s="429"/>
      <c r="TQ99" s="429"/>
      <c r="TR99" s="429"/>
      <c r="TS99" s="429"/>
      <c r="TT99" s="429"/>
      <c r="TU99" s="429"/>
      <c r="TV99" s="429"/>
      <c r="TW99" s="429"/>
      <c r="TX99" s="429"/>
      <c r="TY99" s="429"/>
      <c r="TZ99" s="429"/>
      <c r="UA99" s="429"/>
      <c r="UB99" s="429"/>
      <c r="UC99" s="429"/>
      <c r="UD99" s="429"/>
      <c r="UE99" s="429"/>
      <c r="UF99" s="429"/>
      <c r="UG99" s="429"/>
      <c r="UH99" s="429"/>
      <c r="UI99" s="429"/>
      <c r="UJ99" s="429"/>
      <c r="UK99" s="429"/>
      <c r="UL99" s="429"/>
      <c r="UM99" s="429"/>
      <c r="UN99" s="429"/>
      <c r="UO99" s="429"/>
      <c r="UP99" s="429"/>
      <c r="UQ99" s="429"/>
      <c r="UR99" s="429"/>
      <c r="US99" s="429"/>
      <c r="UT99" s="429"/>
      <c r="UU99" s="429"/>
      <c r="UV99" s="429"/>
      <c r="UW99" s="429"/>
      <c r="UX99" s="429"/>
      <c r="UY99" s="429"/>
      <c r="UZ99" s="429"/>
      <c r="VA99" s="429"/>
      <c r="VB99" s="429"/>
      <c r="VC99" s="429"/>
      <c r="VD99" s="429"/>
      <c r="VE99" s="429"/>
      <c r="VF99" s="429"/>
      <c r="VG99" s="429"/>
      <c r="VH99" s="429"/>
      <c r="VI99" s="429"/>
      <c r="VJ99" s="429"/>
      <c r="VK99" s="429"/>
      <c r="VL99" s="429"/>
      <c r="VM99" s="429"/>
      <c r="VN99" s="429"/>
      <c r="VO99" s="429"/>
      <c r="VP99" s="429"/>
      <c r="VQ99" s="429"/>
      <c r="VR99" s="429"/>
      <c r="VS99" s="429"/>
      <c r="VT99" s="429"/>
      <c r="VU99" s="429"/>
      <c r="VV99" s="429"/>
      <c r="VW99" s="429"/>
      <c r="VX99" s="429"/>
      <c r="VY99" s="429"/>
      <c r="VZ99" s="429"/>
      <c r="WA99" s="429"/>
      <c r="WB99" s="429"/>
      <c r="WC99" s="429"/>
      <c r="WD99" s="429"/>
      <c r="WE99" s="429"/>
      <c r="WF99" s="429"/>
      <c r="WG99" s="429"/>
      <c r="WH99" s="429"/>
      <c r="WI99" s="429"/>
      <c r="WJ99" s="429"/>
      <c r="WK99" s="429"/>
      <c r="WL99" s="429"/>
      <c r="WM99" s="429"/>
      <c r="WN99" s="429"/>
      <c r="WO99" s="429"/>
      <c r="WP99" s="429"/>
      <c r="WQ99" s="429"/>
      <c r="WR99" s="429"/>
      <c r="WS99" s="429"/>
      <c r="WT99" s="429"/>
      <c r="WU99" s="429"/>
      <c r="WV99" s="429"/>
      <c r="WW99" s="429"/>
      <c r="WX99" s="429"/>
      <c r="WY99" s="429"/>
      <c r="WZ99" s="429"/>
      <c r="XA99" s="429"/>
      <c r="XB99" s="429"/>
      <c r="XC99" s="429"/>
      <c r="XD99" s="429"/>
      <c r="XE99" s="429"/>
      <c r="XF99" s="429"/>
      <c r="XG99" s="429"/>
      <c r="XH99" s="429"/>
      <c r="XI99" s="429"/>
      <c r="XJ99" s="429"/>
      <c r="XK99" s="429"/>
      <c r="XL99" s="429"/>
      <c r="XM99" s="429"/>
      <c r="XN99" s="429"/>
      <c r="XO99" s="429"/>
      <c r="XP99" s="429"/>
      <c r="XQ99" s="429"/>
      <c r="XR99" s="429"/>
      <c r="XS99" s="429"/>
      <c r="XT99" s="429"/>
      <c r="XU99" s="429"/>
      <c r="XV99" s="429"/>
      <c r="XW99" s="429"/>
      <c r="XX99" s="429"/>
      <c r="XY99" s="429"/>
      <c r="XZ99" s="429"/>
      <c r="YA99" s="429"/>
      <c r="YB99" s="429"/>
      <c r="YC99" s="429"/>
      <c r="YD99" s="429"/>
      <c r="YE99" s="429"/>
      <c r="YF99" s="429"/>
      <c r="YG99" s="429"/>
      <c r="YH99" s="429"/>
      <c r="YI99" s="429"/>
      <c r="YJ99" s="429"/>
      <c r="YK99" s="429"/>
      <c r="YL99" s="429"/>
      <c r="YM99" s="429"/>
      <c r="YN99" s="429"/>
      <c r="YO99" s="429"/>
      <c r="YP99" s="429"/>
      <c r="YQ99" s="429"/>
      <c r="YR99" s="429"/>
      <c r="YS99" s="429"/>
      <c r="YT99" s="429"/>
      <c r="YU99" s="429"/>
      <c r="YV99" s="429"/>
      <c r="YW99" s="429"/>
      <c r="YX99" s="429"/>
      <c r="YY99" s="429"/>
      <c r="YZ99" s="429"/>
      <c r="ZA99" s="429"/>
      <c r="ZB99" s="429"/>
      <c r="ZC99" s="429"/>
      <c r="ZD99" s="429"/>
      <c r="ZE99" s="429"/>
      <c r="ZF99" s="429"/>
      <c r="ZG99" s="429"/>
      <c r="ZH99" s="429"/>
      <c r="ZI99" s="429"/>
      <c r="ZJ99" s="429"/>
      <c r="ZK99" s="429"/>
      <c r="ZL99" s="429"/>
      <c r="ZM99" s="429"/>
      <c r="ZN99" s="429"/>
      <c r="ZO99" s="429"/>
      <c r="ZP99" s="429"/>
      <c r="ZQ99" s="429"/>
      <c r="ZR99" s="429"/>
      <c r="ZS99" s="429"/>
      <c r="ZT99" s="429"/>
      <c r="ZU99" s="429"/>
      <c r="ZV99" s="429"/>
      <c r="ZW99" s="429"/>
      <c r="ZX99" s="429"/>
      <c r="ZY99" s="429"/>
      <c r="ZZ99" s="429"/>
      <c r="AAA99" s="429"/>
      <c r="AAB99" s="429"/>
      <c r="AAC99" s="429"/>
      <c r="AAD99" s="429"/>
      <c r="AAE99" s="429"/>
      <c r="AAF99" s="429"/>
      <c r="AAG99" s="429"/>
      <c r="AAH99" s="429"/>
      <c r="AAI99" s="429"/>
      <c r="AAJ99" s="429"/>
      <c r="AAK99" s="429"/>
      <c r="AAL99" s="429"/>
      <c r="AAM99" s="429"/>
      <c r="AAN99" s="429"/>
      <c r="AAO99" s="429"/>
      <c r="AAP99" s="429"/>
      <c r="AAQ99" s="429"/>
      <c r="AAR99" s="429"/>
      <c r="AAS99" s="429"/>
      <c r="AAT99" s="429"/>
      <c r="AAU99" s="429"/>
      <c r="AAV99" s="429"/>
      <c r="AAW99" s="429"/>
      <c r="AAX99" s="429"/>
      <c r="AAY99" s="429"/>
      <c r="AAZ99" s="429"/>
      <c r="ABA99" s="429"/>
      <c r="ABB99" s="429"/>
      <c r="ABC99" s="429"/>
      <c r="ABD99" s="429"/>
      <c r="ABE99" s="429"/>
      <c r="ABF99" s="429"/>
      <c r="ABG99" s="429"/>
      <c r="ABH99" s="429"/>
      <c r="ABI99" s="429"/>
      <c r="ABJ99" s="429"/>
      <c r="ABK99" s="429"/>
      <c r="ABL99" s="429"/>
      <c r="ABM99" s="429"/>
      <c r="ABN99" s="429"/>
      <c r="ABO99" s="429"/>
      <c r="ABP99" s="429"/>
      <c r="ABQ99" s="429"/>
      <c r="ABR99" s="429"/>
      <c r="ABS99" s="429"/>
      <c r="ABT99" s="429"/>
      <c r="ABU99" s="429"/>
      <c r="ABV99" s="429"/>
      <c r="ABW99" s="429"/>
      <c r="ABX99" s="429"/>
      <c r="ABY99" s="429"/>
      <c r="ABZ99" s="429"/>
      <c r="ACA99" s="429"/>
      <c r="ACB99" s="429"/>
      <c r="ACC99" s="429"/>
      <c r="ACD99" s="429"/>
      <c r="ACE99" s="429"/>
      <c r="ACF99" s="429"/>
      <c r="ACG99" s="429"/>
      <c r="ACH99" s="429"/>
      <c r="ACI99" s="429"/>
      <c r="ACJ99" s="429"/>
      <c r="ACK99" s="429"/>
      <c r="ACL99" s="429"/>
      <c r="ACM99" s="429"/>
      <c r="ACN99" s="429"/>
      <c r="ACO99" s="429"/>
      <c r="ACP99" s="429"/>
      <c r="ACQ99" s="429"/>
      <c r="ACR99" s="429"/>
      <c r="ACS99" s="429"/>
      <c r="ACT99" s="429"/>
      <c r="ACU99" s="429"/>
      <c r="ACV99" s="429"/>
      <c r="ACW99" s="429"/>
      <c r="ACX99" s="429"/>
      <c r="ACY99" s="429"/>
      <c r="ACZ99" s="429"/>
      <c r="ADA99" s="429"/>
      <c r="ADB99" s="429"/>
      <c r="ADC99" s="429"/>
      <c r="ADD99" s="429"/>
      <c r="ADE99" s="429"/>
      <c r="ADF99" s="429"/>
      <c r="ADG99" s="429"/>
      <c r="ADH99" s="429"/>
      <c r="ADI99" s="429"/>
      <c r="ADJ99" s="429"/>
      <c r="ADK99" s="429"/>
      <c r="ADL99" s="429"/>
      <c r="ADM99" s="429"/>
      <c r="ADN99" s="429"/>
      <c r="ADO99" s="429"/>
      <c r="ADP99" s="429"/>
      <c r="ADQ99" s="429"/>
      <c r="ADR99" s="429"/>
      <c r="ADS99" s="429"/>
      <c r="ADT99" s="429"/>
      <c r="ADU99" s="429"/>
      <c r="ADV99" s="429"/>
      <c r="ADW99" s="429"/>
      <c r="ADX99" s="429"/>
      <c r="ADY99" s="429"/>
      <c r="ADZ99" s="429"/>
      <c r="AEA99" s="429"/>
      <c r="AEB99" s="429"/>
      <c r="AEC99" s="429"/>
      <c r="AED99" s="429"/>
      <c r="AEE99" s="429"/>
      <c r="AEF99" s="429"/>
      <c r="AEG99" s="429"/>
      <c r="AEH99" s="429"/>
      <c r="AEI99" s="429"/>
      <c r="AEJ99" s="429"/>
      <c r="AEK99" s="429"/>
      <c r="AEL99" s="429"/>
      <c r="AEM99" s="429"/>
      <c r="AEN99" s="429"/>
      <c r="AEO99" s="429"/>
      <c r="AEP99" s="429"/>
      <c r="AEQ99" s="429"/>
      <c r="AER99" s="429"/>
      <c r="AES99" s="429"/>
      <c r="AET99" s="429"/>
      <c r="AEU99" s="429"/>
      <c r="AEV99" s="429"/>
      <c r="AEW99" s="429"/>
      <c r="AEX99" s="429"/>
      <c r="AEY99" s="429"/>
      <c r="AEZ99" s="429"/>
      <c r="AFA99" s="429"/>
      <c r="AFB99" s="429"/>
      <c r="AFC99" s="429"/>
      <c r="AFD99" s="429"/>
      <c r="AFE99" s="429"/>
      <c r="AFF99" s="429"/>
      <c r="AFG99" s="429"/>
      <c r="AFH99" s="429"/>
      <c r="AFI99" s="429"/>
      <c r="AFJ99" s="429"/>
      <c r="AFK99" s="429"/>
      <c r="AFL99" s="429"/>
      <c r="AFM99" s="429"/>
      <c r="AFN99" s="429"/>
      <c r="AFO99" s="429"/>
      <c r="AFP99" s="429"/>
      <c r="AFQ99" s="429"/>
      <c r="AFR99" s="429"/>
      <c r="AFS99" s="429"/>
      <c r="AFT99" s="429"/>
      <c r="AFU99" s="429"/>
      <c r="AFV99" s="429"/>
      <c r="AFW99" s="429"/>
      <c r="AFX99" s="429"/>
      <c r="AFY99" s="429"/>
      <c r="AFZ99" s="429"/>
      <c r="AGA99" s="429"/>
      <c r="AGB99" s="429"/>
      <c r="AGC99" s="429"/>
      <c r="AGD99" s="429"/>
      <c r="AGE99" s="429"/>
      <c r="AGF99" s="429"/>
      <c r="AGG99" s="429"/>
      <c r="AGH99" s="429"/>
      <c r="AGI99" s="429"/>
      <c r="AGJ99" s="429"/>
      <c r="AGK99" s="429"/>
      <c r="AGL99" s="429"/>
      <c r="AGM99" s="429"/>
      <c r="AGN99" s="429"/>
      <c r="AGO99" s="429"/>
      <c r="AGP99" s="429"/>
      <c r="AGQ99" s="429"/>
      <c r="AGR99" s="429"/>
      <c r="AGS99" s="429"/>
      <c r="AGT99" s="429"/>
      <c r="AGU99" s="429"/>
      <c r="AGV99" s="429"/>
      <c r="AGW99" s="429"/>
      <c r="AGX99" s="429"/>
      <c r="AGY99" s="429"/>
      <c r="AGZ99" s="429"/>
      <c r="AHA99" s="429"/>
      <c r="AHB99" s="429"/>
      <c r="AHC99" s="429"/>
      <c r="AHD99" s="429"/>
      <c r="AHE99" s="429"/>
      <c r="AHF99" s="429"/>
      <c r="AHG99" s="429"/>
      <c r="AHH99" s="429"/>
      <c r="AHI99" s="429"/>
      <c r="AHJ99" s="429"/>
      <c r="AHK99" s="429"/>
      <c r="AHL99" s="429"/>
      <c r="AHM99" s="429"/>
      <c r="AHN99" s="429"/>
      <c r="AHO99" s="429"/>
      <c r="AHP99" s="429"/>
      <c r="AHQ99" s="429"/>
      <c r="AHR99" s="429"/>
      <c r="AHS99" s="429"/>
      <c r="AHT99" s="429"/>
      <c r="AHU99" s="429"/>
      <c r="AHV99" s="429"/>
      <c r="AHW99" s="429"/>
      <c r="AHX99" s="429"/>
      <c r="AHY99" s="429"/>
      <c r="AHZ99" s="429"/>
      <c r="AIA99" s="429"/>
      <c r="AIB99" s="429"/>
      <c r="AIC99" s="429"/>
      <c r="AID99" s="429"/>
      <c r="AIE99" s="429"/>
      <c r="AIF99" s="429"/>
      <c r="AIG99" s="429"/>
      <c r="AIH99" s="429"/>
      <c r="AII99" s="429"/>
      <c r="AIJ99" s="429"/>
      <c r="AIK99" s="429"/>
      <c r="AIL99" s="429"/>
      <c r="AIM99" s="429"/>
      <c r="AIN99" s="429"/>
      <c r="AIO99" s="429"/>
      <c r="AIP99" s="429"/>
      <c r="AIQ99" s="429"/>
      <c r="AIR99" s="429"/>
      <c r="AIS99" s="429"/>
      <c r="AIT99" s="429"/>
      <c r="AIU99" s="429"/>
      <c r="AIV99" s="429"/>
      <c r="AIW99" s="429"/>
      <c r="AIX99" s="429"/>
      <c r="AIY99" s="429"/>
      <c r="AIZ99" s="429"/>
      <c r="AJA99" s="429"/>
      <c r="AJB99" s="429"/>
      <c r="AJC99" s="429"/>
      <c r="AJD99" s="429"/>
      <c r="AJE99" s="429"/>
      <c r="AJF99" s="429"/>
      <c r="AJG99" s="429"/>
      <c r="AJH99" s="429"/>
      <c r="AJI99" s="429"/>
      <c r="AJJ99" s="429"/>
      <c r="AJK99" s="429"/>
      <c r="AJL99" s="429"/>
      <c r="AJM99" s="429"/>
      <c r="AJN99" s="429"/>
      <c r="AJO99" s="429"/>
      <c r="AJP99" s="429"/>
      <c r="AJQ99" s="429"/>
      <c r="AJR99" s="429"/>
      <c r="AJS99" s="429"/>
      <c r="AJT99" s="429"/>
      <c r="AJU99" s="429"/>
      <c r="AJV99" s="429"/>
      <c r="AJW99" s="429"/>
      <c r="AJX99" s="429"/>
      <c r="AJY99" s="429"/>
      <c r="AJZ99" s="429"/>
      <c r="AKA99" s="429"/>
      <c r="AKB99" s="429"/>
      <c r="AKC99" s="429"/>
      <c r="AKD99" s="429"/>
      <c r="AKE99" s="429"/>
      <c r="AKF99" s="429"/>
      <c r="AKG99" s="429"/>
      <c r="AKH99" s="429"/>
      <c r="AKI99" s="429"/>
      <c r="AKJ99" s="429"/>
      <c r="AKK99" s="429"/>
      <c r="AKL99" s="429"/>
      <c r="AKM99" s="429"/>
      <c r="AKN99" s="429"/>
      <c r="AKO99" s="429"/>
      <c r="AKP99" s="429"/>
      <c r="AKQ99" s="429"/>
      <c r="AKR99" s="429"/>
      <c r="AKS99" s="429"/>
      <c r="AKT99" s="429"/>
      <c r="AKU99" s="429"/>
      <c r="AKV99" s="429"/>
      <c r="AKW99" s="429"/>
      <c r="AKX99" s="429"/>
      <c r="AKY99" s="429"/>
      <c r="AKZ99" s="429"/>
      <c r="ALA99" s="429"/>
      <c r="ALB99" s="429"/>
      <c r="ALC99" s="429"/>
      <c r="ALD99" s="429"/>
      <c r="ALE99" s="429"/>
      <c r="ALF99" s="429"/>
      <c r="ALG99" s="429"/>
      <c r="ALH99" s="429"/>
      <c r="ALI99" s="429"/>
      <c r="ALJ99" s="429"/>
      <c r="ALK99" s="429"/>
      <c r="ALL99" s="429"/>
      <c r="ALM99" s="429"/>
      <c r="ALN99" s="429"/>
      <c r="ALO99" s="429"/>
      <c r="ALP99" s="429"/>
      <c r="ALQ99" s="429"/>
      <c r="ALR99" s="429"/>
      <c r="ALS99" s="429"/>
      <c r="ALT99" s="429"/>
      <c r="ALU99" s="429"/>
      <c r="ALV99" s="429"/>
      <c r="ALW99" s="429"/>
      <c r="ALX99" s="429"/>
      <c r="ALY99" s="429"/>
      <c r="ALZ99" s="429"/>
      <c r="AMA99" s="429"/>
      <c r="AMB99" s="429"/>
      <c r="AMC99" s="429"/>
      <c r="AMD99" s="429"/>
      <c r="AME99" s="429"/>
      <c r="AMF99" s="429"/>
      <c r="AMG99" s="429"/>
      <c r="AMH99" s="429"/>
      <c r="AMI99" s="429"/>
      <c r="AMJ99" s="429"/>
      <c r="AMK99" s="429"/>
      <c r="AML99" s="429"/>
      <c r="AMM99" s="429"/>
      <c r="AMN99" s="429"/>
      <c r="AMO99" s="429"/>
      <c r="AMP99" s="429"/>
      <c r="AMQ99" s="429"/>
      <c r="AMR99" s="429"/>
      <c r="AMS99" s="429"/>
      <c r="AMT99" s="429"/>
      <c r="AMU99" s="429"/>
      <c r="AMV99" s="429"/>
      <c r="AMW99" s="429"/>
      <c r="AMX99" s="429"/>
      <c r="AMY99" s="429"/>
      <c r="AMZ99" s="429"/>
      <c r="ANA99" s="429"/>
      <c r="ANB99" s="429"/>
      <c r="ANC99" s="429"/>
      <c r="AND99" s="429"/>
      <c r="ANE99" s="429"/>
      <c r="ANF99" s="429"/>
      <c r="ANG99" s="429"/>
      <c r="ANH99" s="429"/>
      <c r="ANI99" s="429"/>
      <c r="ANJ99" s="429"/>
      <c r="ANK99" s="429"/>
      <c r="ANL99" s="429"/>
      <c r="ANM99" s="429"/>
      <c r="ANN99" s="429"/>
      <c r="ANO99" s="429"/>
      <c r="ANP99" s="429"/>
      <c r="ANQ99" s="429"/>
      <c r="ANR99" s="429"/>
      <c r="ANS99" s="429"/>
      <c r="ANT99" s="429"/>
      <c r="ANU99" s="429"/>
      <c r="ANV99" s="429"/>
      <c r="ANW99" s="429"/>
      <c r="ANX99" s="429"/>
      <c r="ANY99" s="429"/>
      <c r="ANZ99" s="429"/>
      <c r="AOA99" s="429"/>
      <c r="AOB99" s="429"/>
      <c r="AOC99" s="429"/>
      <c r="AOD99" s="429"/>
      <c r="AOE99" s="429"/>
      <c r="AOF99" s="429"/>
      <c r="AOG99" s="429"/>
      <c r="AOH99" s="429"/>
      <c r="AOI99" s="429"/>
      <c r="AOJ99" s="429"/>
      <c r="AOK99" s="429"/>
      <c r="AOL99" s="429"/>
      <c r="AOM99" s="429"/>
      <c r="AON99" s="429"/>
      <c r="AOO99" s="429"/>
      <c r="AOP99" s="429"/>
      <c r="AOQ99" s="429"/>
      <c r="AOR99" s="429"/>
      <c r="AOS99" s="429"/>
      <c r="AOT99" s="429"/>
      <c r="AOU99" s="429"/>
      <c r="AOV99" s="429"/>
      <c r="AOW99" s="429"/>
      <c r="AOX99" s="429"/>
      <c r="AOY99" s="429"/>
      <c r="AOZ99" s="429"/>
      <c r="APA99" s="429"/>
      <c r="APB99" s="429"/>
      <c r="APC99" s="429"/>
      <c r="APD99" s="429"/>
      <c r="APE99" s="429"/>
      <c r="APF99" s="429"/>
      <c r="APG99" s="429"/>
      <c r="APH99" s="429"/>
      <c r="API99" s="429"/>
      <c r="APJ99" s="429"/>
      <c r="APK99" s="429"/>
      <c r="APL99" s="429"/>
      <c r="APM99" s="429"/>
      <c r="APN99" s="429"/>
      <c r="APO99" s="429"/>
      <c r="APP99" s="429"/>
      <c r="APQ99" s="429"/>
      <c r="APR99" s="429"/>
      <c r="APS99" s="429"/>
      <c r="APT99" s="429"/>
      <c r="APU99" s="429"/>
      <c r="APV99" s="429"/>
      <c r="APW99" s="429"/>
      <c r="APX99" s="429"/>
      <c r="APY99" s="429"/>
      <c r="APZ99" s="429"/>
      <c r="AQA99" s="429"/>
      <c r="AQB99" s="429"/>
      <c r="AQC99" s="429"/>
      <c r="AQD99" s="429"/>
      <c r="AQE99" s="429"/>
      <c r="AQF99" s="429"/>
      <c r="AQG99" s="429"/>
      <c r="AQH99" s="429"/>
      <c r="AQI99" s="429"/>
      <c r="AQJ99" s="429"/>
      <c r="AQK99" s="429"/>
      <c r="AQL99" s="429"/>
      <c r="AQM99" s="429"/>
      <c r="AQN99" s="429"/>
      <c r="AQO99" s="429"/>
      <c r="AQP99" s="429"/>
      <c r="AQQ99" s="429"/>
      <c r="AQR99" s="429"/>
      <c r="AQS99" s="429"/>
      <c r="AQT99" s="429"/>
      <c r="AQU99" s="429"/>
      <c r="AQV99" s="429"/>
      <c r="AQW99" s="429"/>
      <c r="AQX99" s="429"/>
      <c r="AQY99" s="429"/>
      <c r="AQZ99" s="429"/>
      <c r="ARA99" s="429"/>
      <c r="ARB99" s="429"/>
      <c r="ARC99" s="429"/>
      <c r="ARD99" s="429"/>
      <c r="ARE99" s="429"/>
      <c r="ARF99" s="429"/>
      <c r="ARG99" s="429"/>
      <c r="ARH99" s="429"/>
      <c r="ARI99" s="429"/>
      <c r="ARJ99" s="429"/>
      <c r="ARK99" s="429"/>
      <c r="ARL99" s="429"/>
      <c r="ARM99" s="429"/>
      <c r="ARN99" s="429"/>
      <c r="ARO99" s="429"/>
      <c r="ARP99" s="429"/>
      <c r="ARQ99" s="429"/>
      <c r="ARR99" s="429"/>
      <c r="ARS99" s="429"/>
      <c r="ART99" s="429"/>
      <c r="ARU99" s="429"/>
      <c r="ARV99" s="429"/>
      <c r="ARW99" s="429"/>
      <c r="ARX99" s="429"/>
      <c r="ARY99" s="429"/>
      <c r="ARZ99" s="429"/>
      <c r="ASA99" s="429"/>
      <c r="ASB99" s="429"/>
      <c r="ASC99" s="429"/>
      <c r="ASD99" s="429"/>
      <c r="ASE99" s="429"/>
      <c r="ASF99" s="429"/>
      <c r="ASG99" s="429"/>
      <c r="ASH99" s="429"/>
      <c r="ASI99" s="429"/>
      <c r="ASJ99" s="429"/>
      <c r="ASK99" s="429"/>
      <c r="ASL99" s="429"/>
      <c r="ASM99" s="429"/>
      <c r="ASN99" s="429"/>
      <c r="ASO99" s="429"/>
      <c r="ASP99" s="429"/>
      <c r="ASQ99" s="429"/>
      <c r="ASR99" s="429"/>
      <c r="ASS99" s="429"/>
      <c r="AST99" s="429"/>
      <c r="ASU99" s="429"/>
      <c r="ASV99" s="429"/>
      <c r="ASW99" s="429"/>
      <c r="ASX99" s="429"/>
      <c r="ASY99" s="429"/>
      <c r="ASZ99" s="429"/>
      <c r="ATA99" s="429"/>
      <c r="ATB99" s="429"/>
      <c r="ATC99" s="429"/>
      <c r="ATD99" s="429"/>
      <c r="ATE99" s="429"/>
      <c r="ATF99" s="429"/>
      <c r="ATG99" s="429"/>
      <c r="ATH99" s="429"/>
      <c r="ATI99" s="429"/>
      <c r="ATJ99" s="429"/>
      <c r="ATK99" s="429"/>
      <c r="ATL99" s="429"/>
      <c r="ATM99" s="429"/>
      <c r="ATN99" s="429"/>
      <c r="ATO99" s="429"/>
      <c r="ATP99" s="429"/>
      <c r="ATQ99" s="429"/>
      <c r="ATR99" s="429"/>
      <c r="ATS99" s="429"/>
      <c r="ATT99" s="429"/>
      <c r="ATU99" s="429"/>
      <c r="ATV99" s="429"/>
      <c r="ATW99" s="429"/>
      <c r="ATX99" s="429"/>
      <c r="ATY99" s="429"/>
      <c r="ATZ99" s="429"/>
      <c r="AUA99" s="429"/>
      <c r="AUB99" s="429"/>
      <c r="AUC99" s="429"/>
      <c r="AUD99" s="429"/>
      <c r="AUE99" s="429"/>
      <c r="AUF99" s="429"/>
      <c r="AUG99" s="429"/>
      <c r="AUH99" s="429"/>
      <c r="AUI99" s="429"/>
      <c r="AUJ99" s="429"/>
      <c r="AUK99" s="429"/>
      <c r="AUL99" s="429"/>
      <c r="AUM99" s="429"/>
      <c r="AUN99" s="429"/>
      <c r="AUO99" s="429"/>
      <c r="AUP99" s="429"/>
      <c r="AUQ99" s="429"/>
      <c r="AUR99" s="429"/>
      <c r="AUS99" s="429"/>
      <c r="AUT99" s="429"/>
      <c r="AUU99" s="429"/>
      <c r="AUV99" s="429"/>
      <c r="AUW99" s="429"/>
      <c r="AUX99" s="429"/>
      <c r="AUY99" s="429"/>
      <c r="AUZ99" s="429"/>
      <c r="AVA99" s="429"/>
      <c r="AVB99" s="429"/>
      <c r="AVC99" s="429"/>
      <c r="AVD99" s="429"/>
      <c r="AVE99" s="429"/>
      <c r="AVF99" s="429"/>
      <c r="AVG99" s="429"/>
      <c r="AVH99" s="429"/>
      <c r="AVI99" s="429"/>
      <c r="AVJ99" s="429"/>
      <c r="AVK99" s="429"/>
      <c r="AVL99" s="429"/>
      <c r="AVM99" s="429"/>
      <c r="AVN99" s="429"/>
      <c r="AVO99" s="429"/>
      <c r="AVP99" s="429"/>
      <c r="AVQ99" s="429"/>
      <c r="AVR99" s="429"/>
      <c r="AVS99" s="429"/>
      <c r="AVT99" s="429"/>
      <c r="AVU99" s="429"/>
      <c r="AVV99" s="429"/>
      <c r="AVW99" s="429"/>
      <c r="AVX99" s="429"/>
      <c r="AVY99" s="429"/>
      <c r="AVZ99" s="429"/>
      <c r="AWA99" s="429"/>
      <c r="AWB99" s="429"/>
      <c r="AWC99" s="429"/>
      <c r="AWD99" s="429"/>
      <c r="AWE99" s="429"/>
      <c r="AWF99" s="429"/>
      <c r="AWG99" s="429"/>
      <c r="AWH99" s="429"/>
      <c r="AWI99" s="429"/>
      <c r="AWJ99" s="429"/>
      <c r="AWK99" s="429"/>
      <c r="AWL99" s="429"/>
      <c r="AWM99" s="429"/>
      <c r="AWN99" s="429"/>
      <c r="AWO99" s="429"/>
      <c r="AWP99" s="429"/>
      <c r="AWQ99" s="429"/>
      <c r="AWR99" s="429"/>
      <c r="AWS99" s="429"/>
      <c r="AWT99" s="429"/>
      <c r="AWU99" s="429"/>
      <c r="AWV99" s="429"/>
      <c r="AWW99" s="429"/>
      <c r="AWX99" s="429"/>
      <c r="AWY99" s="429"/>
      <c r="AWZ99" s="429"/>
      <c r="AXA99" s="429"/>
      <c r="AXB99" s="429"/>
      <c r="AXC99" s="429"/>
      <c r="AXD99" s="429"/>
      <c r="AXE99" s="429"/>
      <c r="AXF99" s="429"/>
      <c r="AXG99" s="429"/>
      <c r="AXH99" s="429"/>
      <c r="AXI99" s="429"/>
      <c r="AXJ99" s="429"/>
      <c r="AXK99" s="429"/>
      <c r="AXL99" s="429"/>
      <c r="AXM99" s="429"/>
      <c r="AXN99" s="429"/>
      <c r="AXO99" s="429"/>
      <c r="AXP99" s="429"/>
      <c r="AXQ99" s="429"/>
      <c r="AXR99" s="429"/>
      <c r="AXS99" s="429"/>
      <c r="AXT99" s="429"/>
      <c r="AXU99" s="429"/>
      <c r="AXV99" s="429"/>
      <c r="AXW99" s="429"/>
      <c r="AXX99" s="429"/>
      <c r="AXY99" s="429"/>
      <c r="AXZ99" s="429"/>
      <c r="AYA99" s="429"/>
      <c r="AYB99" s="429"/>
      <c r="AYC99" s="429"/>
      <c r="AYD99" s="429"/>
      <c r="AYE99" s="429"/>
      <c r="AYF99" s="429"/>
      <c r="AYG99" s="429"/>
      <c r="AYH99" s="429"/>
      <c r="AYI99" s="429"/>
      <c r="AYJ99" s="429"/>
      <c r="AYK99" s="429"/>
      <c r="AYL99" s="429"/>
      <c r="AYM99" s="429"/>
      <c r="AYN99" s="429"/>
      <c r="AYO99" s="429"/>
      <c r="AYP99" s="429"/>
      <c r="AYQ99" s="429"/>
      <c r="AYR99" s="429"/>
      <c r="AYS99" s="429"/>
      <c r="AYT99" s="429"/>
      <c r="AYU99" s="429"/>
      <c r="AYV99" s="429"/>
      <c r="AYW99" s="429"/>
      <c r="AYX99" s="429"/>
      <c r="AYY99" s="429"/>
      <c r="AYZ99" s="429"/>
      <c r="AZA99" s="429"/>
      <c r="AZB99" s="429"/>
      <c r="AZC99" s="429"/>
      <c r="AZD99" s="429"/>
      <c r="AZE99" s="429"/>
      <c r="AZF99" s="429"/>
      <c r="AZG99" s="429"/>
      <c r="AZH99" s="429"/>
      <c r="AZI99" s="429"/>
      <c r="AZJ99" s="429"/>
      <c r="AZK99" s="429"/>
      <c r="AZL99" s="429"/>
      <c r="AZM99" s="429"/>
      <c r="AZN99" s="429"/>
      <c r="AZO99" s="429"/>
      <c r="AZP99" s="429"/>
      <c r="AZQ99" s="429"/>
      <c r="AZR99" s="429"/>
      <c r="AZS99" s="429"/>
      <c r="AZT99" s="429"/>
      <c r="AZU99" s="429"/>
      <c r="AZV99" s="429"/>
      <c r="AZW99" s="429"/>
      <c r="AZX99" s="429"/>
      <c r="AZY99" s="429"/>
      <c r="AZZ99" s="429"/>
      <c r="BAA99" s="429"/>
      <c r="BAB99" s="429"/>
      <c r="BAC99" s="429"/>
      <c r="BAD99" s="429"/>
      <c r="BAE99" s="429"/>
      <c r="BAF99" s="429"/>
      <c r="BAG99" s="429"/>
      <c r="BAH99" s="429"/>
      <c r="BAI99" s="429"/>
      <c r="BAJ99" s="429"/>
      <c r="BAK99" s="429"/>
      <c r="BAL99" s="429"/>
      <c r="BAM99" s="429"/>
      <c r="BAN99" s="429"/>
      <c r="BAO99" s="429"/>
      <c r="BAP99" s="429"/>
      <c r="BAQ99" s="429"/>
      <c r="BAR99" s="429"/>
      <c r="BAS99" s="429"/>
      <c r="BAT99" s="429"/>
      <c r="BAU99" s="429"/>
      <c r="BAV99" s="429"/>
      <c r="BAW99" s="429"/>
      <c r="BAX99" s="429"/>
      <c r="BAY99" s="429"/>
      <c r="BAZ99" s="429"/>
      <c r="BBA99" s="429"/>
      <c r="BBB99" s="429"/>
      <c r="BBC99" s="429"/>
      <c r="BBD99" s="429"/>
      <c r="BBE99" s="429"/>
      <c r="BBF99" s="429"/>
      <c r="BBG99" s="429"/>
      <c r="BBH99" s="429"/>
      <c r="BBI99" s="429"/>
      <c r="BBJ99" s="429"/>
      <c r="BBK99" s="429"/>
      <c r="BBL99" s="429"/>
      <c r="BBM99" s="429"/>
      <c r="BBN99" s="429"/>
      <c r="BBO99" s="429"/>
      <c r="BBP99" s="429"/>
      <c r="BBQ99" s="429"/>
      <c r="BBR99" s="429"/>
      <c r="BBS99" s="429"/>
      <c r="BBT99" s="429"/>
      <c r="BBU99" s="429"/>
      <c r="BBV99" s="429"/>
      <c r="BBW99" s="429"/>
      <c r="BBX99" s="429"/>
      <c r="BBY99" s="429"/>
      <c r="BBZ99" s="429"/>
      <c r="BCA99" s="429"/>
      <c r="BCB99" s="429"/>
      <c r="BCC99" s="429"/>
      <c r="BCD99" s="429"/>
      <c r="BCE99" s="429"/>
      <c r="BCF99" s="429"/>
      <c r="BCG99" s="429"/>
      <c r="BCH99" s="429"/>
      <c r="BCI99" s="429"/>
      <c r="BCJ99" s="429"/>
      <c r="BCK99" s="429"/>
      <c r="BCL99" s="429"/>
      <c r="BCM99" s="429"/>
      <c r="BCN99" s="429"/>
      <c r="BCO99" s="429"/>
      <c r="BCP99" s="429"/>
      <c r="BCQ99" s="429"/>
      <c r="BCR99" s="429"/>
      <c r="BCS99" s="429"/>
      <c r="BCT99" s="429"/>
      <c r="BCU99" s="429"/>
      <c r="BCV99" s="429"/>
      <c r="BCW99" s="429"/>
      <c r="BCX99" s="429"/>
      <c r="BCY99" s="429"/>
      <c r="BCZ99" s="429"/>
      <c r="BDA99" s="429"/>
      <c r="BDB99" s="429"/>
      <c r="BDC99" s="429"/>
      <c r="BDD99" s="429"/>
      <c r="BDE99" s="429"/>
      <c r="BDF99" s="429"/>
      <c r="BDG99" s="429"/>
      <c r="BDH99" s="429"/>
      <c r="BDI99" s="429"/>
      <c r="BDJ99" s="429"/>
      <c r="BDK99" s="429"/>
      <c r="BDL99" s="429"/>
      <c r="BDM99" s="429"/>
      <c r="BDN99" s="429"/>
      <c r="BDO99" s="429"/>
      <c r="BDP99" s="429"/>
      <c r="BDQ99" s="429"/>
      <c r="BDR99" s="429"/>
      <c r="BDS99" s="429"/>
      <c r="BDT99" s="429"/>
      <c r="BDU99" s="429"/>
      <c r="BDV99" s="429"/>
      <c r="BDW99" s="429"/>
      <c r="BDX99" s="429"/>
      <c r="BDY99" s="429"/>
      <c r="BDZ99" s="429"/>
      <c r="BEA99" s="429"/>
      <c r="BEB99" s="429"/>
      <c r="BEC99" s="429"/>
      <c r="BED99" s="429"/>
      <c r="BEE99" s="429"/>
      <c r="BEF99" s="429"/>
      <c r="BEG99" s="429"/>
      <c r="BEH99" s="429"/>
      <c r="BEI99" s="429"/>
      <c r="BEJ99" s="429"/>
      <c r="BEK99" s="429"/>
      <c r="BEL99" s="429"/>
      <c r="BEM99" s="429"/>
      <c r="BEN99" s="429"/>
      <c r="BEO99" s="429"/>
      <c r="BEP99" s="429"/>
      <c r="BEQ99" s="429"/>
      <c r="BER99" s="429"/>
      <c r="BES99" s="429"/>
      <c r="BET99" s="429"/>
      <c r="BEU99" s="429"/>
      <c r="BEV99" s="429"/>
      <c r="BEW99" s="429"/>
      <c r="BEX99" s="429"/>
      <c r="BEY99" s="429"/>
      <c r="BEZ99" s="429"/>
      <c r="BFA99" s="429"/>
      <c r="BFB99" s="429"/>
      <c r="BFC99" s="429"/>
      <c r="BFD99" s="429"/>
      <c r="BFE99" s="429"/>
      <c r="BFF99" s="429"/>
      <c r="BFG99" s="429"/>
      <c r="BFH99" s="429"/>
      <c r="BFI99" s="429"/>
      <c r="BFJ99" s="429"/>
      <c r="BFK99" s="429"/>
      <c r="BFL99" s="429"/>
      <c r="BFM99" s="429"/>
      <c r="BFN99" s="429"/>
      <c r="BFO99" s="429"/>
      <c r="BFP99" s="429"/>
      <c r="BFQ99" s="429"/>
      <c r="BFR99" s="429"/>
      <c r="BFS99" s="429"/>
      <c r="BFT99" s="429"/>
      <c r="BFU99" s="429"/>
      <c r="BFV99" s="429"/>
      <c r="BFW99" s="429"/>
      <c r="BFX99" s="429"/>
      <c r="BFY99" s="429"/>
      <c r="BFZ99" s="429"/>
      <c r="BGA99" s="429"/>
      <c r="BGB99" s="429"/>
      <c r="BGC99" s="429"/>
      <c r="BGD99" s="429"/>
      <c r="BGE99" s="429"/>
      <c r="BGF99" s="429"/>
      <c r="BGG99" s="429"/>
      <c r="BGH99" s="429"/>
      <c r="BGI99" s="429"/>
      <c r="BGJ99" s="429"/>
      <c r="BGK99" s="429"/>
      <c r="BGL99" s="429"/>
      <c r="BGM99" s="429"/>
      <c r="BGN99" s="429"/>
      <c r="BGO99" s="429"/>
      <c r="BGP99" s="429"/>
      <c r="BGQ99" s="429"/>
      <c r="BGR99" s="429"/>
      <c r="BGS99" s="429"/>
      <c r="BGT99" s="429"/>
      <c r="BGU99" s="429"/>
      <c r="BGV99" s="429"/>
      <c r="BGW99" s="429"/>
      <c r="BGX99" s="429"/>
      <c r="BGY99" s="429"/>
      <c r="BGZ99" s="429"/>
      <c r="BHA99" s="429"/>
      <c r="BHB99" s="429"/>
      <c r="BHC99" s="429"/>
      <c r="BHD99" s="429"/>
      <c r="BHE99" s="429"/>
      <c r="BHF99" s="429"/>
      <c r="BHG99" s="429"/>
      <c r="BHH99" s="429"/>
      <c r="BHI99" s="429"/>
      <c r="BHJ99" s="429"/>
      <c r="BHK99" s="429"/>
      <c r="BHL99" s="429"/>
      <c r="BHM99" s="429"/>
      <c r="BHN99" s="429"/>
      <c r="BHO99" s="429"/>
      <c r="BHP99" s="429"/>
      <c r="BHQ99" s="429"/>
      <c r="BHR99" s="429"/>
      <c r="BHS99" s="429"/>
      <c r="BHT99" s="429"/>
      <c r="BHU99" s="429"/>
      <c r="BHV99" s="429"/>
      <c r="BHW99" s="429"/>
      <c r="BHX99" s="429"/>
      <c r="BHY99" s="429"/>
      <c r="BHZ99" s="429"/>
      <c r="BIA99" s="429"/>
      <c r="BIB99" s="429"/>
      <c r="BIC99" s="429"/>
      <c r="BID99" s="429"/>
      <c r="BIE99" s="429"/>
      <c r="BIF99" s="429"/>
      <c r="BIG99" s="429"/>
      <c r="BIH99" s="429"/>
      <c r="BII99" s="429"/>
      <c r="BIJ99" s="429"/>
      <c r="BIK99" s="429"/>
      <c r="BIL99" s="429"/>
      <c r="BIM99" s="429"/>
      <c r="BIN99" s="429"/>
      <c r="BIO99" s="429"/>
      <c r="BIP99" s="429"/>
      <c r="BIQ99" s="429"/>
      <c r="BIR99" s="429"/>
      <c r="BIS99" s="429"/>
      <c r="BIT99" s="429"/>
      <c r="BIU99" s="429"/>
      <c r="BIV99" s="429"/>
      <c r="BIW99" s="429"/>
      <c r="BIX99" s="429"/>
      <c r="BIY99" s="429"/>
      <c r="BIZ99" s="429"/>
      <c r="BJA99" s="429"/>
      <c r="BJB99" s="429"/>
      <c r="BJC99" s="429"/>
      <c r="BJD99" s="429"/>
      <c r="BJE99" s="429"/>
      <c r="BJF99" s="429"/>
      <c r="BJG99" s="429"/>
      <c r="BJH99" s="429"/>
      <c r="BJI99" s="429"/>
      <c r="BJJ99" s="429"/>
      <c r="BJK99" s="429"/>
      <c r="BJL99" s="429"/>
      <c r="BJM99" s="429"/>
      <c r="BJN99" s="429"/>
      <c r="BJO99" s="429"/>
      <c r="BJP99" s="429"/>
      <c r="BJQ99" s="429"/>
      <c r="BJR99" s="429"/>
      <c r="BJS99" s="429"/>
      <c r="BJT99" s="429"/>
      <c r="BJU99" s="429"/>
      <c r="BJV99" s="429"/>
      <c r="BJW99" s="429"/>
      <c r="BJX99" s="429"/>
      <c r="BJY99" s="429"/>
      <c r="BJZ99" s="429"/>
      <c r="BKA99" s="429"/>
      <c r="BKB99" s="429"/>
      <c r="BKC99" s="429"/>
      <c r="BKD99" s="429"/>
      <c r="BKE99" s="429"/>
      <c r="BKF99" s="429"/>
      <c r="BKG99" s="429"/>
      <c r="BKH99" s="429"/>
      <c r="BKI99" s="429"/>
      <c r="BKJ99" s="429"/>
      <c r="BKK99" s="429"/>
      <c r="BKL99" s="429"/>
      <c r="BKM99" s="429"/>
      <c r="BKN99" s="429"/>
      <c r="BKO99" s="429"/>
      <c r="BKP99" s="429"/>
      <c r="BKQ99" s="429"/>
      <c r="BKR99" s="429"/>
      <c r="BKS99" s="429"/>
      <c r="BKT99" s="429"/>
      <c r="BKU99" s="429"/>
      <c r="BKV99" s="429"/>
      <c r="BKW99" s="429"/>
      <c r="BKX99" s="429"/>
      <c r="BKY99" s="429"/>
      <c r="BKZ99" s="429"/>
      <c r="BLA99" s="429"/>
      <c r="BLB99" s="429"/>
      <c r="BLC99" s="429"/>
      <c r="BLD99" s="429"/>
      <c r="BLE99" s="429"/>
      <c r="BLF99" s="429"/>
      <c r="BLG99" s="429"/>
      <c r="BLH99" s="429"/>
      <c r="BLI99" s="429"/>
      <c r="BLJ99" s="429"/>
      <c r="BLK99" s="429"/>
      <c r="BLL99" s="429"/>
      <c r="BLM99" s="429"/>
      <c r="BLN99" s="429"/>
      <c r="BLO99" s="429"/>
      <c r="BLP99" s="429"/>
      <c r="BLQ99" s="429"/>
      <c r="BLR99" s="429"/>
      <c r="BLS99" s="429"/>
      <c r="BLT99" s="429"/>
      <c r="BLU99" s="429"/>
      <c r="BLV99" s="429"/>
      <c r="BLW99" s="429"/>
      <c r="BLX99" s="429"/>
      <c r="BLY99" s="429"/>
      <c r="BLZ99" s="429"/>
      <c r="BMA99" s="429"/>
      <c r="BMB99" s="429"/>
      <c r="BMC99" s="429"/>
      <c r="BMD99" s="429"/>
      <c r="BME99" s="429"/>
      <c r="BMF99" s="429"/>
      <c r="BMG99" s="429"/>
      <c r="BMH99" s="429"/>
      <c r="BMI99" s="429"/>
      <c r="BMJ99" s="429"/>
      <c r="BMK99" s="429"/>
      <c r="BML99" s="429"/>
      <c r="BMM99" s="429"/>
      <c r="BMN99" s="429"/>
      <c r="BMO99" s="429"/>
      <c r="BMP99" s="429"/>
      <c r="BMQ99" s="429"/>
      <c r="BMR99" s="429"/>
      <c r="BMS99" s="429"/>
      <c r="BMT99" s="429"/>
      <c r="BMU99" s="429"/>
      <c r="BMV99" s="429"/>
      <c r="BMW99" s="429"/>
      <c r="BMX99" s="429"/>
      <c r="BMY99" s="429"/>
      <c r="BMZ99" s="429"/>
      <c r="BNA99" s="429"/>
      <c r="BNB99" s="429"/>
      <c r="BNC99" s="429"/>
      <c r="BND99" s="429"/>
      <c r="BNE99" s="429"/>
      <c r="BNF99" s="429"/>
      <c r="BNG99" s="429"/>
      <c r="BNH99" s="429"/>
      <c r="BNI99" s="429"/>
      <c r="BNJ99" s="429"/>
      <c r="BNK99" s="429"/>
      <c r="BNL99" s="429"/>
      <c r="BNM99" s="429"/>
      <c r="BNN99" s="429"/>
      <c r="BNO99" s="429"/>
      <c r="BNP99" s="429"/>
      <c r="BNQ99" s="429"/>
      <c r="BNR99" s="429"/>
      <c r="BNS99" s="429"/>
      <c r="BNT99" s="429"/>
      <c r="BNU99" s="429"/>
      <c r="BNV99" s="429"/>
      <c r="BNW99" s="429"/>
      <c r="BNX99" s="429"/>
      <c r="BNY99" s="429"/>
      <c r="BNZ99" s="429"/>
      <c r="BOA99" s="429"/>
      <c r="BOB99" s="429"/>
      <c r="BOC99" s="429"/>
      <c r="BOD99" s="429"/>
      <c r="BOE99" s="429"/>
      <c r="BOF99" s="429"/>
      <c r="BOG99" s="429"/>
      <c r="BOH99" s="429"/>
      <c r="BOI99" s="429"/>
      <c r="BOJ99" s="429"/>
      <c r="BOK99" s="429"/>
      <c r="BOL99" s="429"/>
      <c r="BOM99" s="429"/>
      <c r="BON99" s="429"/>
      <c r="BOO99" s="429"/>
      <c r="BOP99" s="429"/>
      <c r="BOQ99" s="429"/>
      <c r="BOR99" s="429"/>
      <c r="BOS99" s="429"/>
      <c r="BOT99" s="429"/>
      <c r="BOU99" s="429"/>
      <c r="BOV99" s="429"/>
      <c r="BOW99" s="429"/>
      <c r="BOX99" s="429"/>
      <c r="BOY99" s="429"/>
      <c r="BOZ99" s="429"/>
      <c r="BPA99" s="429"/>
      <c r="BPB99" s="429"/>
      <c r="BPC99" s="429"/>
      <c r="BPD99" s="429"/>
      <c r="BPE99" s="429"/>
      <c r="BPF99" s="429"/>
      <c r="BPG99" s="429"/>
      <c r="BPH99" s="429"/>
      <c r="BPI99" s="429"/>
      <c r="BPJ99" s="429"/>
      <c r="BPK99" s="429"/>
      <c r="BPL99" s="429"/>
      <c r="BPM99" s="429"/>
      <c r="BPN99" s="429"/>
      <c r="BPO99" s="429"/>
      <c r="BPP99" s="429"/>
      <c r="BPQ99" s="429"/>
      <c r="BPR99" s="429"/>
      <c r="BPS99" s="429"/>
      <c r="BPT99" s="429"/>
      <c r="BPU99" s="429"/>
      <c r="BPV99" s="429"/>
      <c r="BPW99" s="429"/>
      <c r="BPX99" s="429"/>
      <c r="BPY99" s="429"/>
      <c r="BPZ99" s="429"/>
      <c r="BQA99" s="429"/>
      <c r="BQB99" s="429"/>
      <c r="BQC99" s="429"/>
      <c r="BQD99" s="429"/>
      <c r="BQE99" s="429"/>
      <c r="BQF99" s="429"/>
      <c r="BQG99" s="429"/>
      <c r="BQH99" s="429"/>
      <c r="BQI99" s="429"/>
      <c r="BQJ99" s="429"/>
      <c r="BQK99" s="429"/>
      <c r="BQL99" s="429"/>
      <c r="BQM99" s="429"/>
      <c r="BQN99" s="429"/>
      <c r="BQO99" s="429"/>
      <c r="BQP99" s="429"/>
      <c r="BQQ99" s="429"/>
      <c r="BQR99" s="429"/>
      <c r="BQS99" s="429"/>
      <c r="BQT99" s="429"/>
      <c r="BQU99" s="429"/>
      <c r="BQV99" s="429"/>
      <c r="BQW99" s="429"/>
      <c r="BQX99" s="429"/>
      <c r="BQY99" s="429"/>
      <c r="BQZ99" s="429"/>
      <c r="BRA99" s="429"/>
      <c r="BRB99" s="429"/>
      <c r="BRC99" s="429"/>
      <c r="BRD99" s="429"/>
      <c r="BRE99" s="429"/>
      <c r="BRF99" s="429"/>
      <c r="BRG99" s="429"/>
      <c r="BRH99" s="429"/>
      <c r="BRI99" s="429"/>
      <c r="BRJ99" s="429"/>
      <c r="BRK99" s="429"/>
      <c r="BRL99" s="429"/>
      <c r="BRM99" s="429"/>
      <c r="BRN99" s="429"/>
      <c r="BRO99" s="429"/>
      <c r="BRP99" s="429"/>
      <c r="BRQ99" s="429"/>
      <c r="BRR99" s="429"/>
      <c r="BRS99" s="429"/>
      <c r="BRT99" s="429"/>
      <c r="BRU99" s="429"/>
      <c r="BRV99" s="429"/>
      <c r="BRW99" s="429"/>
      <c r="BRX99" s="429"/>
      <c r="BRY99" s="429"/>
      <c r="BRZ99" s="429"/>
      <c r="BSA99" s="429"/>
      <c r="BSB99" s="429"/>
      <c r="BSC99" s="429"/>
      <c r="BSD99" s="429"/>
      <c r="BSE99" s="429"/>
      <c r="BSF99" s="429"/>
      <c r="BSG99" s="429"/>
      <c r="BSH99" s="429"/>
      <c r="BSI99" s="429"/>
      <c r="BSJ99" s="429"/>
      <c r="BSK99" s="429"/>
      <c r="BSL99" s="429"/>
      <c r="BSM99" s="429"/>
      <c r="BSN99" s="429"/>
      <c r="BSO99" s="429"/>
      <c r="BSP99" s="429"/>
      <c r="BSQ99" s="429"/>
      <c r="BSR99" s="429"/>
      <c r="BSS99" s="429"/>
      <c r="BST99" s="429"/>
      <c r="BSU99" s="429"/>
      <c r="BSV99" s="429"/>
      <c r="BSW99" s="429"/>
      <c r="BSX99" s="429"/>
      <c r="BSY99" s="429"/>
      <c r="BSZ99" s="429"/>
      <c r="BTA99" s="429"/>
      <c r="BTB99" s="429"/>
      <c r="BTC99" s="429"/>
      <c r="BTD99" s="429"/>
      <c r="BTE99" s="429"/>
      <c r="BTF99" s="429"/>
      <c r="BTG99" s="429"/>
      <c r="BTH99" s="429"/>
      <c r="BTI99" s="429"/>
      <c r="BTJ99" s="429"/>
      <c r="BTK99" s="429"/>
      <c r="BTL99" s="429"/>
      <c r="BTM99" s="429"/>
      <c r="BTN99" s="429"/>
      <c r="BTO99" s="429"/>
      <c r="BTP99" s="429"/>
      <c r="BTQ99" s="429"/>
      <c r="BTR99" s="429"/>
      <c r="BTS99" s="429"/>
      <c r="BTT99" s="429"/>
      <c r="BTU99" s="429"/>
      <c r="BTV99" s="429"/>
      <c r="BTW99" s="429"/>
      <c r="BTX99" s="429"/>
      <c r="BTY99" s="429"/>
      <c r="BTZ99" s="429"/>
      <c r="BUA99" s="429"/>
      <c r="BUB99" s="429"/>
      <c r="BUC99" s="429"/>
      <c r="BUD99" s="429"/>
      <c r="BUE99" s="429"/>
      <c r="BUF99" s="429"/>
      <c r="BUG99" s="429"/>
      <c r="BUH99" s="429"/>
      <c r="BUI99" s="429"/>
      <c r="BUJ99" s="429"/>
      <c r="BUK99" s="429"/>
      <c r="BUL99" s="429"/>
      <c r="BUM99" s="429"/>
      <c r="BUN99" s="429"/>
      <c r="BUO99" s="429"/>
      <c r="BUP99" s="429"/>
      <c r="BUQ99" s="429"/>
      <c r="BUR99" s="429"/>
      <c r="BUS99" s="429"/>
      <c r="BUT99" s="429"/>
      <c r="BUU99" s="429"/>
      <c r="BUV99" s="429"/>
      <c r="BUW99" s="429"/>
      <c r="BUX99" s="429"/>
      <c r="BUY99" s="429"/>
      <c r="BUZ99" s="429"/>
      <c r="BVA99" s="429"/>
      <c r="BVB99" s="429"/>
      <c r="BVC99" s="429"/>
      <c r="BVD99" s="429"/>
      <c r="BVE99" s="429"/>
      <c r="BVF99" s="429"/>
      <c r="BVG99" s="429"/>
      <c r="BVH99" s="429"/>
      <c r="BVI99" s="429"/>
      <c r="BVJ99" s="429"/>
      <c r="BVK99" s="429"/>
      <c r="BVL99" s="429"/>
      <c r="BVM99" s="429"/>
      <c r="BVN99" s="429"/>
      <c r="BVO99" s="429"/>
      <c r="BVP99" s="429"/>
      <c r="BVQ99" s="429"/>
      <c r="BVR99" s="429"/>
      <c r="BVS99" s="429"/>
      <c r="BVT99" s="429"/>
      <c r="BVU99" s="429"/>
      <c r="BVV99" s="429"/>
      <c r="BVW99" s="429"/>
      <c r="BVX99" s="429"/>
      <c r="BVY99" s="429"/>
      <c r="BVZ99" s="429"/>
      <c r="BWA99" s="429"/>
      <c r="BWB99" s="429"/>
      <c r="BWC99" s="429"/>
      <c r="BWD99" s="429"/>
      <c r="BWE99" s="429"/>
      <c r="BWF99" s="429"/>
      <c r="BWG99" s="429"/>
      <c r="BWH99" s="429"/>
      <c r="BWI99" s="429"/>
      <c r="BWJ99" s="429"/>
      <c r="BWK99" s="429"/>
      <c r="BWL99" s="429"/>
      <c r="BWM99" s="429"/>
      <c r="BWN99" s="429"/>
      <c r="BWO99" s="429"/>
      <c r="BWP99" s="429"/>
      <c r="BWQ99" s="429"/>
      <c r="BWR99" s="429"/>
      <c r="BWS99" s="429"/>
      <c r="BWT99" s="429"/>
      <c r="BWU99" s="429"/>
      <c r="BWV99" s="429"/>
      <c r="BWW99" s="429"/>
      <c r="BWX99" s="429"/>
      <c r="BWY99" s="429"/>
      <c r="BWZ99" s="429"/>
      <c r="BXA99" s="429"/>
      <c r="BXB99" s="429"/>
      <c r="BXC99" s="429"/>
      <c r="BXD99" s="429"/>
      <c r="BXE99" s="429"/>
      <c r="BXF99" s="429"/>
      <c r="BXG99" s="429"/>
      <c r="BXH99" s="429"/>
      <c r="BXI99" s="429"/>
      <c r="BXJ99" s="429"/>
      <c r="BXK99" s="429"/>
      <c r="BXL99" s="429"/>
      <c r="BXM99" s="429"/>
      <c r="BXN99" s="429"/>
      <c r="BXO99" s="429"/>
      <c r="BXP99" s="429"/>
      <c r="BXQ99" s="429"/>
      <c r="BXR99" s="429"/>
      <c r="BXS99" s="429"/>
      <c r="BXT99" s="429"/>
      <c r="BXU99" s="429"/>
      <c r="BXV99" s="429"/>
      <c r="BXW99" s="429"/>
      <c r="BXX99" s="429"/>
      <c r="BXY99" s="429"/>
      <c r="BXZ99" s="429"/>
      <c r="BYA99" s="429"/>
      <c r="BYB99" s="429"/>
      <c r="BYC99" s="429"/>
      <c r="BYD99" s="429"/>
      <c r="BYE99" s="429"/>
      <c r="BYF99" s="429"/>
      <c r="BYG99" s="429"/>
      <c r="BYH99" s="429"/>
      <c r="BYI99" s="429"/>
      <c r="BYJ99" s="429"/>
      <c r="BYK99" s="429"/>
      <c r="BYL99" s="429"/>
      <c r="BYM99" s="429"/>
      <c r="BYN99" s="429"/>
      <c r="BYO99" s="429"/>
      <c r="BYP99" s="429"/>
      <c r="BYQ99" s="429"/>
      <c r="BYR99" s="429"/>
      <c r="BYS99" s="429"/>
      <c r="BYT99" s="429"/>
      <c r="BYU99" s="429"/>
      <c r="BYV99" s="429"/>
      <c r="BYW99" s="429"/>
      <c r="BYX99" s="429"/>
      <c r="BYY99" s="429"/>
      <c r="BYZ99" s="429"/>
      <c r="BZA99" s="429"/>
      <c r="BZB99" s="429"/>
      <c r="BZC99" s="429"/>
      <c r="BZD99" s="429"/>
      <c r="BZE99" s="429"/>
      <c r="BZF99" s="429"/>
      <c r="BZG99" s="429"/>
      <c r="BZH99" s="429"/>
      <c r="BZI99" s="429"/>
      <c r="BZJ99" s="429"/>
      <c r="BZK99" s="429"/>
      <c r="BZL99" s="429"/>
      <c r="BZM99" s="429"/>
      <c r="BZN99" s="429"/>
      <c r="BZO99" s="429"/>
      <c r="BZP99" s="429"/>
      <c r="BZQ99" s="429"/>
      <c r="BZR99" s="429"/>
      <c r="BZS99" s="429"/>
      <c r="BZT99" s="429"/>
      <c r="BZU99" s="429"/>
      <c r="BZV99" s="429"/>
      <c r="BZW99" s="429"/>
      <c r="BZX99" s="429"/>
      <c r="BZY99" s="429"/>
      <c r="BZZ99" s="429"/>
      <c r="CAA99" s="429"/>
      <c r="CAB99" s="429"/>
      <c r="CAC99" s="429"/>
      <c r="CAD99" s="429"/>
      <c r="CAE99" s="429"/>
      <c r="CAF99" s="429"/>
      <c r="CAG99" s="429"/>
      <c r="CAH99" s="429"/>
      <c r="CAI99" s="429"/>
      <c r="CAJ99" s="429"/>
      <c r="CAK99" s="429"/>
      <c r="CAL99" s="429"/>
      <c r="CAM99" s="429"/>
      <c r="CAN99" s="429"/>
      <c r="CAO99" s="429"/>
      <c r="CAP99" s="429"/>
      <c r="CAQ99" s="429"/>
      <c r="CAR99" s="429"/>
      <c r="CAS99" s="429"/>
      <c r="CAT99" s="429"/>
      <c r="CAU99" s="429"/>
      <c r="CAV99" s="429"/>
      <c r="CAW99" s="429"/>
      <c r="CAX99" s="429"/>
      <c r="CAY99" s="429"/>
      <c r="CAZ99" s="429"/>
      <c r="CBA99" s="429"/>
      <c r="CBB99" s="429"/>
      <c r="CBC99" s="429"/>
      <c r="CBD99" s="429"/>
      <c r="CBE99" s="429"/>
      <c r="CBF99" s="429"/>
      <c r="CBG99" s="429"/>
      <c r="CBH99" s="429"/>
      <c r="CBI99" s="429"/>
      <c r="CBJ99" s="429"/>
      <c r="CBK99" s="429"/>
      <c r="CBL99" s="429"/>
      <c r="CBM99" s="429"/>
      <c r="CBN99" s="429"/>
      <c r="CBO99" s="429"/>
      <c r="CBP99" s="429"/>
      <c r="CBQ99" s="429"/>
      <c r="CBR99" s="429"/>
      <c r="CBS99" s="429"/>
      <c r="CBT99" s="429"/>
      <c r="CBU99" s="429"/>
      <c r="CBV99" s="429"/>
      <c r="CBW99" s="429"/>
      <c r="CBX99" s="429"/>
      <c r="CBY99" s="429"/>
      <c r="CBZ99" s="429"/>
      <c r="CCA99" s="429"/>
      <c r="CCB99" s="429"/>
      <c r="CCC99" s="429"/>
      <c r="CCD99" s="429"/>
      <c r="CCE99" s="429"/>
      <c r="CCF99" s="429"/>
      <c r="CCG99" s="429"/>
      <c r="CCH99" s="429"/>
      <c r="CCI99" s="429"/>
      <c r="CCJ99" s="429"/>
      <c r="CCK99" s="429"/>
      <c r="CCL99" s="429"/>
      <c r="CCM99" s="429"/>
      <c r="CCN99" s="429"/>
      <c r="CCO99" s="429"/>
      <c r="CCP99" s="429"/>
      <c r="CCQ99" s="429"/>
      <c r="CCR99" s="429"/>
      <c r="CCS99" s="429"/>
      <c r="CCT99" s="429"/>
      <c r="CCU99" s="429"/>
      <c r="CCV99" s="429"/>
      <c r="CCW99" s="429"/>
      <c r="CCX99" s="429"/>
      <c r="CCY99" s="429"/>
      <c r="CCZ99" s="429"/>
      <c r="CDA99" s="429"/>
      <c r="CDB99" s="429"/>
      <c r="CDC99" s="429"/>
      <c r="CDD99" s="429"/>
      <c r="CDE99" s="429"/>
      <c r="CDF99" s="429"/>
      <c r="CDG99" s="429"/>
      <c r="CDH99" s="429"/>
      <c r="CDI99" s="429"/>
      <c r="CDJ99" s="429"/>
      <c r="CDK99" s="429"/>
      <c r="CDL99" s="429"/>
      <c r="CDM99" s="429"/>
      <c r="CDN99" s="429"/>
      <c r="CDO99" s="429"/>
      <c r="CDP99" s="429"/>
      <c r="CDQ99" s="429"/>
      <c r="CDR99" s="429"/>
      <c r="CDS99" s="429"/>
      <c r="CDT99" s="429"/>
      <c r="CDU99" s="429"/>
      <c r="CDV99" s="429"/>
      <c r="CDW99" s="429"/>
      <c r="CDX99" s="429"/>
      <c r="CDY99" s="429"/>
      <c r="CDZ99" s="429"/>
      <c r="CEA99" s="429"/>
      <c r="CEB99" s="429"/>
      <c r="CEC99" s="429"/>
      <c r="CED99" s="429"/>
      <c r="CEE99" s="429"/>
      <c r="CEF99" s="429"/>
      <c r="CEG99" s="429"/>
      <c r="CEH99" s="429"/>
      <c r="CEI99" s="429"/>
      <c r="CEJ99" s="429"/>
      <c r="CEK99" s="429"/>
      <c r="CEL99" s="429"/>
      <c r="CEM99" s="429"/>
      <c r="CEN99" s="429"/>
      <c r="CEO99" s="429"/>
      <c r="CEP99" s="429"/>
      <c r="CEQ99" s="429"/>
      <c r="CER99" s="429"/>
      <c r="CES99" s="429"/>
      <c r="CET99" s="429"/>
      <c r="CEU99" s="429"/>
      <c r="CEV99" s="429"/>
      <c r="CEW99" s="429"/>
      <c r="CEX99" s="429"/>
      <c r="CEY99" s="429"/>
      <c r="CEZ99" s="429"/>
      <c r="CFA99" s="429"/>
      <c r="CFB99" s="429"/>
      <c r="CFC99" s="429"/>
      <c r="CFD99" s="429"/>
      <c r="CFE99" s="429"/>
      <c r="CFF99" s="429"/>
      <c r="CFG99" s="429"/>
      <c r="CFH99" s="429"/>
      <c r="CFI99" s="429"/>
      <c r="CFJ99" s="429"/>
      <c r="CFK99" s="429"/>
      <c r="CFL99" s="429"/>
      <c r="CFM99" s="429"/>
      <c r="CFN99" s="429"/>
      <c r="CFO99" s="429"/>
      <c r="CFP99" s="429"/>
      <c r="CFQ99" s="429"/>
      <c r="CFR99" s="429"/>
      <c r="CFS99" s="429"/>
      <c r="CFT99" s="429"/>
      <c r="CFU99" s="429"/>
      <c r="CFV99" s="429"/>
      <c r="CFW99" s="429"/>
      <c r="CFX99" s="429"/>
      <c r="CFY99" s="429"/>
      <c r="CFZ99" s="429"/>
      <c r="CGA99" s="429"/>
      <c r="CGB99" s="429"/>
      <c r="CGC99" s="429"/>
      <c r="CGD99" s="429"/>
      <c r="CGE99" s="429"/>
      <c r="CGF99" s="429"/>
      <c r="CGG99" s="429"/>
      <c r="CGH99" s="429"/>
      <c r="CGI99" s="429"/>
      <c r="CGJ99" s="429"/>
      <c r="CGK99" s="429"/>
      <c r="CGL99" s="429"/>
      <c r="CGM99" s="429"/>
      <c r="CGN99" s="429"/>
      <c r="CGO99" s="429"/>
      <c r="CGP99" s="429"/>
      <c r="CGQ99" s="429"/>
      <c r="CGR99" s="429"/>
      <c r="CGS99" s="429"/>
      <c r="CGT99" s="429"/>
      <c r="CGU99" s="429"/>
      <c r="CGV99" s="429"/>
      <c r="CGW99" s="429"/>
      <c r="CGX99" s="429"/>
      <c r="CGY99" s="429"/>
      <c r="CGZ99" s="429"/>
      <c r="CHA99" s="429"/>
      <c r="CHB99" s="429"/>
      <c r="CHC99" s="429"/>
      <c r="CHD99" s="429"/>
      <c r="CHE99" s="429"/>
      <c r="CHF99" s="429"/>
      <c r="CHG99" s="429"/>
      <c r="CHH99" s="429"/>
      <c r="CHI99" s="429"/>
      <c r="CHJ99" s="429"/>
      <c r="CHK99" s="429"/>
      <c r="CHL99" s="429"/>
      <c r="CHM99" s="429"/>
      <c r="CHN99" s="429"/>
      <c r="CHO99" s="429"/>
      <c r="CHP99" s="429"/>
      <c r="CHQ99" s="429"/>
      <c r="CHR99" s="429"/>
      <c r="CHS99" s="429"/>
      <c r="CHT99" s="429"/>
      <c r="CHU99" s="429"/>
      <c r="CHV99" s="429"/>
      <c r="CHW99" s="429"/>
      <c r="CHX99" s="429"/>
      <c r="CHY99" s="429"/>
      <c r="CHZ99" s="429"/>
      <c r="CIA99" s="429"/>
      <c r="CIB99" s="429"/>
      <c r="CIC99" s="429"/>
      <c r="CID99" s="429"/>
      <c r="CIE99" s="429"/>
      <c r="CIF99" s="429"/>
      <c r="CIG99" s="429"/>
      <c r="CIH99" s="429"/>
      <c r="CII99" s="429"/>
      <c r="CIJ99" s="429"/>
      <c r="CIK99" s="429"/>
      <c r="CIL99" s="429"/>
      <c r="CIM99" s="429"/>
      <c r="CIN99" s="429"/>
      <c r="CIO99" s="429"/>
      <c r="CIP99" s="429"/>
      <c r="CIQ99" s="429"/>
      <c r="CIR99" s="429"/>
      <c r="CIS99" s="429"/>
      <c r="CIT99" s="429"/>
      <c r="CIU99" s="429"/>
      <c r="CIV99" s="429"/>
      <c r="CIW99" s="429"/>
      <c r="CIX99" s="429"/>
      <c r="CIY99" s="429"/>
      <c r="CIZ99" s="429"/>
      <c r="CJA99" s="429"/>
      <c r="CJB99" s="429"/>
      <c r="CJC99" s="429"/>
      <c r="CJD99" s="429"/>
      <c r="CJE99" s="429"/>
      <c r="CJF99" s="429"/>
      <c r="CJG99" s="429"/>
      <c r="CJH99" s="429"/>
      <c r="CJI99" s="429"/>
      <c r="PBM99" s="10" t="s">
        <v>15</v>
      </c>
    </row>
    <row r="100" spans="1:2297 10881:10881" ht="16.05" customHeight="1">
      <c r="A100" s="643" t="s">
        <v>1308</v>
      </c>
      <c r="B100" s="643"/>
      <c r="C100" s="643"/>
      <c r="D100" s="10"/>
      <c r="E100" s="10"/>
      <c r="F100" s="10"/>
      <c r="G100" s="10"/>
      <c r="H100" s="10"/>
      <c r="I100" s="10"/>
      <c r="J100" s="10" t="s">
        <v>1210</v>
      </c>
      <c r="K100" s="10" t="s">
        <v>739</v>
      </c>
      <c r="L100" s="10"/>
      <c r="M100" s="10" t="s">
        <v>1211</v>
      </c>
      <c r="N100" s="10" t="s">
        <v>1212</v>
      </c>
      <c r="O100" s="10"/>
      <c r="P100" s="10"/>
      <c r="Q100" s="10"/>
      <c r="R100" s="10"/>
      <c r="S100" s="10"/>
      <c r="T100" s="10"/>
      <c r="U100" s="10"/>
      <c r="V100" s="20"/>
      <c r="W100" s="9"/>
      <c r="X100" s="77" t="str">
        <f>X3</f>
        <v>Fecha</v>
      </c>
      <c r="Y100" s="77" t="str">
        <f>Y3</f>
        <v>Hora</v>
      </c>
      <c r="Z100" s="77" t="s">
        <v>736</v>
      </c>
      <c r="AA100" s="76" t="str">
        <f>AA3</f>
        <v>Casa</v>
      </c>
      <c r="AB100" s="75" t="s">
        <v>13</v>
      </c>
      <c r="AC100" s="77" t="str">
        <f>AC3</f>
        <v>Gol</v>
      </c>
      <c r="AD100" s="77" t="str">
        <f>AD3</f>
        <v>Gol</v>
      </c>
      <c r="AE100" s="75" t="s">
        <v>13</v>
      </c>
      <c r="AF100" s="78" t="str">
        <f>AF3</f>
        <v>Fuera</v>
      </c>
      <c r="AG100" s="418"/>
      <c r="AH100" s="191"/>
      <c r="AI100" s="189"/>
      <c r="AJ100" s="67" t="str">
        <f>Idiomas!D26</f>
        <v>Mejores terceros</v>
      </c>
      <c r="AK100" s="68"/>
      <c r="AL100" s="68"/>
      <c r="AM100" s="68"/>
      <c r="AN100" s="68"/>
      <c r="AO100" s="68"/>
      <c r="AP100" s="68"/>
      <c r="AQ100" s="68"/>
      <c r="AR100" s="68"/>
      <c r="AS100" s="68"/>
      <c r="AT100" s="69"/>
      <c r="AU100" s="345"/>
      <c r="AV100" s="295" t="str">
        <f ca="1">IF(AU101&gt;0,$AV$3,"")</f>
        <v>¡EMPATE! Puedes seleccionar el orden de los empatados.</v>
      </c>
      <c r="AW100" s="159"/>
      <c r="AX100" s="159"/>
      <c r="AY100" s="162"/>
      <c r="AZ100" s="163"/>
      <c r="BA100" s="155"/>
      <c r="BB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c r="NE100" s="19"/>
      <c r="NF100" s="19"/>
      <c r="NG100" s="19"/>
      <c r="NH100" s="19"/>
      <c r="NI100" s="19"/>
      <c r="NJ100" s="19"/>
      <c r="NK100" s="19"/>
      <c r="NL100" s="19"/>
      <c r="NM100" s="19"/>
      <c r="NN100" s="19"/>
      <c r="NO100" s="19"/>
      <c r="NP100" s="19"/>
      <c r="NQ100" s="19"/>
      <c r="NR100" s="19"/>
      <c r="NS100" s="19"/>
      <c r="NT100" s="19"/>
      <c r="NU100" s="19"/>
      <c r="NV100" s="19"/>
      <c r="NW100" s="19"/>
      <c r="NX100" s="19"/>
      <c r="NY100" s="19"/>
      <c r="NZ100" s="19"/>
      <c r="OA100" s="19"/>
      <c r="OB100" s="19"/>
      <c r="OC100" s="19"/>
      <c r="OD100" s="19"/>
      <c r="OE100" s="19"/>
      <c r="OF100" s="19"/>
      <c r="OG100" s="19"/>
      <c r="OH100" s="19"/>
      <c r="OI100" s="19"/>
      <c r="OJ100" s="19"/>
      <c r="OK100" s="19"/>
      <c r="OL100" s="19"/>
      <c r="OM100" s="19"/>
      <c r="ON100" s="19"/>
      <c r="OO100" s="19"/>
      <c r="OP100" s="19"/>
      <c r="OQ100" s="19"/>
      <c r="OR100" s="19"/>
      <c r="OS100" s="19"/>
      <c r="OT100" s="19"/>
      <c r="OU100" s="19"/>
      <c r="OV100" s="19"/>
      <c r="OW100" s="19"/>
      <c r="OX100" s="19"/>
      <c r="OY100" s="19"/>
      <c r="OZ100" s="19"/>
      <c r="PA100" s="19"/>
      <c r="PB100" s="19"/>
      <c r="PC100" s="19"/>
      <c r="PD100" s="19"/>
      <c r="PE100" s="19"/>
      <c r="PF100" s="19"/>
      <c r="PG100" s="19"/>
      <c r="PH100" s="19"/>
      <c r="PI100" s="19"/>
      <c r="PJ100" s="19"/>
      <c r="PK100" s="19"/>
      <c r="PL100" s="19"/>
      <c r="PM100" s="19"/>
      <c r="PN100" s="19"/>
      <c r="PO100" s="19"/>
      <c r="PP100" s="19"/>
      <c r="PQ100" s="19"/>
      <c r="PR100" s="19"/>
      <c r="PS100" s="19"/>
      <c r="PT100" s="19"/>
      <c r="PU100" s="19"/>
      <c r="PV100" s="19"/>
      <c r="PW100" s="19"/>
      <c r="PX100" s="19"/>
      <c r="PY100" s="19"/>
      <c r="PZ100" s="19"/>
      <c r="QA100" s="19"/>
      <c r="QB100" s="19"/>
      <c r="QC100" s="19"/>
      <c r="QD100" s="19"/>
      <c r="QE100" s="19"/>
      <c r="QF100" s="19"/>
      <c r="QG100" s="19"/>
      <c r="QH100" s="19"/>
      <c r="QI100" s="19"/>
      <c r="QJ100" s="19"/>
      <c r="QK100" s="19"/>
      <c r="QL100" s="19"/>
      <c r="QM100" s="19"/>
      <c r="QN100" s="19"/>
      <c r="QO100" s="19"/>
      <c r="QP100" s="19"/>
      <c r="QQ100" s="19"/>
      <c r="QR100" s="19"/>
      <c r="QS100" s="19"/>
      <c r="QT100" s="19"/>
      <c r="QU100" s="19"/>
      <c r="QV100" s="19"/>
      <c r="QW100" s="19"/>
      <c r="QX100" s="19"/>
      <c r="QY100" s="19"/>
      <c r="QZ100" s="19"/>
      <c r="RA100" s="19"/>
      <c r="RB100" s="19"/>
      <c r="RC100" s="19"/>
      <c r="RD100" s="19"/>
      <c r="RE100" s="19"/>
      <c r="RF100" s="19"/>
      <c r="RG100" s="19"/>
      <c r="RH100" s="19"/>
      <c r="RI100" s="19"/>
      <c r="RJ100" s="19"/>
      <c r="RK100" s="19"/>
      <c r="RL100" s="19"/>
      <c r="RM100" s="19"/>
      <c r="RN100" s="19"/>
      <c r="RO100" s="19"/>
      <c r="RP100" s="19"/>
      <c r="RQ100" s="19"/>
      <c r="RR100" s="19"/>
      <c r="RS100" s="19"/>
      <c r="RT100" s="19"/>
      <c r="RU100" s="19"/>
      <c r="RV100" s="19"/>
      <c r="RW100" s="19"/>
      <c r="RX100" s="19"/>
      <c r="RY100" s="19"/>
      <c r="RZ100" s="19"/>
      <c r="SA100" s="19"/>
      <c r="SB100" s="19"/>
      <c r="SC100" s="19"/>
      <c r="SD100" s="19"/>
      <c r="SE100" s="19"/>
      <c r="SF100" s="19"/>
      <c r="SG100" s="19"/>
      <c r="SH100" s="19"/>
      <c r="SI100" s="19"/>
      <c r="SJ100" s="19"/>
      <c r="SK100" s="19"/>
      <c r="SL100" s="19"/>
      <c r="SM100" s="19"/>
      <c r="SN100" s="19"/>
      <c r="SO100" s="19"/>
      <c r="SP100" s="19"/>
      <c r="SQ100" s="19"/>
      <c r="SR100" s="19"/>
      <c r="SS100" s="19"/>
      <c r="ST100" s="19"/>
      <c r="SU100" s="19"/>
      <c r="SV100" s="19"/>
      <c r="SW100" s="19"/>
      <c r="SX100" s="19"/>
      <c r="SY100" s="19"/>
      <c r="SZ100" s="19"/>
      <c r="TA100" s="19"/>
      <c r="TB100" s="19"/>
      <c r="TC100" s="19"/>
      <c r="TD100" s="19"/>
      <c r="TE100" s="19"/>
      <c r="TF100" s="19"/>
      <c r="TG100" s="19"/>
      <c r="TH100" s="19"/>
      <c r="TI100" s="19"/>
      <c r="TJ100" s="19"/>
      <c r="TK100" s="19"/>
      <c r="TL100" s="19"/>
      <c r="TM100" s="19"/>
      <c r="TN100" s="19"/>
      <c r="TO100" s="19"/>
      <c r="TP100" s="19"/>
      <c r="TQ100" s="19"/>
      <c r="TR100" s="19"/>
      <c r="TS100" s="19"/>
      <c r="TT100" s="19"/>
      <c r="TU100" s="19"/>
      <c r="TV100" s="19"/>
      <c r="TW100" s="19"/>
      <c r="TX100" s="19"/>
      <c r="TY100" s="19"/>
      <c r="TZ100" s="19"/>
      <c r="UA100" s="19"/>
      <c r="UB100" s="19"/>
      <c r="UC100" s="19"/>
      <c r="UD100" s="19"/>
      <c r="UE100" s="19"/>
      <c r="UF100" s="19"/>
      <c r="UG100" s="19"/>
      <c r="UH100" s="19"/>
      <c r="UI100" s="19"/>
      <c r="UJ100" s="19"/>
      <c r="UK100" s="19"/>
      <c r="UL100" s="19"/>
      <c r="UM100" s="19"/>
      <c r="UN100" s="19"/>
      <c r="UO100" s="19"/>
      <c r="UP100" s="19"/>
      <c r="UQ100" s="19"/>
      <c r="UR100" s="19"/>
      <c r="US100" s="19"/>
      <c r="UT100" s="19"/>
      <c r="UU100" s="19"/>
      <c r="UV100" s="19"/>
      <c r="UW100" s="19"/>
      <c r="UX100" s="19"/>
      <c r="UY100" s="19"/>
      <c r="UZ100" s="19"/>
      <c r="VA100" s="19"/>
      <c r="VB100" s="19"/>
      <c r="VC100" s="19"/>
      <c r="VD100" s="19"/>
      <c r="VE100" s="19"/>
      <c r="VF100" s="19"/>
      <c r="VG100" s="19"/>
      <c r="VH100" s="19"/>
      <c r="VI100" s="19"/>
      <c r="VJ100" s="19"/>
      <c r="VK100" s="19"/>
      <c r="VL100" s="19"/>
      <c r="VM100" s="19"/>
      <c r="VN100" s="19"/>
      <c r="VO100" s="19"/>
      <c r="VP100" s="19"/>
      <c r="VQ100" s="19"/>
      <c r="VR100" s="19"/>
      <c r="VS100" s="19"/>
      <c r="VT100" s="19"/>
      <c r="VU100" s="19"/>
      <c r="VV100" s="19"/>
      <c r="VW100" s="19"/>
      <c r="VX100" s="19"/>
      <c r="VY100" s="19"/>
      <c r="VZ100" s="19"/>
      <c r="WA100" s="19"/>
      <c r="WB100" s="19"/>
      <c r="WC100" s="19"/>
      <c r="WD100" s="19"/>
      <c r="WE100" s="19"/>
      <c r="WF100" s="19"/>
      <c r="WG100" s="19"/>
      <c r="WH100" s="19"/>
      <c r="WI100" s="19"/>
      <c r="WJ100" s="19"/>
      <c r="WK100" s="19"/>
      <c r="WL100" s="19"/>
      <c r="WM100" s="19"/>
      <c r="WN100" s="19"/>
      <c r="WO100" s="19"/>
      <c r="WP100" s="19"/>
      <c r="WQ100" s="19"/>
      <c r="WR100" s="19"/>
      <c r="WS100" s="19"/>
      <c r="WT100" s="19"/>
      <c r="WU100" s="19"/>
      <c r="WV100" s="19"/>
      <c r="WW100" s="19"/>
      <c r="WX100" s="19"/>
      <c r="WY100" s="19"/>
      <c r="WZ100" s="19"/>
      <c r="XA100" s="19"/>
      <c r="XB100" s="19"/>
      <c r="XC100" s="19"/>
      <c r="XD100" s="19"/>
      <c r="XE100" s="19"/>
      <c r="XF100" s="19"/>
      <c r="XG100" s="19"/>
      <c r="XH100" s="19"/>
      <c r="XI100" s="19"/>
      <c r="XJ100" s="19"/>
      <c r="XK100" s="19"/>
      <c r="XL100" s="19"/>
      <c r="XM100" s="19"/>
      <c r="XN100" s="19"/>
      <c r="XO100" s="19"/>
      <c r="XP100" s="19"/>
      <c r="XQ100" s="19"/>
      <c r="XR100" s="19"/>
      <c r="XS100" s="19"/>
      <c r="XT100" s="19"/>
      <c r="XU100" s="19"/>
      <c r="XV100" s="19"/>
      <c r="XW100" s="19"/>
      <c r="XX100" s="19"/>
      <c r="XY100" s="19"/>
      <c r="XZ100" s="19"/>
      <c r="YA100" s="19"/>
      <c r="YB100" s="19"/>
      <c r="YC100" s="19"/>
      <c r="YD100" s="19"/>
      <c r="YE100" s="19"/>
      <c r="YF100" s="19"/>
      <c r="YG100" s="19"/>
      <c r="YH100" s="19"/>
      <c r="YI100" s="19"/>
      <c r="YJ100" s="19"/>
      <c r="YK100" s="19"/>
      <c r="YL100" s="19"/>
      <c r="YM100" s="19"/>
      <c r="YN100" s="19"/>
      <c r="YO100" s="19"/>
      <c r="YP100" s="19"/>
      <c r="YQ100" s="19"/>
      <c r="YR100" s="19"/>
      <c r="YS100" s="19"/>
      <c r="YT100" s="19"/>
      <c r="YU100" s="19"/>
      <c r="YV100" s="19"/>
      <c r="YW100" s="19"/>
      <c r="YX100" s="19"/>
      <c r="YY100" s="19"/>
      <c r="YZ100" s="19"/>
      <c r="ZA100" s="19"/>
      <c r="ZB100" s="19"/>
      <c r="ZC100" s="19"/>
      <c r="ZD100" s="19"/>
      <c r="ZE100" s="19"/>
      <c r="ZF100" s="19"/>
      <c r="ZG100" s="19"/>
      <c r="ZH100" s="19"/>
      <c r="ZI100" s="19"/>
      <c r="ZJ100" s="19"/>
      <c r="ZK100" s="19"/>
      <c r="ZL100" s="19"/>
      <c r="ZM100" s="19"/>
      <c r="ZN100" s="19"/>
      <c r="ZO100" s="19"/>
      <c r="ZP100" s="19"/>
      <c r="ZQ100" s="19"/>
      <c r="ZR100" s="19"/>
      <c r="ZS100" s="19"/>
      <c r="ZT100" s="19"/>
      <c r="ZU100" s="19"/>
      <c r="ZV100" s="19"/>
      <c r="ZW100" s="19"/>
      <c r="ZX100" s="19"/>
      <c r="ZY100" s="19"/>
      <c r="ZZ100" s="19"/>
      <c r="AAA100" s="19"/>
      <c r="AAB100" s="19"/>
      <c r="AAC100" s="19"/>
      <c r="AAD100" s="19"/>
      <c r="AAE100" s="19"/>
      <c r="AAF100" s="19"/>
      <c r="AAG100" s="19"/>
      <c r="AAH100" s="19"/>
      <c r="AAI100" s="19"/>
      <c r="AAJ100" s="19"/>
      <c r="AAK100" s="19"/>
      <c r="AAL100" s="19"/>
      <c r="AAM100" s="19"/>
      <c r="AAN100" s="19"/>
      <c r="AAO100" s="19"/>
      <c r="AAP100" s="19"/>
      <c r="AAQ100" s="19"/>
      <c r="AAR100" s="19"/>
      <c r="AAS100" s="19"/>
      <c r="AAT100" s="19"/>
      <c r="AAU100" s="19"/>
      <c r="AAV100" s="19"/>
      <c r="AAW100" s="19"/>
      <c r="AAX100" s="19"/>
      <c r="AAY100" s="19"/>
      <c r="AAZ100" s="19"/>
      <c r="ABA100" s="19"/>
      <c r="ABB100" s="19"/>
      <c r="ABC100" s="19"/>
      <c r="ABD100" s="19"/>
      <c r="ABE100" s="19"/>
      <c r="ABF100" s="19"/>
      <c r="ABG100" s="19"/>
      <c r="ABH100" s="19"/>
      <c r="ABI100" s="19"/>
      <c r="ABJ100" s="19"/>
      <c r="ABK100" s="19"/>
      <c r="ABL100" s="19"/>
      <c r="ABM100" s="19"/>
      <c r="ABN100" s="19"/>
      <c r="ABO100" s="19"/>
      <c r="ABP100" s="19"/>
      <c r="ABQ100" s="19"/>
      <c r="ABR100" s="19"/>
      <c r="ABS100" s="19"/>
      <c r="ABT100" s="19"/>
      <c r="ABU100" s="19"/>
      <c r="ABV100" s="19"/>
      <c r="ABW100" s="19"/>
      <c r="ABX100" s="19"/>
      <c r="ABY100" s="19"/>
      <c r="ABZ100" s="19"/>
      <c r="ACA100" s="19"/>
      <c r="ACB100" s="19"/>
      <c r="ACC100" s="19"/>
      <c r="ACD100" s="19"/>
      <c r="ACE100" s="19"/>
      <c r="ACF100" s="19"/>
      <c r="ACG100" s="19"/>
      <c r="ACH100" s="19"/>
      <c r="ACI100" s="19"/>
      <c r="ACJ100" s="19"/>
      <c r="ACK100" s="19"/>
      <c r="ACL100" s="19"/>
      <c r="ACM100" s="19"/>
      <c r="ACN100" s="19"/>
      <c r="ACO100" s="19"/>
      <c r="ACP100" s="19"/>
      <c r="ACQ100" s="19"/>
      <c r="ACR100" s="19"/>
      <c r="ACS100" s="19"/>
      <c r="ACT100" s="19"/>
      <c r="ACU100" s="19"/>
      <c r="ACV100" s="19"/>
      <c r="ACW100" s="19"/>
      <c r="ACX100" s="19"/>
      <c r="ACY100" s="19"/>
      <c r="ACZ100" s="19"/>
      <c r="ADA100" s="19"/>
      <c r="ADB100" s="19"/>
      <c r="ADC100" s="19"/>
      <c r="ADD100" s="19"/>
      <c r="ADE100" s="19"/>
      <c r="ADF100" s="19"/>
      <c r="ADG100" s="19"/>
      <c r="ADH100" s="19"/>
      <c r="ADI100" s="19"/>
      <c r="ADJ100" s="19"/>
      <c r="ADK100" s="19"/>
      <c r="ADL100" s="19"/>
      <c r="ADM100" s="19"/>
      <c r="ADN100" s="19"/>
      <c r="ADO100" s="19"/>
      <c r="ADP100" s="19"/>
      <c r="ADQ100" s="19"/>
      <c r="ADR100" s="19"/>
      <c r="ADS100" s="19"/>
      <c r="ADT100" s="19"/>
      <c r="ADU100" s="19"/>
      <c r="ADV100" s="19"/>
      <c r="ADW100" s="19"/>
      <c r="ADX100" s="19"/>
      <c r="ADY100" s="19"/>
      <c r="ADZ100" s="19"/>
      <c r="AEA100" s="19"/>
      <c r="AEB100" s="19"/>
      <c r="AEC100" s="19"/>
      <c r="AED100" s="19"/>
      <c r="AEE100" s="19"/>
      <c r="AEF100" s="19"/>
      <c r="AEG100" s="19"/>
      <c r="AEH100" s="19"/>
      <c r="AEI100" s="19"/>
      <c r="AEJ100" s="19"/>
      <c r="AEK100" s="19"/>
      <c r="AEL100" s="19"/>
      <c r="AEM100" s="19"/>
      <c r="AEN100" s="19"/>
      <c r="AEO100" s="19"/>
      <c r="AEP100" s="19"/>
      <c r="AEQ100" s="19"/>
      <c r="AER100" s="19"/>
      <c r="AES100" s="19"/>
      <c r="AET100" s="19"/>
      <c r="AEU100" s="19"/>
      <c r="AEV100" s="19"/>
      <c r="AEW100" s="19"/>
      <c r="AEX100" s="19"/>
      <c r="AEY100" s="19"/>
      <c r="AEZ100" s="19"/>
      <c r="AFA100" s="19"/>
      <c r="AFB100" s="19"/>
      <c r="AFC100" s="19"/>
      <c r="AFD100" s="19"/>
      <c r="AFE100" s="19"/>
      <c r="AFF100" s="19"/>
      <c r="AFG100" s="19"/>
      <c r="AFH100" s="19"/>
      <c r="AFI100" s="19"/>
      <c r="AFJ100" s="19"/>
      <c r="AFK100" s="19"/>
      <c r="AFL100" s="19"/>
      <c r="AFM100" s="19"/>
      <c r="AFN100" s="19"/>
      <c r="AFO100" s="19"/>
      <c r="AFP100" s="19"/>
      <c r="AFQ100" s="19"/>
      <c r="AFR100" s="19"/>
      <c r="AFS100" s="19"/>
      <c r="AFT100" s="19"/>
      <c r="AFU100" s="19"/>
      <c r="AFV100" s="19"/>
      <c r="AFW100" s="19"/>
      <c r="AFX100" s="19"/>
      <c r="AFY100" s="19"/>
      <c r="AFZ100" s="19"/>
      <c r="AGA100" s="19"/>
      <c r="AGB100" s="19"/>
      <c r="AGC100" s="19"/>
      <c r="AGD100" s="19"/>
      <c r="AGE100" s="19"/>
      <c r="AGF100" s="19"/>
      <c r="AGG100" s="19"/>
      <c r="AGH100" s="19"/>
      <c r="AGI100" s="19"/>
      <c r="AGJ100" s="19"/>
      <c r="AGK100" s="19"/>
      <c r="AGL100" s="19"/>
      <c r="AGM100" s="19"/>
      <c r="AGN100" s="19"/>
      <c r="AGO100" s="19"/>
      <c r="AGP100" s="19"/>
      <c r="AGQ100" s="19"/>
      <c r="AGR100" s="19"/>
      <c r="AGS100" s="19"/>
      <c r="AGT100" s="19"/>
      <c r="AGU100" s="19"/>
      <c r="AGV100" s="19"/>
      <c r="AGW100" s="19"/>
      <c r="AGX100" s="19"/>
      <c r="AGY100" s="19"/>
      <c r="AGZ100" s="19"/>
      <c r="AHA100" s="19"/>
      <c r="AHB100" s="19"/>
      <c r="AHC100" s="19"/>
      <c r="AHD100" s="19"/>
      <c r="AHE100" s="19"/>
      <c r="AHF100" s="19"/>
      <c r="AHG100" s="19"/>
      <c r="AHH100" s="19"/>
      <c r="AHI100" s="19"/>
      <c r="AHJ100" s="19"/>
      <c r="AHK100" s="19"/>
      <c r="AHL100" s="19"/>
      <c r="AHM100" s="19"/>
      <c r="AHN100" s="19"/>
      <c r="AHO100" s="19"/>
      <c r="AHP100" s="19"/>
      <c r="AHQ100" s="19"/>
      <c r="AHR100" s="19"/>
      <c r="AHS100" s="19"/>
      <c r="AHT100" s="19"/>
      <c r="AHU100" s="19"/>
      <c r="AHV100" s="19"/>
      <c r="AHW100" s="19"/>
      <c r="AHX100" s="19"/>
      <c r="AHY100" s="19"/>
      <c r="AHZ100" s="19"/>
      <c r="AIA100" s="19"/>
      <c r="AIB100" s="19"/>
      <c r="AIC100" s="19"/>
      <c r="AID100" s="19"/>
      <c r="AIE100" s="19"/>
      <c r="AIF100" s="19"/>
      <c r="AIG100" s="19"/>
      <c r="AIH100" s="19"/>
      <c r="AII100" s="19"/>
      <c r="AIJ100" s="19"/>
      <c r="AIK100" s="19"/>
      <c r="AIL100" s="19"/>
      <c r="AIM100" s="19"/>
      <c r="AIN100" s="19"/>
      <c r="AIO100" s="19"/>
      <c r="AIP100" s="19"/>
      <c r="AIQ100" s="19"/>
      <c r="AIR100" s="19"/>
      <c r="AIS100" s="19"/>
      <c r="AIT100" s="19"/>
      <c r="AIU100" s="19"/>
      <c r="AIV100" s="19"/>
      <c r="AIW100" s="19"/>
      <c r="AIX100" s="19"/>
      <c r="AIY100" s="19"/>
      <c r="AIZ100" s="19"/>
      <c r="AJA100" s="19"/>
      <c r="AJB100" s="19"/>
      <c r="AJC100" s="19"/>
      <c r="AJD100" s="19"/>
      <c r="AJE100" s="19"/>
      <c r="AJF100" s="19"/>
      <c r="AJG100" s="19"/>
      <c r="AJH100" s="19"/>
      <c r="AJI100" s="19"/>
      <c r="AJJ100" s="19"/>
      <c r="AJK100" s="19"/>
      <c r="AJL100" s="19"/>
      <c r="AJM100" s="19"/>
      <c r="AJN100" s="19"/>
      <c r="AJO100" s="19"/>
      <c r="AJP100" s="19"/>
      <c r="AJQ100" s="19"/>
      <c r="AJR100" s="19"/>
      <c r="AJS100" s="19"/>
      <c r="AJT100" s="19"/>
      <c r="AJU100" s="19"/>
      <c r="AJV100" s="19"/>
      <c r="AJW100" s="19"/>
      <c r="AJX100" s="19"/>
      <c r="AJY100" s="19"/>
      <c r="AJZ100" s="19"/>
      <c r="AKA100" s="19"/>
      <c r="AKB100" s="19"/>
      <c r="AKC100" s="19"/>
      <c r="AKD100" s="19"/>
      <c r="AKE100" s="19"/>
      <c r="AKF100" s="19"/>
      <c r="AKG100" s="19"/>
      <c r="AKH100" s="19"/>
      <c r="AKI100" s="19"/>
      <c r="AKJ100" s="19"/>
      <c r="AKK100" s="19"/>
      <c r="AKL100" s="19"/>
      <c r="AKM100" s="19"/>
      <c r="AKN100" s="19"/>
      <c r="AKO100" s="19"/>
      <c r="AKP100" s="19"/>
      <c r="AKQ100" s="19"/>
      <c r="AKR100" s="19"/>
      <c r="AKS100" s="19"/>
      <c r="AKT100" s="19"/>
      <c r="AKU100" s="19"/>
      <c r="AKV100" s="19"/>
      <c r="AKW100" s="19"/>
      <c r="AKX100" s="19"/>
      <c r="AKY100" s="19"/>
      <c r="AKZ100" s="19"/>
      <c r="ALA100" s="19"/>
      <c r="ALB100" s="19"/>
      <c r="ALC100" s="19"/>
      <c r="ALD100" s="19"/>
      <c r="ALE100" s="19"/>
      <c r="ALF100" s="19"/>
      <c r="ALG100" s="19"/>
      <c r="ALH100" s="19"/>
      <c r="ALI100" s="19"/>
      <c r="ALJ100" s="19"/>
      <c r="ALK100" s="19"/>
      <c r="ALL100" s="19"/>
      <c r="ALM100" s="19"/>
      <c r="ALN100" s="19"/>
      <c r="ALO100" s="19"/>
      <c r="ALP100" s="19"/>
      <c r="ALQ100" s="19"/>
      <c r="ALR100" s="19"/>
      <c r="ALS100" s="19"/>
      <c r="ALT100" s="19"/>
      <c r="ALU100" s="19"/>
      <c r="ALV100" s="19"/>
      <c r="ALW100" s="19"/>
      <c r="ALX100" s="19"/>
      <c r="ALY100" s="19"/>
      <c r="ALZ100" s="19"/>
      <c r="AMA100" s="19"/>
      <c r="AMB100" s="19"/>
      <c r="AMC100" s="19"/>
      <c r="AMD100" s="19"/>
      <c r="AME100" s="19"/>
      <c r="AMF100" s="19"/>
      <c r="AMG100" s="19"/>
      <c r="AMH100" s="19"/>
      <c r="AMI100" s="19"/>
      <c r="AMJ100" s="19"/>
      <c r="AMK100" s="19"/>
      <c r="AML100" s="19"/>
      <c r="AMM100" s="19"/>
      <c r="AMN100" s="19"/>
      <c r="AMO100" s="19"/>
      <c r="AMP100" s="19"/>
      <c r="AMQ100" s="19"/>
      <c r="AMR100" s="19"/>
      <c r="AMS100" s="19"/>
      <c r="AMT100" s="19"/>
      <c r="AMU100" s="19"/>
      <c r="AMV100" s="19"/>
      <c r="AMW100" s="19"/>
      <c r="AMX100" s="19"/>
      <c r="AMY100" s="19"/>
      <c r="AMZ100" s="19"/>
      <c r="ANA100" s="19"/>
      <c r="ANB100" s="19"/>
      <c r="ANC100" s="19"/>
      <c r="AND100" s="19"/>
      <c r="ANE100" s="19"/>
      <c r="ANF100" s="19"/>
      <c r="ANG100" s="19"/>
      <c r="ANH100" s="19"/>
      <c r="ANI100" s="19"/>
      <c r="ANJ100" s="19"/>
      <c r="ANK100" s="19"/>
      <c r="ANL100" s="19"/>
      <c r="ANM100" s="19"/>
      <c r="ANN100" s="19"/>
      <c r="ANO100" s="19"/>
      <c r="ANP100" s="19"/>
      <c r="ANQ100" s="19"/>
      <c r="ANR100" s="19"/>
      <c r="ANS100" s="19"/>
      <c r="ANT100" s="19"/>
      <c r="ANU100" s="19"/>
      <c r="ANV100" s="19"/>
      <c r="ANW100" s="19"/>
      <c r="ANX100" s="19"/>
      <c r="ANY100" s="19"/>
      <c r="ANZ100" s="19"/>
      <c r="AOA100" s="19"/>
      <c r="AOB100" s="19"/>
      <c r="AOC100" s="19"/>
      <c r="AOD100" s="19"/>
      <c r="AOE100" s="19"/>
      <c r="AOF100" s="19"/>
      <c r="AOG100" s="19"/>
      <c r="AOH100" s="19"/>
      <c r="AOI100" s="19"/>
      <c r="AOJ100" s="19"/>
      <c r="AOK100" s="19"/>
      <c r="AOL100" s="19"/>
      <c r="AOM100" s="19"/>
      <c r="AON100" s="19"/>
      <c r="AOO100" s="19"/>
      <c r="AOP100" s="19"/>
      <c r="AOQ100" s="19"/>
      <c r="AOR100" s="19"/>
      <c r="AOS100" s="19"/>
      <c r="AOT100" s="19"/>
      <c r="AOU100" s="19"/>
      <c r="AOV100" s="19"/>
      <c r="AOW100" s="19"/>
      <c r="AOX100" s="19"/>
      <c r="AOY100" s="19"/>
      <c r="AOZ100" s="19"/>
      <c r="APA100" s="19"/>
      <c r="APB100" s="19"/>
      <c r="APC100" s="19"/>
      <c r="APD100" s="19"/>
      <c r="APE100" s="19"/>
      <c r="APF100" s="19"/>
      <c r="APG100" s="19"/>
      <c r="APH100" s="19"/>
      <c r="API100" s="19"/>
      <c r="APJ100" s="19"/>
      <c r="APK100" s="19"/>
      <c r="APL100" s="19"/>
      <c r="APM100" s="19"/>
      <c r="APN100" s="19"/>
      <c r="APO100" s="19"/>
      <c r="APP100" s="19"/>
      <c r="APQ100" s="19"/>
      <c r="APR100" s="19"/>
      <c r="APS100" s="19"/>
      <c r="APT100" s="19"/>
      <c r="APU100" s="19"/>
      <c r="APV100" s="19"/>
      <c r="APW100" s="19"/>
      <c r="APX100" s="19"/>
      <c r="APY100" s="19"/>
      <c r="APZ100" s="19"/>
      <c r="AQA100" s="19"/>
      <c r="AQB100" s="19"/>
      <c r="AQC100" s="19"/>
      <c r="AQD100" s="19"/>
      <c r="AQE100" s="19"/>
      <c r="AQF100" s="19"/>
      <c r="AQG100" s="19"/>
      <c r="AQH100" s="19"/>
      <c r="AQI100" s="19"/>
      <c r="AQJ100" s="19"/>
      <c r="AQK100" s="19"/>
      <c r="AQL100" s="19"/>
      <c r="AQM100" s="19"/>
      <c r="AQN100" s="19"/>
      <c r="AQO100" s="19"/>
      <c r="AQP100" s="19"/>
      <c r="AQQ100" s="19"/>
      <c r="AQR100" s="19"/>
      <c r="AQS100" s="19"/>
      <c r="AQT100" s="19"/>
      <c r="AQU100" s="19"/>
      <c r="AQV100" s="19"/>
      <c r="AQW100" s="19"/>
      <c r="AQX100" s="19"/>
      <c r="AQY100" s="19"/>
      <c r="AQZ100" s="19"/>
      <c r="ARA100" s="19"/>
      <c r="ARB100" s="19"/>
      <c r="ARC100" s="19"/>
      <c r="ARD100" s="19"/>
      <c r="ARE100" s="19"/>
      <c r="ARF100" s="19"/>
      <c r="ARG100" s="19"/>
      <c r="ARH100" s="19"/>
      <c r="ARI100" s="19"/>
      <c r="ARJ100" s="19"/>
      <c r="ARK100" s="19"/>
      <c r="ARL100" s="19"/>
      <c r="ARM100" s="19"/>
      <c r="ARN100" s="19"/>
      <c r="ARO100" s="19"/>
      <c r="ARP100" s="19"/>
      <c r="ARQ100" s="19"/>
      <c r="ARR100" s="19"/>
      <c r="ARS100" s="19"/>
      <c r="ART100" s="19"/>
      <c r="ARU100" s="19"/>
      <c r="ARV100" s="19"/>
      <c r="ARW100" s="19"/>
      <c r="ARX100" s="19"/>
      <c r="ARY100" s="19"/>
      <c r="ARZ100" s="19"/>
      <c r="ASA100" s="19"/>
      <c r="ASB100" s="19"/>
      <c r="ASC100" s="19"/>
      <c r="ASD100" s="19"/>
      <c r="ASE100" s="19"/>
      <c r="ASF100" s="19"/>
      <c r="ASG100" s="19"/>
      <c r="ASH100" s="19"/>
      <c r="ASI100" s="19"/>
      <c r="ASJ100" s="19"/>
      <c r="ASK100" s="19"/>
      <c r="ASL100" s="19"/>
      <c r="ASM100" s="19"/>
      <c r="ASN100" s="19"/>
      <c r="ASO100" s="19"/>
      <c r="ASP100" s="19"/>
      <c r="ASQ100" s="19"/>
      <c r="ASR100" s="19"/>
      <c r="ASS100" s="19"/>
      <c r="AST100" s="19"/>
      <c r="ASU100" s="19"/>
      <c r="ASV100" s="19"/>
      <c r="ASW100" s="19"/>
      <c r="ASX100" s="19"/>
      <c r="ASY100" s="19"/>
      <c r="ASZ100" s="19"/>
      <c r="ATA100" s="19"/>
      <c r="ATB100" s="19"/>
      <c r="ATC100" s="19"/>
      <c r="ATD100" s="19"/>
      <c r="ATE100" s="19"/>
      <c r="ATF100" s="19"/>
      <c r="ATG100" s="19"/>
      <c r="ATH100" s="19"/>
      <c r="ATI100" s="19"/>
      <c r="ATJ100" s="19"/>
      <c r="ATK100" s="19"/>
      <c r="ATL100" s="19"/>
      <c r="ATM100" s="19"/>
      <c r="ATN100" s="19"/>
      <c r="ATO100" s="19"/>
      <c r="ATP100" s="19"/>
      <c r="ATQ100" s="19"/>
      <c r="ATR100" s="19"/>
      <c r="ATS100" s="19"/>
      <c r="ATT100" s="19"/>
      <c r="ATU100" s="19"/>
      <c r="ATV100" s="19"/>
      <c r="ATW100" s="19"/>
      <c r="ATX100" s="19"/>
      <c r="ATY100" s="19"/>
      <c r="ATZ100" s="19"/>
      <c r="AUA100" s="19"/>
      <c r="AUB100" s="19"/>
      <c r="AUC100" s="19"/>
      <c r="AUD100" s="19"/>
      <c r="AUE100" s="19"/>
      <c r="AUF100" s="19"/>
      <c r="AUG100" s="19"/>
      <c r="AUH100" s="19"/>
      <c r="AUI100" s="19"/>
      <c r="AUJ100" s="19"/>
      <c r="AUK100" s="19"/>
      <c r="AUL100" s="19"/>
      <c r="AUM100" s="19"/>
      <c r="AUN100" s="19"/>
      <c r="AUO100" s="19"/>
      <c r="AUP100" s="19"/>
      <c r="AUQ100" s="19"/>
      <c r="AUR100" s="19"/>
      <c r="AUS100" s="19"/>
      <c r="AUT100" s="19"/>
      <c r="AUU100" s="19"/>
      <c r="AUV100" s="19"/>
      <c r="AUW100" s="19"/>
      <c r="AUX100" s="19"/>
      <c r="AUY100" s="19"/>
      <c r="AUZ100" s="19"/>
      <c r="AVA100" s="19"/>
      <c r="AVB100" s="19"/>
      <c r="AVC100" s="19"/>
      <c r="AVD100" s="19"/>
      <c r="AVE100" s="19"/>
      <c r="AVF100" s="19"/>
      <c r="AVG100" s="19"/>
      <c r="AVH100" s="19"/>
      <c r="AVI100" s="19"/>
      <c r="AVJ100" s="19"/>
      <c r="AVK100" s="19"/>
      <c r="AVL100" s="19"/>
      <c r="AVM100" s="19"/>
      <c r="AVN100" s="19"/>
      <c r="AVO100" s="19"/>
      <c r="AVP100" s="19"/>
      <c r="AVQ100" s="19"/>
      <c r="AVR100" s="19"/>
      <c r="AVS100" s="19"/>
      <c r="AVT100" s="19"/>
      <c r="AVU100" s="19"/>
      <c r="AVV100" s="19"/>
      <c r="AVW100" s="19"/>
      <c r="AVX100" s="19"/>
      <c r="AVY100" s="19"/>
      <c r="AVZ100" s="19"/>
      <c r="AWA100" s="19"/>
      <c r="AWB100" s="19"/>
      <c r="AWC100" s="19"/>
      <c r="AWD100" s="19"/>
      <c r="AWE100" s="19"/>
      <c r="AWF100" s="19"/>
      <c r="AWG100" s="19"/>
      <c r="AWH100" s="19"/>
      <c r="AWI100" s="19"/>
      <c r="AWJ100" s="19"/>
      <c r="AWK100" s="19"/>
      <c r="AWL100" s="19"/>
      <c r="AWM100" s="19"/>
      <c r="AWN100" s="19"/>
      <c r="AWO100" s="19"/>
      <c r="AWP100" s="19"/>
      <c r="AWQ100" s="19"/>
      <c r="AWR100" s="19"/>
      <c r="AWS100" s="19"/>
      <c r="AWT100" s="19"/>
      <c r="AWU100" s="19"/>
      <c r="AWV100" s="19"/>
      <c r="AWW100" s="19"/>
      <c r="AWX100" s="19"/>
      <c r="AWY100" s="19"/>
      <c r="AWZ100" s="19"/>
      <c r="AXA100" s="19"/>
      <c r="AXB100" s="19"/>
      <c r="AXC100" s="19"/>
      <c r="AXD100" s="19"/>
      <c r="AXE100" s="19"/>
      <c r="AXF100" s="19"/>
      <c r="AXG100" s="19"/>
      <c r="AXH100" s="19"/>
      <c r="AXI100" s="19"/>
      <c r="AXJ100" s="19"/>
      <c r="AXK100" s="19"/>
      <c r="AXL100" s="19"/>
      <c r="AXM100" s="19"/>
      <c r="AXN100" s="19"/>
      <c r="AXO100" s="19"/>
      <c r="AXP100" s="19"/>
      <c r="AXQ100" s="19"/>
      <c r="AXR100" s="19"/>
      <c r="AXS100" s="19"/>
      <c r="AXT100" s="19"/>
      <c r="AXU100" s="19"/>
      <c r="AXV100" s="19"/>
      <c r="AXW100" s="19"/>
      <c r="AXX100" s="19"/>
      <c r="AXY100" s="19"/>
      <c r="AXZ100" s="19"/>
      <c r="AYA100" s="19"/>
      <c r="AYB100" s="19"/>
      <c r="AYC100" s="19"/>
      <c r="AYD100" s="19"/>
      <c r="AYE100" s="19"/>
      <c r="AYF100" s="19"/>
      <c r="AYG100" s="19"/>
      <c r="AYH100" s="19"/>
      <c r="AYI100" s="19"/>
      <c r="AYJ100" s="19"/>
      <c r="AYK100" s="19"/>
      <c r="AYL100" s="19"/>
      <c r="AYM100" s="19"/>
      <c r="AYN100" s="19"/>
      <c r="AYO100" s="19"/>
      <c r="AYP100" s="19"/>
      <c r="AYQ100" s="19"/>
      <c r="AYR100" s="19"/>
      <c r="AYS100" s="19"/>
      <c r="AYT100" s="19"/>
      <c r="AYU100" s="19"/>
      <c r="AYV100" s="19"/>
      <c r="AYW100" s="19"/>
      <c r="AYX100" s="19"/>
      <c r="AYY100" s="19"/>
      <c r="AYZ100" s="19"/>
      <c r="AZA100" s="19"/>
      <c r="AZB100" s="19"/>
      <c r="AZC100" s="19"/>
      <c r="AZD100" s="19"/>
      <c r="AZE100" s="19"/>
      <c r="AZF100" s="19"/>
      <c r="AZG100" s="19"/>
      <c r="AZH100" s="19"/>
      <c r="AZI100" s="19"/>
      <c r="AZJ100" s="19"/>
      <c r="AZK100" s="19"/>
      <c r="AZL100" s="19"/>
      <c r="AZM100" s="19"/>
      <c r="AZN100" s="19"/>
      <c r="AZO100" s="19"/>
      <c r="AZP100" s="19"/>
      <c r="AZQ100" s="19"/>
      <c r="AZR100" s="19"/>
      <c r="AZS100" s="19"/>
      <c r="AZT100" s="19"/>
      <c r="AZU100" s="19"/>
      <c r="AZV100" s="19"/>
      <c r="AZW100" s="19"/>
      <c r="AZX100" s="19"/>
      <c r="AZY100" s="19"/>
      <c r="AZZ100" s="19"/>
      <c r="BAA100" s="19"/>
      <c r="BAB100" s="19"/>
      <c r="BAC100" s="19"/>
      <c r="BAD100" s="19"/>
      <c r="BAE100" s="19"/>
      <c r="BAF100" s="19"/>
      <c r="BAG100" s="19"/>
      <c r="BAH100" s="19"/>
      <c r="BAI100" s="19"/>
      <c r="BAJ100" s="19"/>
      <c r="BAK100" s="19"/>
      <c r="BAL100" s="19"/>
      <c r="BAM100" s="19"/>
      <c r="BAN100" s="19"/>
      <c r="BAO100" s="19"/>
      <c r="BAP100" s="19"/>
      <c r="BAQ100" s="19"/>
      <c r="BAR100" s="19"/>
      <c r="BAS100" s="19"/>
      <c r="BAT100" s="19"/>
      <c r="BAU100" s="19"/>
      <c r="BAV100" s="19"/>
      <c r="BAW100" s="19"/>
      <c r="BAX100" s="19"/>
      <c r="BAY100" s="19"/>
      <c r="BAZ100" s="19"/>
      <c r="BBA100" s="19"/>
      <c r="BBB100" s="19"/>
      <c r="BBC100" s="19"/>
      <c r="BBD100" s="19"/>
      <c r="BBE100" s="19"/>
      <c r="BBF100" s="19"/>
      <c r="BBG100" s="19"/>
      <c r="BBH100" s="19"/>
      <c r="BBI100" s="19"/>
      <c r="BBJ100" s="19"/>
      <c r="BBK100" s="19"/>
      <c r="BBL100" s="19"/>
      <c r="BBM100" s="19"/>
      <c r="BBN100" s="19"/>
      <c r="BBO100" s="19"/>
      <c r="BBP100" s="19"/>
      <c r="BBQ100" s="19"/>
      <c r="BBR100" s="19"/>
      <c r="BBS100" s="19"/>
      <c r="BBT100" s="19"/>
      <c r="BBU100" s="19"/>
      <c r="BBV100" s="19"/>
      <c r="BBW100" s="19"/>
      <c r="BBX100" s="19"/>
      <c r="BBY100" s="19"/>
      <c r="BBZ100" s="19"/>
      <c r="BCA100" s="19"/>
      <c r="BCB100" s="19"/>
      <c r="BCC100" s="19"/>
      <c r="BCD100" s="19"/>
      <c r="BCE100" s="19"/>
      <c r="BCF100" s="19"/>
      <c r="BCG100" s="19"/>
      <c r="BCH100" s="19"/>
      <c r="BCI100" s="19"/>
      <c r="BCJ100" s="19"/>
      <c r="BCK100" s="19"/>
      <c r="BCL100" s="19"/>
      <c r="BCM100" s="19"/>
      <c r="BCN100" s="19"/>
      <c r="BCO100" s="19"/>
      <c r="BCP100" s="19"/>
      <c r="BCQ100" s="19"/>
      <c r="BCR100" s="19"/>
      <c r="BCS100" s="19"/>
      <c r="BCT100" s="19"/>
      <c r="BCU100" s="19"/>
      <c r="BCV100" s="19"/>
      <c r="BCW100" s="19"/>
      <c r="BCX100" s="19"/>
      <c r="BCY100" s="19"/>
      <c r="BCZ100" s="19"/>
      <c r="BDA100" s="19"/>
      <c r="BDB100" s="19"/>
      <c r="BDC100" s="19"/>
      <c r="BDD100" s="19"/>
      <c r="BDE100" s="19"/>
      <c r="BDF100" s="19"/>
      <c r="BDG100" s="19"/>
      <c r="BDH100" s="19"/>
      <c r="BDI100" s="19"/>
      <c r="BDJ100" s="19"/>
      <c r="BDK100" s="19"/>
      <c r="BDL100" s="19"/>
      <c r="BDM100" s="19"/>
      <c r="BDN100" s="19"/>
      <c r="BDO100" s="19"/>
      <c r="BDP100" s="19"/>
      <c r="BDQ100" s="19"/>
      <c r="BDR100" s="19"/>
      <c r="BDS100" s="19"/>
      <c r="BDT100" s="19"/>
      <c r="BDU100" s="19"/>
      <c r="BDV100" s="19"/>
      <c r="BDW100" s="19"/>
      <c r="BDX100" s="19"/>
      <c r="BDY100" s="19"/>
      <c r="BDZ100" s="19"/>
      <c r="BEA100" s="19"/>
      <c r="BEB100" s="19"/>
      <c r="BEC100" s="19"/>
      <c r="BED100" s="19"/>
      <c r="BEE100" s="19"/>
      <c r="BEF100" s="19"/>
      <c r="BEG100" s="19"/>
      <c r="BEH100" s="19"/>
      <c r="BEI100" s="19"/>
      <c r="BEJ100" s="19"/>
      <c r="BEK100" s="19"/>
      <c r="BEL100" s="19"/>
      <c r="BEM100" s="19"/>
      <c r="BEN100" s="19"/>
      <c r="BEO100" s="19"/>
      <c r="BEP100" s="19"/>
      <c r="BEQ100" s="19"/>
      <c r="BER100" s="19"/>
      <c r="BES100" s="19"/>
      <c r="BET100" s="19"/>
      <c r="BEU100" s="19"/>
      <c r="BEV100" s="19"/>
      <c r="BEW100" s="19"/>
      <c r="BEX100" s="19"/>
      <c r="BEY100" s="19"/>
      <c r="BEZ100" s="19"/>
      <c r="BFA100" s="19"/>
      <c r="BFB100" s="19"/>
      <c r="BFC100" s="19"/>
      <c r="BFD100" s="19"/>
      <c r="BFE100" s="19"/>
      <c r="BFF100" s="19"/>
      <c r="BFG100" s="19"/>
      <c r="BFH100" s="19"/>
      <c r="BFI100" s="19"/>
      <c r="BFJ100" s="19"/>
      <c r="BFK100" s="19"/>
      <c r="BFL100" s="19"/>
      <c r="BFM100" s="19"/>
      <c r="BFN100" s="19"/>
      <c r="BFO100" s="19"/>
      <c r="BFP100" s="19"/>
      <c r="BFQ100" s="19"/>
      <c r="BFR100" s="19"/>
      <c r="BFS100" s="19"/>
      <c r="BFT100" s="19"/>
      <c r="BFU100" s="19"/>
      <c r="BFV100" s="19"/>
      <c r="BFW100" s="19"/>
      <c r="BFX100" s="19"/>
      <c r="BFY100" s="19"/>
      <c r="BFZ100" s="19"/>
      <c r="BGA100" s="19"/>
      <c r="BGB100" s="19"/>
      <c r="BGC100" s="19"/>
      <c r="BGD100" s="19"/>
      <c r="BGE100" s="19"/>
      <c r="BGF100" s="19"/>
      <c r="BGG100" s="19"/>
      <c r="BGH100" s="19"/>
      <c r="BGI100" s="19"/>
      <c r="BGJ100" s="19"/>
      <c r="BGK100" s="19"/>
      <c r="BGL100" s="19"/>
      <c r="BGM100" s="19"/>
      <c r="BGN100" s="19"/>
      <c r="BGO100" s="19"/>
      <c r="BGP100" s="19"/>
      <c r="BGQ100" s="19"/>
      <c r="BGR100" s="19"/>
      <c r="BGS100" s="19"/>
      <c r="BGT100" s="19"/>
      <c r="BGU100" s="19"/>
      <c r="BGV100" s="19"/>
      <c r="BGW100" s="19"/>
      <c r="BGX100" s="19"/>
      <c r="BGY100" s="19"/>
      <c r="BGZ100" s="19"/>
      <c r="BHA100" s="19"/>
      <c r="BHB100" s="19"/>
      <c r="BHC100" s="19"/>
      <c r="BHD100" s="19"/>
      <c r="BHE100" s="19"/>
      <c r="BHF100" s="19"/>
      <c r="BHG100" s="19"/>
      <c r="BHH100" s="19"/>
      <c r="BHI100" s="19"/>
      <c r="BHJ100" s="19"/>
      <c r="BHK100" s="19"/>
      <c r="BHL100" s="19"/>
      <c r="BHM100" s="19"/>
      <c r="BHN100" s="19"/>
      <c r="BHO100" s="19"/>
      <c r="BHP100" s="19"/>
      <c r="BHQ100" s="19"/>
      <c r="BHR100" s="19"/>
      <c r="BHS100" s="19"/>
      <c r="BHT100" s="19"/>
      <c r="BHU100" s="19"/>
      <c r="BHV100" s="19"/>
      <c r="BHW100" s="19"/>
      <c r="BHX100" s="19"/>
      <c r="BHY100" s="19"/>
      <c r="BHZ100" s="19"/>
      <c r="BIA100" s="19"/>
      <c r="BIB100" s="19"/>
      <c r="BIC100" s="19"/>
      <c r="BID100" s="19"/>
      <c r="BIE100" s="19"/>
      <c r="BIF100" s="19"/>
      <c r="BIG100" s="19"/>
      <c r="BIH100" s="19"/>
      <c r="BII100" s="19"/>
      <c r="BIJ100" s="19"/>
      <c r="BIK100" s="19"/>
      <c r="BIL100" s="19"/>
      <c r="BIM100" s="19"/>
      <c r="BIN100" s="19"/>
      <c r="BIO100" s="19"/>
      <c r="BIP100" s="19"/>
      <c r="BIQ100" s="19"/>
      <c r="BIR100" s="19"/>
      <c r="BIS100" s="19"/>
      <c r="BIT100" s="19"/>
      <c r="BIU100" s="19"/>
      <c r="BIV100" s="19"/>
      <c r="BIW100" s="19"/>
      <c r="BIX100" s="19"/>
      <c r="BIY100" s="19"/>
      <c r="BIZ100" s="19"/>
      <c r="BJA100" s="19"/>
      <c r="BJB100" s="19"/>
      <c r="BJC100" s="19"/>
      <c r="BJD100" s="19"/>
      <c r="BJE100" s="19"/>
      <c r="BJF100" s="19"/>
      <c r="BJG100" s="19"/>
      <c r="BJH100" s="19"/>
      <c r="BJI100" s="19"/>
      <c r="BJJ100" s="19"/>
      <c r="BJK100" s="19"/>
      <c r="BJL100" s="19"/>
      <c r="BJM100" s="19"/>
      <c r="BJN100" s="19"/>
      <c r="BJO100" s="19"/>
      <c r="BJP100" s="19"/>
      <c r="BJQ100" s="19"/>
      <c r="BJR100" s="19"/>
      <c r="BJS100" s="19"/>
      <c r="BJT100" s="19"/>
      <c r="BJU100" s="19"/>
      <c r="BJV100" s="19"/>
      <c r="BJW100" s="19"/>
      <c r="BJX100" s="19"/>
      <c r="BJY100" s="19"/>
      <c r="BJZ100" s="19"/>
      <c r="BKA100" s="19"/>
      <c r="BKB100" s="19"/>
      <c r="BKC100" s="19"/>
      <c r="BKD100" s="19"/>
      <c r="BKE100" s="19"/>
      <c r="BKF100" s="19"/>
      <c r="BKG100" s="19"/>
      <c r="BKH100" s="19"/>
      <c r="BKI100" s="19"/>
      <c r="BKJ100" s="19"/>
      <c r="BKK100" s="19"/>
      <c r="BKL100" s="19"/>
      <c r="BKM100" s="19"/>
      <c r="BKN100" s="19"/>
      <c r="BKO100" s="19"/>
      <c r="BKP100" s="19"/>
      <c r="BKQ100" s="19"/>
      <c r="BKR100" s="19"/>
      <c r="BKS100" s="19"/>
      <c r="BKT100" s="19"/>
      <c r="BKU100" s="19"/>
      <c r="BKV100" s="19"/>
      <c r="BKW100" s="19"/>
      <c r="BKX100" s="19"/>
      <c r="BKY100" s="19"/>
      <c r="BKZ100" s="19"/>
      <c r="BLA100" s="19"/>
      <c r="BLB100" s="19"/>
      <c r="BLC100" s="19"/>
      <c r="BLD100" s="19"/>
      <c r="BLE100" s="19"/>
      <c r="BLF100" s="19"/>
      <c r="BLG100" s="19"/>
      <c r="BLH100" s="19"/>
      <c r="BLI100" s="19"/>
      <c r="BLJ100" s="19"/>
      <c r="BLK100" s="19"/>
      <c r="BLL100" s="19"/>
      <c r="BLM100" s="19"/>
      <c r="BLN100" s="19"/>
      <c r="BLO100" s="19"/>
      <c r="BLP100" s="19"/>
      <c r="BLQ100" s="19"/>
      <c r="BLR100" s="19"/>
      <c r="BLS100" s="19"/>
      <c r="BLT100" s="19"/>
      <c r="BLU100" s="19"/>
      <c r="BLV100" s="19"/>
      <c r="BLW100" s="19"/>
      <c r="BLX100" s="19"/>
      <c r="BLY100" s="19"/>
      <c r="BLZ100" s="19"/>
      <c r="BMA100" s="19"/>
      <c r="BMB100" s="19"/>
      <c r="BMC100" s="19"/>
      <c r="BMD100" s="19"/>
      <c r="BME100" s="19"/>
      <c r="BMF100" s="19"/>
      <c r="BMG100" s="19"/>
      <c r="BMH100" s="19"/>
      <c r="BMI100" s="19"/>
      <c r="BMJ100" s="19"/>
      <c r="BMK100" s="19"/>
      <c r="BML100" s="19"/>
      <c r="BMM100" s="19"/>
      <c r="BMN100" s="19"/>
      <c r="BMO100" s="19"/>
      <c r="BMP100" s="19"/>
      <c r="BMQ100" s="19"/>
      <c r="BMR100" s="19"/>
      <c r="BMS100" s="19"/>
      <c r="BMT100" s="19"/>
      <c r="BMU100" s="19"/>
      <c r="BMV100" s="19"/>
      <c r="BMW100" s="19"/>
      <c r="BMX100" s="19"/>
      <c r="BMY100" s="19"/>
      <c r="BMZ100" s="19"/>
      <c r="BNA100" s="19"/>
      <c r="BNB100" s="19"/>
      <c r="BNC100" s="19"/>
      <c r="BND100" s="19"/>
      <c r="BNE100" s="19"/>
      <c r="BNF100" s="19"/>
      <c r="BNG100" s="19"/>
      <c r="BNH100" s="19"/>
      <c r="BNI100" s="19"/>
      <c r="BNJ100" s="19"/>
      <c r="BNK100" s="19"/>
      <c r="BNL100" s="19"/>
      <c r="BNM100" s="19"/>
      <c r="BNN100" s="19"/>
      <c r="BNO100" s="19"/>
      <c r="BNP100" s="19"/>
      <c r="BNQ100" s="19"/>
      <c r="BNR100" s="19"/>
      <c r="BNS100" s="19"/>
      <c r="BNT100" s="19"/>
      <c r="BNU100" s="19"/>
      <c r="BNV100" s="19"/>
      <c r="BNW100" s="19"/>
      <c r="BNX100" s="19"/>
      <c r="BNY100" s="19"/>
      <c r="BNZ100" s="19"/>
      <c r="BOA100" s="19"/>
      <c r="BOB100" s="19"/>
      <c r="BOC100" s="19"/>
      <c r="BOD100" s="19"/>
      <c r="BOE100" s="19"/>
      <c r="BOF100" s="19"/>
      <c r="BOG100" s="19"/>
      <c r="BOH100" s="19"/>
      <c r="BOI100" s="19"/>
      <c r="BOJ100" s="19"/>
      <c r="BOK100" s="19"/>
      <c r="BOL100" s="19"/>
      <c r="BOM100" s="19"/>
      <c r="BON100" s="19"/>
      <c r="BOO100" s="19"/>
      <c r="BOP100" s="19"/>
      <c r="BOQ100" s="19"/>
      <c r="BOR100" s="19"/>
      <c r="BOS100" s="19"/>
      <c r="BOT100" s="19"/>
      <c r="BOU100" s="19"/>
      <c r="BOV100" s="19"/>
      <c r="BOW100" s="19"/>
      <c r="BOX100" s="19"/>
      <c r="BOY100" s="19"/>
      <c r="BOZ100" s="19"/>
      <c r="BPA100" s="19"/>
      <c r="BPB100" s="19"/>
      <c r="BPC100" s="19"/>
      <c r="BPD100" s="19"/>
      <c r="BPE100" s="19"/>
      <c r="BPF100" s="19"/>
      <c r="BPG100" s="19"/>
      <c r="BPH100" s="19"/>
      <c r="BPI100" s="19"/>
      <c r="BPJ100" s="19"/>
      <c r="BPK100" s="19"/>
      <c r="BPL100" s="19"/>
      <c r="BPM100" s="19"/>
      <c r="BPN100" s="19"/>
      <c r="BPO100" s="19"/>
      <c r="BPP100" s="19"/>
      <c r="BPQ100" s="19"/>
      <c r="BPR100" s="19"/>
      <c r="BPS100" s="19"/>
      <c r="BPT100" s="19"/>
      <c r="BPU100" s="19"/>
      <c r="BPV100" s="19"/>
      <c r="BPW100" s="19"/>
      <c r="BPX100" s="19"/>
      <c r="BPY100" s="19"/>
      <c r="BPZ100" s="19"/>
      <c r="BQA100" s="19"/>
      <c r="BQB100" s="19"/>
      <c r="BQC100" s="19"/>
      <c r="BQD100" s="19"/>
      <c r="BQE100" s="19"/>
      <c r="BQF100" s="19"/>
      <c r="BQG100" s="19"/>
      <c r="BQH100" s="19"/>
      <c r="BQI100" s="19"/>
      <c r="BQJ100" s="19"/>
      <c r="BQK100" s="19"/>
      <c r="BQL100" s="19"/>
      <c r="BQM100" s="19"/>
      <c r="BQN100" s="19"/>
      <c r="BQO100" s="19"/>
      <c r="BQP100" s="19"/>
      <c r="BQQ100" s="19"/>
      <c r="BQR100" s="19"/>
      <c r="BQS100" s="19"/>
      <c r="BQT100" s="19"/>
      <c r="BQU100" s="19"/>
      <c r="BQV100" s="19"/>
      <c r="BQW100" s="19"/>
      <c r="BQX100" s="19"/>
      <c r="BQY100" s="19"/>
      <c r="BQZ100" s="19"/>
      <c r="BRA100" s="19"/>
      <c r="BRB100" s="19"/>
      <c r="BRC100" s="19"/>
      <c r="BRD100" s="19"/>
      <c r="BRE100" s="19"/>
      <c r="BRF100" s="19"/>
      <c r="BRG100" s="19"/>
      <c r="BRH100" s="19"/>
      <c r="BRI100" s="19"/>
      <c r="BRJ100" s="19"/>
      <c r="BRK100" s="19"/>
      <c r="BRL100" s="19"/>
      <c r="BRM100" s="19"/>
      <c r="BRN100" s="19"/>
      <c r="BRO100" s="19"/>
      <c r="BRP100" s="19"/>
      <c r="BRQ100" s="19"/>
      <c r="BRR100" s="19"/>
      <c r="BRS100" s="19"/>
      <c r="BRT100" s="19"/>
      <c r="BRU100" s="19"/>
      <c r="BRV100" s="19"/>
      <c r="BRW100" s="19"/>
      <c r="BRX100" s="19"/>
      <c r="BRY100" s="19"/>
      <c r="BRZ100" s="19"/>
      <c r="BSA100" s="19"/>
      <c r="BSB100" s="19"/>
      <c r="BSC100" s="19"/>
      <c r="BSD100" s="19"/>
      <c r="BSE100" s="19"/>
      <c r="BSF100" s="19"/>
      <c r="BSG100" s="19"/>
      <c r="BSH100" s="19"/>
      <c r="BSI100" s="19"/>
      <c r="BSJ100" s="19"/>
      <c r="BSK100" s="19"/>
      <c r="BSL100" s="19"/>
      <c r="BSM100" s="19"/>
      <c r="BSN100" s="19"/>
      <c r="BSO100" s="19"/>
      <c r="BSP100" s="19"/>
      <c r="BSQ100" s="19"/>
      <c r="BSR100" s="19"/>
      <c r="BSS100" s="19"/>
      <c r="BST100" s="19"/>
      <c r="BSU100" s="19"/>
      <c r="BSV100" s="19"/>
      <c r="BSW100" s="19"/>
      <c r="BSX100" s="19"/>
      <c r="BSY100" s="19"/>
      <c r="BSZ100" s="19"/>
      <c r="BTA100" s="19"/>
      <c r="BTB100" s="19"/>
      <c r="BTC100" s="19"/>
      <c r="BTD100" s="19"/>
      <c r="BTE100" s="19"/>
      <c r="BTF100" s="19"/>
      <c r="BTG100" s="19"/>
      <c r="BTH100" s="19"/>
      <c r="BTI100" s="19"/>
      <c r="BTJ100" s="19"/>
      <c r="BTK100" s="19"/>
      <c r="BTL100" s="19"/>
      <c r="BTM100" s="19"/>
      <c r="BTN100" s="19"/>
      <c r="BTO100" s="19"/>
      <c r="BTP100" s="19"/>
      <c r="BTQ100" s="19"/>
      <c r="BTR100" s="19"/>
      <c r="BTS100" s="19"/>
      <c r="BTT100" s="19"/>
      <c r="BTU100" s="19"/>
      <c r="BTV100" s="19"/>
      <c r="BTW100" s="19"/>
      <c r="BTX100" s="19"/>
      <c r="BTY100" s="19"/>
      <c r="BTZ100" s="19"/>
      <c r="BUA100" s="19"/>
      <c r="BUB100" s="19"/>
      <c r="BUC100" s="19"/>
      <c r="BUD100" s="19"/>
      <c r="BUE100" s="19"/>
      <c r="BUF100" s="19"/>
      <c r="BUG100" s="19"/>
      <c r="BUH100" s="19"/>
      <c r="BUI100" s="19"/>
      <c r="BUJ100" s="19"/>
      <c r="BUK100" s="19"/>
      <c r="BUL100" s="19"/>
      <c r="BUM100" s="19"/>
      <c r="BUN100" s="19"/>
      <c r="BUO100" s="19"/>
      <c r="BUP100" s="19"/>
      <c r="BUQ100" s="19"/>
      <c r="BUR100" s="19"/>
      <c r="BUS100" s="19"/>
      <c r="BUT100" s="19"/>
      <c r="BUU100" s="19"/>
      <c r="BUV100" s="19"/>
      <c r="BUW100" s="19"/>
      <c r="BUX100" s="19"/>
      <c r="BUY100" s="19"/>
      <c r="BUZ100" s="19"/>
      <c r="BVA100" s="19"/>
      <c r="BVB100" s="19"/>
      <c r="BVC100" s="19"/>
      <c r="BVD100" s="19"/>
      <c r="BVE100" s="19"/>
      <c r="BVF100" s="19"/>
      <c r="BVG100" s="19"/>
      <c r="BVH100" s="19"/>
      <c r="BVI100" s="19"/>
      <c r="BVJ100" s="19"/>
      <c r="BVK100" s="19"/>
      <c r="BVL100" s="19"/>
      <c r="BVM100" s="19"/>
      <c r="BVN100" s="19"/>
      <c r="BVO100" s="19"/>
      <c r="BVP100" s="19"/>
      <c r="BVQ100" s="19"/>
      <c r="BVR100" s="19"/>
      <c r="BVS100" s="19"/>
      <c r="BVT100" s="19"/>
      <c r="BVU100" s="19"/>
      <c r="BVV100" s="19"/>
      <c r="BVW100" s="19"/>
      <c r="BVX100" s="19"/>
      <c r="BVY100" s="19"/>
      <c r="BVZ100" s="19"/>
      <c r="BWA100" s="19"/>
      <c r="BWB100" s="19"/>
      <c r="BWC100" s="19"/>
      <c r="BWD100" s="19"/>
      <c r="BWE100" s="19"/>
      <c r="BWF100" s="19"/>
      <c r="BWG100" s="19"/>
      <c r="BWH100" s="19"/>
      <c r="BWI100" s="19"/>
      <c r="BWJ100" s="19"/>
      <c r="BWK100" s="19"/>
      <c r="BWL100" s="19"/>
      <c r="BWM100" s="19"/>
      <c r="BWN100" s="19"/>
      <c r="BWO100" s="19"/>
      <c r="BWP100" s="19"/>
      <c r="BWQ100" s="19"/>
      <c r="BWR100" s="19"/>
      <c r="BWS100" s="19"/>
      <c r="BWT100" s="19"/>
      <c r="BWU100" s="19"/>
      <c r="BWV100" s="19"/>
      <c r="BWW100" s="19"/>
      <c r="BWX100" s="19"/>
      <c r="BWY100" s="19"/>
      <c r="BWZ100" s="19"/>
      <c r="BXA100" s="19"/>
      <c r="BXB100" s="19"/>
      <c r="BXC100" s="19"/>
      <c r="BXD100" s="19"/>
      <c r="BXE100" s="19"/>
      <c r="BXF100" s="19"/>
      <c r="BXG100" s="19"/>
      <c r="BXH100" s="19"/>
      <c r="BXI100" s="19"/>
      <c r="BXJ100" s="19"/>
      <c r="BXK100" s="19"/>
      <c r="BXL100" s="19"/>
      <c r="BXM100" s="19"/>
      <c r="BXN100" s="19"/>
      <c r="BXO100" s="19"/>
      <c r="BXP100" s="19"/>
      <c r="BXQ100" s="19"/>
      <c r="BXR100" s="19"/>
      <c r="BXS100" s="19"/>
      <c r="BXT100" s="19"/>
      <c r="BXU100" s="19"/>
      <c r="BXV100" s="19"/>
      <c r="BXW100" s="19"/>
      <c r="BXX100" s="19"/>
      <c r="BXY100" s="19"/>
      <c r="BXZ100" s="19"/>
      <c r="BYA100" s="19"/>
      <c r="BYB100" s="19"/>
      <c r="BYC100" s="19"/>
      <c r="BYD100" s="19"/>
      <c r="BYE100" s="19"/>
      <c r="BYF100" s="19"/>
      <c r="BYG100" s="19"/>
      <c r="BYH100" s="19"/>
      <c r="BYI100" s="19"/>
      <c r="BYJ100" s="19"/>
      <c r="BYK100" s="19"/>
      <c r="BYL100" s="19"/>
      <c r="BYM100" s="19"/>
      <c r="BYN100" s="19"/>
      <c r="BYO100" s="19"/>
      <c r="BYP100" s="19"/>
      <c r="BYQ100" s="19"/>
      <c r="BYR100" s="19"/>
      <c r="BYS100" s="19"/>
      <c r="BYT100" s="19"/>
      <c r="BYU100" s="19"/>
      <c r="BYV100" s="19"/>
      <c r="BYW100" s="19"/>
      <c r="BYX100" s="19"/>
      <c r="BYY100" s="19"/>
      <c r="BYZ100" s="19"/>
      <c r="BZA100" s="19"/>
      <c r="BZB100" s="19"/>
      <c r="BZC100" s="19"/>
      <c r="BZD100" s="19"/>
      <c r="BZE100" s="19"/>
      <c r="BZF100" s="19"/>
      <c r="BZG100" s="19"/>
      <c r="BZH100" s="19"/>
      <c r="BZI100" s="19"/>
      <c r="BZJ100" s="19"/>
      <c r="BZK100" s="19"/>
      <c r="BZL100" s="19"/>
      <c r="BZM100" s="19"/>
      <c r="BZN100" s="19"/>
      <c r="BZO100" s="19"/>
      <c r="BZP100" s="19"/>
      <c r="BZQ100" s="19"/>
      <c r="BZR100" s="19"/>
      <c r="BZS100" s="19"/>
      <c r="BZT100" s="19"/>
      <c r="BZU100" s="19"/>
      <c r="BZV100" s="19"/>
      <c r="BZW100" s="19"/>
      <c r="BZX100" s="19"/>
      <c r="BZY100" s="19"/>
      <c r="BZZ100" s="19"/>
      <c r="CAA100" s="19"/>
      <c r="CAB100" s="19"/>
      <c r="CAC100" s="19"/>
      <c r="CAD100" s="19"/>
      <c r="CAE100" s="19"/>
      <c r="CAF100" s="19"/>
      <c r="CAG100" s="19"/>
      <c r="CAH100" s="19"/>
      <c r="CAI100" s="19"/>
      <c r="CAJ100" s="19"/>
      <c r="CAK100" s="19"/>
      <c r="CAL100" s="19"/>
      <c r="CAM100" s="19"/>
      <c r="CAN100" s="19"/>
      <c r="CAO100" s="19"/>
      <c r="CAP100" s="19"/>
      <c r="CAQ100" s="19"/>
      <c r="CAR100" s="19"/>
      <c r="CAS100" s="19"/>
      <c r="CAT100" s="19"/>
      <c r="CAU100" s="19"/>
      <c r="CAV100" s="19"/>
      <c r="CAW100" s="19"/>
      <c r="CAX100" s="19"/>
      <c r="CAY100" s="19"/>
      <c r="CAZ100" s="19"/>
      <c r="CBF100" s="635"/>
      <c r="CBG100" s="635"/>
      <c r="CBH100" s="636"/>
      <c r="CBI100" s="636"/>
      <c r="CBJ100" s="636"/>
      <c r="CBK100" s="636"/>
      <c r="CBL100" s="636"/>
      <c r="CBM100" s="636"/>
      <c r="CBN100" s="636"/>
      <c r="CBO100" s="636"/>
      <c r="CBP100" s="636"/>
      <c r="CBQ100" s="636"/>
      <c r="CBR100" s="635"/>
      <c r="CBS100" s="635"/>
      <c r="CBT100" s="636"/>
      <c r="CBU100" s="636"/>
      <c r="CBV100" s="636"/>
      <c r="CBW100" s="636"/>
      <c r="CBX100" s="636"/>
      <c r="CBY100" s="636"/>
      <c r="CBZ100" s="636"/>
      <c r="CCA100" s="636"/>
      <c r="CCB100" s="636"/>
      <c r="CCC100" s="635"/>
      <c r="CCD100" s="635"/>
      <c r="CCE100" s="636"/>
      <c r="CCF100" s="636"/>
      <c r="CCG100" s="636"/>
      <c r="CCH100" s="636"/>
      <c r="CCI100" s="636"/>
      <c r="CCJ100" s="636"/>
      <c r="CCK100" s="636"/>
      <c r="CCL100" s="636"/>
      <c r="CCM100" s="635"/>
      <c r="CCN100" s="635"/>
      <c r="CCO100" s="636"/>
      <c r="CCP100" s="636"/>
      <c r="CCQ100" s="636"/>
      <c r="CCR100" s="636"/>
      <c r="CCS100" s="636"/>
      <c r="CCT100" s="636"/>
      <c r="CCU100" s="636"/>
      <c r="CCV100" s="635"/>
      <c r="CCW100" s="635"/>
      <c r="CCX100" s="636"/>
      <c r="CCY100" s="636"/>
      <c r="CCZ100" s="636"/>
      <c r="CDA100" s="636"/>
      <c r="CDB100" s="636"/>
      <c r="CDC100" s="636"/>
      <c r="CDD100" s="636"/>
      <c r="CDE100" s="636"/>
      <c r="CDF100" s="636"/>
      <c r="CDG100" s="636"/>
      <c r="CDH100" s="636"/>
      <c r="CDI100" s="636"/>
      <c r="CDJ100" s="636"/>
      <c r="CDK100" s="636"/>
      <c r="CDL100" s="636"/>
      <c r="CDM100" s="636"/>
      <c r="CDN100" s="636"/>
      <c r="CDO100" s="636"/>
      <c r="CDP100" s="636"/>
      <c r="CDQ100" s="636"/>
      <c r="CDR100" s="636"/>
      <c r="CDS100" s="636"/>
      <c r="CDT100" s="636"/>
      <c r="CDU100" s="636"/>
      <c r="CDV100" s="636"/>
      <c r="CDW100" s="636"/>
      <c r="CDX100" s="636"/>
      <c r="CDY100" s="636"/>
      <c r="CDZ100" s="636"/>
      <c r="CEA100" s="636"/>
      <c r="CEB100" s="636"/>
      <c r="CEC100" s="636"/>
      <c r="CED100" s="636"/>
      <c r="CEE100" s="636"/>
      <c r="CEH100" s="429"/>
      <c r="CEI100" s="429"/>
      <c r="CEJ100" s="429"/>
      <c r="CEK100" s="429"/>
      <c r="CEL100" s="429"/>
      <c r="CEM100" s="429"/>
      <c r="CEN100" s="429"/>
      <c r="CEO100" s="429"/>
      <c r="CEP100" s="429"/>
      <c r="CEQ100" s="429"/>
      <c r="CER100" s="637"/>
      <c r="CES100" s="429"/>
    </row>
    <row r="101" spans="1:2297 10881:10881" ht="16.05" customHeight="1" thickBot="1">
      <c r="A101" s="19" t="s">
        <v>665</v>
      </c>
      <c r="B101" s="19" t="s">
        <v>668</v>
      </c>
      <c r="C101" s="643"/>
      <c r="D101" s="428" t="str">
        <f t="shared" ref="D101:D116" si="279">IF(AND(OR(AC101="",AD101="")),"W"&amp;AH101,IF(AC101&gt;AD101,AA101,IF(AC101&lt;AD101,AF101,IF(AND(AC101=AD101,AB101=AE101),"W"&amp;AH101,IF(AND(AC101=AD101,OR(AB101="",AE101="")),"W"&amp;AH101,IF(AND(AC101=AD101,AB101&gt;AE101),AA101,AF101))))))</f>
        <v>W73</v>
      </c>
      <c r="E101" s="643" t="s">
        <v>0</v>
      </c>
      <c r="F101" s="643" t="s">
        <v>1</v>
      </c>
      <c r="G101" s="424" t="s">
        <v>0</v>
      </c>
      <c r="H101" s="624">
        <f t="shared" ref="H101:H112" ca="1" si="280">+SUMIF($BC$6:$BC$53,G101,$BF$6:$BF$53)</f>
        <v>12</v>
      </c>
      <c r="I101" s="10"/>
      <c r="J101" s="19">
        <v>73</v>
      </c>
      <c r="K101" s="439">
        <v>46201.75</v>
      </c>
      <c r="L101" s="19" t="s">
        <v>704</v>
      </c>
      <c r="M101" s="19" t="str">
        <f t="shared" ref="M101:M116" ca="1" si="281">+IF(OR(INDEX($H$101:$H$113,MATCH(E101,$G$101:$G$113,0))=12,$AJ$99=144),INDEX($AL$6:$AL$97,MATCH(A101,$AI$6:$AI$97,0)),A101)</f>
        <v>Sudáfrica</v>
      </c>
      <c r="N101" s="19"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9"/>
      <c r="P101" s="19"/>
      <c r="Q101" s="19"/>
      <c r="R101" s="19"/>
      <c r="S101" s="19"/>
      <c r="T101" s="19"/>
      <c r="U101" s="19"/>
      <c r="V101" s="20"/>
      <c r="W101" s="671" t="s">
        <v>500</v>
      </c>
      <c r="X101" s="27">
        <f ca="1">Horarios!C101</f>
        <v>46201.875</v>
      </c>
      <c r="Y101" s="28">
        <f ca="1">Horarios!C101</f>
        <v>46201.875</v>
      </c>
      <c r="Z101" s="289">
        <f>AH101</f>
        <v>73</v>
      </c>
      <c r="AA101" s="96" t="str">
        <f t="shared" ref="AA101:AA116" ca="1" si="282">+INDEX($M$101:$M$147,MATCH(AH101,$J$101:$J$147,0))</f>
        <v>Sudáfrica</v>
      </c>
      <c r="AB101" s="97">
        <v>2</v>
      </c>
      <c r="AC101" s="57">
        <v>1</v>
      </c>
      <c r="AD101" s="57">
        <v>1</v>
      </c>
      <c r="AE101" s="98">
        <v>2</v>
      </c>
      <c r="AF101" s="99" t="str">
        <f t="shared" ref="AF101:AF116" ca="1" si="283">+INDEX($N$101:$N$147,MATCH(AH101,$J$101:$J$147,0))</f>
        <v>Canadá</v>
      </c>
      <c r="AG101" s="339">
        <f t="shared" ref="AG101:AG116" si="284">IF(D101="W"&amp;AH101,0,1)</f>
        <v>0</v>
      </c>
      <c r="AH101" s="204">
        <v>73</v>
      </c>
      <c r="AI101" s="189"/>
      <c r="AJ101" s="70" t="str">
        <f>AJ5</f>
        <v>Pos</v>
      </c>
      <c r="AK101" s="71"/>
      <c r="AL101" s="72" t="str">
        <f t="shared" ref="AL101:AT101" si="285">AL5</f>
        <v>Selección</v>
      </c>
      <c r="AM101" s="71" t="str">
        <f t="shared" si="285"/>
        <v>Pts</v>
      </c>
      <c r="AN101" s="71" t="str">
        <f t="shared" si="285"/>
        <v>J</v>
      </c>
      <c r="AO101" s="71" t="str">
        <f t="shared" si="285"/>
        <v>G</v>
      </c>
      <c r="AP101" s="71" t="str">
        <f t="shared" si="285"/>
        <v>E</v>
      </c>
      <c r="AQ101" s="71" t="str">
        <f t="shared" si="285"/>
        <v>P</v>
      </c>
      <c r="AR101" s="71" t="str">
        <f t="shared" si="285"/>
        <v>GF</v>
      </c>
      <c r="AS101" s="71" t="str">
        <f t="shared" si="285"/>
        <v>GC</v>
      </c>
      <c r="AT101" s="73" t="str">
        <f t="shared" si="285"/>
        <v>DG</v>
      </c>
      <c r="AU101" s="343">
        <f ca="1">COUNTIF(AU102:AU113,"&gt;1")</f>
        <v>2</v>
      </c>
      <c r="AV101" s="197"/>
      <c r="AW101" s="223"/>
      <c r="AX101" s="223"/>
      <c r="AY101" s="347" t="str">
        <f ca="1">+IF(OR($H$113&gt;=48,$AJ$99=144),Idiomas!D68,"")</f>
        <v xml:space="preserve">Grupos mejores 3ºs: </v>
      </c>
      <c r="AZ101" s="348" t="str">
        <f ca="1">+IF(OR($H$113&gt;=48,$AJ$99=144),BI112,"")</f>
        <v>ABCFGHIL</v>
      </c>
      <c r="BA101" s="155"/>
      <c r="CBF101" s="19"/>
      <c r="CBG101" s="19"/>
      <c r="CBH101" s="19"/>
      <c r="CBI101" s="19"/>
      <c r="CBJ101" s="19"/>
      <c r="CBK101" s="19"/>
      <c r="CBL101" s="19"/>
      <c r="CBM101" s="19"/>
      <c r="CBN101" s="19"/>
      <c r="CBO101" s="19"/>
      <c r="CBP101" s="19"/>
      <c r="CBQ101" s="19"/>
      <c r="CBR101" s="19"/>
      <c r="CBS101" s="19"/>
      <c r="CBT101" s="19"/>
      <c r="CBU101" s="19"/>
      <c r="CBV101" s="19"/>
      <c r="CBW101" s="19"/>
      <c r="CBX101" s="19"/>
      <c r="CBY101" s="19"/>
      <c r="CBZ101" s="19"/>
      <c r="CCA101" s="19"/>
      <c r="CCB101" s="19"/>
      <c r="CCC101" s="19"/>
      <c r="CCD101" s="19"/>
      <c r="CCE101" s="19"/>
      <c r="CCF101" s="19"/>
      <c r="CCG101" s="19"/>
      <c r="CCH101" s="19"/>
      <c r="CCI101" s="19"/>
      <c r="CCJ101" s="19"/>
      <c r="CCK101" s="19"/>
      <c r="CCL101" s="19"/>
      <c r="CCM101" s="19"/>
      <c r="CCN101" s="19"/>
      <c r="CCO101" s="19"/>
      <c r="CCP101" s="19"/>
      <c r="CCQ101" s="19"/>
      <c r="CCR101" s="19"/>
      <c r="CCS101" s="19"/>
      <c r="CCT101" s="19"/>
      <c r="CCU101" s="19"/>
      <c r="CCV101" s="19"/>
      <c r="CCW101" s="19"/>
      <c r="CCX101" s="19"/>
      <c r="CCY101" s="19"/>
      <c r="CCZ101" s="19"/>
      <c r="CDA101" s="19"/>
      <c r="CDB101" s="19"/>
      <c r="CDC101" s="19"/>
      <c r="CDD101" s="19"/>
      <c r="CDE101" s="19"/>
      <c r="CDF101" s="19"/>
      <c r="CDG101" s="19"/>
      <c r="CDH101" s="19"/>
      <c r="CDI101" s="19"/>
      <c r="CDJ101" s="19"/>
      <c r="CDK101" s="19"/>
      <c r="CDL101" s="19"/>
      <c r="CDM101" s="19"/>
      <c r="CDN101" s="19"/>
      <c r="CDO101" s="19"/>
      <c r="CDP101" s="19"/>
      <c r="CDQ101" s="19"/>
      <c r="CDR101" s="19"/>
      <c r="CDS101" s="19"/>
      <c r="CDT101" s="19"/>
      <c r="CDU101" s="19"/>
      <c r="CDV101" s="19"/>
      <c r="CDW101" s="19"/>
      <c r="CDX101" s="19"/>
      <c r="CDY101" s="19"/>
      <c r="CDZ101" s="19"/>
      <c r="CEA101" s="19"/>
      <c r="CEB101" s="19"/>
      <c r="CEC101" s="19"/>
      <c r="CED101" s="19"/>
      <c r="CEE101" s="19"/>
      <c r="CET101" s="19"/>
      <c r="CEU101" s="19"/>
      <c r="CEV101" s="19"/>
      <c r="CEW101" s="19"/>
      <c r="CEX101" s="19"/>
      <c r="CEY101" s="19"/>
      <c r="CEZ101" s="19"/>
      <c r="CFA101" s="19"/>
      <c r="CFB101" s="19"/>
      <c r="CFC101" s="19"/>
      <c r="CFD101" s="19"/>
      <c r="CFE101" s="19"/>
      <c r="CFF101" s="19"/>
      <c r="CFG101" s="19"/>
      <c r="CFH101" s="19"/>
      <c r="CFI101" s="19"/>
      <c r="CFJ101" s="19"/>
      <c r="CFK101" s="19"/>
      <c r="CFL101" s="19"/>
      <c r="CFM101" s="19"/>
      <c r="CFN101" s="19"/>
      <c r="CFO101" s="19"/>
      <c r="CFP101" s="19"/>
      <c r="CFQ101" s="19"/>
      <c r="CFR101" s="19"/>
      <c r="CFS101" s="19"/>
      <c r="CFT101" s="19"/>
      <c r="CFU101" s="19"/>
      <c r="CFV101" s="19"/>
      <c r="CFW101" s="19"/>
      <c r="CFX101" s="19"/>
      <c r="CFY101" s="19"/>
      <c r="CFZ101" s="19"/>
      <c r="CGA101" s="19"/>
      <c r="CGB101" s="19"/>
      <c r="CGC101" s="19"/>
      <c r="CGD101" s="19"/>
      <c r="CGE101" s="19"/>
      <c r="CGF101" s="19"/>
      <c r="CGG101" s="19"/>
      <c r="CGH101" s="19"/>
      <c r="CGI101" s="19"/>
      <c r="CGJ101" s="19"/>
      <c r="CGK101" s="19"/>
      <c r="CGL101" s="19"/>
      <c r="CGM101" s="19"/>
      <c r="CGN101" s="19"/>
      <c r="CGO101" s="19"/>
      <c r="CGP101" s="19"/>
      <c r="CGQ101" s="19"/>
      <c r="CGR101" s="19"/>
      <c r="CGS101" s="19"/>
      <c r="CGT101" s="19"/>
      <c r="CGU101" s="19"/>
      <c r="CGV101" s="19"/>
      <c r="CGW101" s="19"/>
      <c r="CGX101" s="19"/>
      <c r="CGY101" s="19"/>
      <c r="CGZ101" s="19"/>
      <c r="CHA101" s="19"/>
      <c r="CHB101" s="19"/>
      <c r="CHC101" s="19"/>
      <c r="CHD101" s="19"/>
      <c r="CHE101" s="19"/>
      <c r="CHF101" s="19"/>
      <c r="CHG101" s="19"/>
      <c r="CHH101" s="19"/>
      <c r="CHI101" s="19"/>
      <c r="CHJ101" s="19"/>
      <c r="CHK101" s="19"/>
      <c r="CHL101" s="19"/>
      <c r="CHM101" s="19"/>
      <c r="CHN101" s="19"/>
      <c r="CHO101" s="19"/>
      <c r="CHP101" s="19"/>
      <c r="CHQ101" s="19"/>
      <c r="CHR101" s="19"/>
      <c r="CHS101" s="19"/>
      <c r="CHT101" s="19"/>
      <c r="CHU101" s="19"/>
      <c r="CHV101" s="19"/>
      <c r="CHW101" s="19"/>
      <c r="CHX101" s="19"/>
      <c r="CHY101" s="19"/>
      <c r="CHZ101" s="19"/>
      <c r="CIA101" s="19"/>
      <c r="CIB101" s="19"/>
      <c r="CIC101" s="19"/>
      <c r="CID101" s="19"/>
      <c r="CIE101" s="19"/>
      <c r="CIF101" s="19"/>
      <c r="CIG101" s="19"/>
      <c r="CIH101" s="19"/>
      <c r="CII101" s="19"/>
      <c r="CIJ101" s="19"/>
      <c r="CIK101" s="19"/>
      <c r="CIL101" s="19"/>
      <c r="CIM101" s="19"/>
      <c r="CIN101" s="19"/>
      <c r="CIO101" s="19"/>
      <c r="CIP101" s="19"/>
      <c r="CIQ101" s="19"/>
      <c r="CIR101" s="19"/>
      <c r="CIS101" s="19"/>
      <c r="CIT101" s="19"/>
      <c r="CIU101" s="19"/>
      <c r="CIV101" s="19"/>
      <c r="CIW101" s="19"/>
      <c r="CIX101" s="19"/>
      <c r="CIY101" s="19"/>
      <c r="CIZ101" s="19"/>
      <c r="CJA101" s="19"/>
      <c r="CJB101" s="19"/>
      <c r="CJC101" s="19"/>
      <c r="CJD101" s="19"/>
      <c r="CJE101" s="19"/>
      <c r="CJF101" s="19"/>
      <c r="CJG101" s="19"/>
      <c r="CJH101" s="19"/>
      <c r="CJI101" s="19"/>
    </row>
    <row r="102" spans="1:2297 10881:10881" ht="16.05" customHeight="1">
      <c r="A102" s="19" t="s">
        <v>680</v>
      </c>
      <c r="B102" s="19" t="s">
        <v>741</v>
      </c>
      <c r="C102" s="643"/>
      <c r="D102" s="428" t="str">
        <f t="shared" ca="1" si="279"/>
        <v>Brasil</v>
      </c>
      <c r="E102" s="643" t="s">
        <v>3</v>
      </c>
      <c r="F102" s="643" t="s">
        <v>740</v>
      </c>
      <c r="G102" s="424" t="s">
        <v>1</v>
      </c>
      <c r="H102" s="624">
        <f t="shared" ca="1" si="280"/>
        <v>12</v>
      </c>
      <c r="I102" s="10"/>
      <c r="J102" s="19">
        <v>74</v>
      </c>
      <c r="K102" s="439">
        <v>46202.75</v>
      </c>
      <c r="L102" s="19" t="s">
        <v>705</v>
      </c>
      <c r="M102" s="19" t="str">
        <f t="shared" ca="1" si="281"/>
        <v>Alemania</v>
      </c>
      <c r="N102" s="19"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9"/>
      <c r="P102" s="19"/>
      <c r="Q102" s="19"/>
      <c r="R102" s="19"/>
      <c r="S102" s="19"/>
      <c r="T102" s="19"/>
      <c r="U102" s="19"/>
      <c r="V102" s="20"/>
      <c r="W102" s="671"/>
      <c r="X102" s="27">
        <f ca="1">Horarios!C102</f>
        <v>46202.791666666664</v>
      </c>
      <c r="Y102" s="28">
        <f ca="1">Horarios!C102</f>
        <v>46202.791666666664</v>
      </c>
      <c r="Z102" s="289">
        <f t="shared" ref="Z102:Z116" si="286">AH102</f>
        <v>76</v>
      </c>
      <c r="AA102" s="96" t="str">
        <f t="shared" ca="1" si="282"/>
        <v>Brasil</v>
      </c>
      <c r="AB102" s="97"/>
      <c r="AC102" s="100">
        <v>2</v>
      </c>
      <c r="AD102" s="100">
        <v>0</v>
      </c>
      <c r="AE102" s="97"/>
      <c r="AF102" s="99" t="str">
        <f t="shared" ca="1" si="283"/>
        <v>Países Bajos</v>
      </c>
      <c r="AG102" s="339">
        <f t="shared" ca="1" si="284"/>
        <v>1</v>
      </c>
      <c r="AH102" s="204">
        <v>76</v>
      </c>
      <c r="AI102" s="191">
        <v>1</v>
      </c>
      <c r="AJ102" s="88">
        <v>1</v>
      </c>
      <c r="AK102" s="349" t="str">
        <f ca="1">IFERROR(INDEX(Equipos!$L$2:$L$49,MATCH(WORLDCUP!AL102,Equipos!$K$2:$K$49,0)),"")</f>
        <v>🇬🇭</v>
      </c>
      <c r="AL102" s="89" t="str">
        <f t="shared" ref="AL102:AL113" ca="1" si="287">+IF($H$113&gt;=48,INDEX($BD$58:$BD$69,MATCH(AI102,$BN$58:$BN$69,0)),BB58)</f>
        <v>Ghana</v>
      </c>
      <c r="AM102" s="333">
        <f t="shared" ref="AM102:AT113" ca="1" si="288">+IF($H$113&gt;=48,INDEX($BE$6:$BN$53,MATCH($AL102,$BD$6:$BD$53,0),MATCH(AM$5,$BE$5:$BN$5,0)),$BB58)</f>
        <v>4</v>
      </c>
      <c r="AN102" s="90">
        <f t="shared" ca="1" si="288"/>
        <v>3</v>
      </c>
      <c r="AO102" s="90">
        <f t="shared" ca="1" si="288"/>
        <v>1</v>
      </c>
      <c r="AP102" s="90">
        <f t="shared" ca="1" si="288"/>
        <v>1</v>
      </c>
      <c r="AQ102" s="91">
        <f t="shared" ca="1" si="288"/>
        <v>1</v>
      </c>
      <c r="AR102" s="91">
        <f t="shared" ca="1" si="288"/>
        <v>2</v>
      </c>
      <c r="AS102" s="91">
        <f t="shared" ca="1" si="288"/>
        <v>2</v>
      </c>
      <c r="AT102" s="92">
        <f t="shared" ca="1" si="288"/>
        <v>0</v>
      </c>
      <c r="AU102" s="342">
        <f t="shared" ref="AU102:AU113" ca="1" si="289">IF($H$113=144,INDEX($DJ$58:$DJ$69,MATCH(AI102,$DN$58:$DN$69,0)),"")</f>
        <v>1</v>
      </c>
      <c r="AV102" s="191" t="str">
        <f t="shared" ref="AV102:AV113" ca="1" si="290">INDEX($BD$58:$BD$69,MATCH(AI102,$BM$58:$BM$69,0))</f>
        <v>Ghana</v>
      </c>
      <c r="AW102" s="224"/>
      <c r="AX102" s="178"/>
      <c r="AY102" s="162"/>
      <c r="AZ102" s="163"/>
      <c r="BA102" s="155"/>
      <c r="BB102" s="19"/>
      <c r="BD102" s="19"/>
      <c r="BE102" s="638" t="s">
        <v>461</v>
      </c>
      <c r="BF102" s="19" t="s">
        <v>738</v>
      </c>
      <c r="BG102" s="19" t="s">
        <v>783</v>
      </c>
      <c r="BH102" s="19"/>
      <c r="BI102" s="19" t="s">
        <v>87</v>
      </c>
      <c r="BJ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19"/>
      <c r="MI102" s="19"/>
      <c r="MJ102" s="19"/>
      <c r="MK102" s="19"/>
      <c r="ML102" s="19"/>
      <c r="MM102" s="19"/>
      <c r="MN102" s="19"/>
      <c r="MO102" s="19"/>
      <c r="MP102" s="19"/>
      <c r="MQ102" s="19"/>
      <c r="MR102" s="19"/>
      <c r="MS102" s="19"/>
      <c r="MT102" s="19"/>
      <c r="MU102" s="19"/>
      <c r="MV102" s="19"/>
      <c r="MW102" s="19"/>
      <c r="MX102" s="19"/>
      <c r="MY102" s="19"/>
      <c r="MZ102" s="19"/>
      <c r="NA102" s="19"/>
      <c r="NB102" s="19"/>
      <c r="NC102" s="19"/>
      <c r="ND102" s="19"/>
      <c r="NE102" s="19"/>
      <c r="NF102" s="19"/>
      <c r="NG102" s="19"/>
      <c r="NH102" s="19"/>
      <c r="NI102" s="19"/>
      <c r="NJ102" s="19"/>
      <c r="NK102" s="19"/>
      <c r="NL102" s="19"/>
      <c r="NM102" s="19"/>
      <c r="NN102" s="19"/>
      <c r="NO102" s="19"/>
      <c r="NP102" s="19"/>
      <c r="NQ102" s="19"/>
      <c r="NR102" s="19"/>
      <c r="NS102" s="19"/>
      <c r="NT102" s="19"/>
      <c r="NU102" s="19"/>
      <c r="NV102" s="19"/>
      <c r="NW102" s="19"/>
      <c r="NX102" s="19"/>
      <c r="NY102" s="19"/>
      <c r="NZ102" s="19"/>
      <c r="OA102" s="19"/>
      <c r="OB102" s="19"/>
      <c r="OC102" s="19"/>
      <c r="OD102" s="19"/>
      <c r="OE102" s="19"/>
      <c r="OF102" s="19"/>
      <c r="OG102" s="19"/>
      <c r="OH102" s="19"/>
      <c r="OI102" s="19"/>
      <c r="OJ102" s="19"/>
      <c r="OK102" s="19"/>
      <c r="OL102" s="19"/>
      <c r="OM102" s="19"/>
      <c r="ON102" s="19"/>
      <c r="OO102" s="19"/>
      <c r="OP102" s="19"/>
      <c r="OQ102" s="19"/>
      <c r="OR102" s="19"/>
      <c r="OS102" s="19"/>
      <c r="OT102" s="19"/>
      <c r="OU102" s="19"/>
      <c r="OV102" s="19"/>
      <c r="OW102" s="19"/>
      <c r="OX102" s="19"/>
      <c r="OY102" s="19"/>
      <c r="OZ102" s="19"/>
      <c r="PA102" s="19"/>
      <c r="PB102" s="19"/>
      <c r="PC102" s="19"/>
      <c r="PD102" s="19"/>
      <c r="PE102" s="19"/>
      <c r="PF102" s="19"/>
      <c r="PG102" s="19"/>
      <c r="PH102" s="19"/>
      <c r="PI102" s="19"/>
      <c r="PJ102" s="19"/>
      <c r="PK102" s="19"/>
      <c r="PL102" s="19"/>
      <c r="PM102" s="19"/>
      <c r="PN102" s="19"/>
      <c r="PO102" s="19"/>
      <c r="PP102" s="19"/>
      <c r="PQ102" s="19"/>
      <c r="PR102" s="19"/>
      <c r="PS102" s="19"/>
      <c r="PT102" s="19"/>
      <c r="PU102" s="19"/>
      <c r="PV102" s="19"/>
      <c r="PW102" s="19"/>
      <c r="PX102" s="19"/>
      <c r="PY102" s="19"/>
      <c r="PZ102" s="19"/>
      <c r="QA102" s="19"/>
      <c r="QB102" s="19"/>
      <c r="QC102" s="19"/>
      <c r="QD102" s="19"/>
      <c r="QE102" s="19"/>
      <c r="QF102" s="19"/>
      <c r="QG102" s="19"/>
      <c r="QH102" s="19"/>
      <c r="QI102" s="19"/>
      <c r="QJ102" s="19"/>
      <c r="QK102" s="19"/>
      <c r="QL102" s="19"/>
      <c r="QM102" s="19"/>
      <c r="QN102" s="19"/>
      <c r="QO102" s="19"/>
      <c r="QP102" s="19"/>
      <c r="QQ102" s="19"/>
      <c r="QR102" s="19"/>
      <c r="QS102" s="19"/>
      <c r="QT102" s="19"/>
      <c r="QU102" s="19"/>
      <c r="QV102" s="19"/>
      <c r="QW102" s="19"/>
      <c r="QX102" s="19"/>
      <c r="QY102" s="19"/>
      <c r="QZ102" s="19"/>
      <c r="RA102" s="19"/>
      <c r="RB102" s="19"/>
      <c r="RC102" s="19"/>
      <c r="RD102" s="19"/>
      <c r="RE102" s="19"/>
      <c r="RF102" s="19"/>
      <c r="RG102" s="19"/>
      <c r="RH102" s="19"/>
      <c r="RI102" s="19"/>
      <c r="RJ102" s="19"/>
      <c r="RK102" s="19"/>
      <c r="RL102" s="19"/>
      <c r="RM102" s="19"/>
      <c r="RN102" s="19"/>
      <c r="RO102" s="19"/>
      <c r="RP102" s="19"/>
      <c r="RQ102" s="19"/>
      <c r="RR102" s="19"/>
      <c r="RS102" s="19"/>
      <c r="RT102" s="19"/>
      <c r="RU102" s="19"/>
      <c r="RV102" s="19"/>
      <c r="RW102" s="19"/>
      <c r="RX102" s="19"/>
      <c r="RY102" s="19"/>
      <c r="RZ102" s="19"/>
      <c r="SA102" s="19"/>
      <c r="SB102" s="19"/>
      <c r="SC102" s="19"/>
      <c r="SD102" s="19"/>
      <c r="SE102" s="19"/>
      <c r="SF102" s="19"/>
      <c r="SG102" s="19"/>
      <c r="SH102" s="19"/>
      <c r="SI102" s="19"/>
      <c r="SJ102" s="19"/>
      <c r="SK102" s="19"/>
      <c r="SL102" s="19"/>
      <c r="SM102" s="19"/>
      <c r="SN102" s="19"/>
      <c r="SO102" s="19"/>
      <c r="SP102" s="19"/>
      <c r="SQ102" s="19"/>
      <c r="SR102" s="19"/>
      <c r="SS102" s="19"/>
      <c r="ST102" s="19"/>
      <c r="SU102" s="19"/>
      <c r="SV102" s="19"/>
      <c r="SW102" s="19"/>
      <c r="SX102" s="19"/>
      <c r="SY102" s="19"/>
      <c r="SZ102" s="19"/>
      <c r="TA102" s="19"/>
      <c r="TB102" s="19"/>
      <c r="TC102" s="19"/>
      <c r="TD102" s="19"/>
      <c r="TE102" s="19"/>
      <c r="TF102" s="19"/>
      <c r="TG102" s="19"/>
      <c r="TH102" s="19"/>
      <c r="TI102" s="19"/>
      <c r="TJ102" s="19"/>
      <c r="TK102" s="19"/>
      <c r="TL102" s="19"/>
      <c r="TM102" s="19"/>
      <c r="TN102" s="19"/>
      <c r="TO102" s="19"/>
      <c r="TP102" s="19"/>
      <c r="TQ102" s="19"/>
      <c r="TR102" s="19"/>
      <c r="TS102" s="19"/>
      <c r="TT102" s="19"/>
      <c r="TU102" s="19"/>
      <c r="TV102" s="19"/>
      <c r="TW102" s="19"/>
      <c r="TX102" s="19"/>
      <c r="TY102" s="19"/>
      <c r="TZ102" s="19"/>
      <c r="UA102" s="19"/>
      <c r="UB102" s="19"/>
      <c r="UC102" s="19"/>
      <c r="UD102" s="19"/>
      <c r="UE102" s="19"/>
      <c r="UF102" s="19"/>
      <c r="UG102" s="19"/>
      <c r="UH102" s="19"/>
      <c r="UI102" s="19"/>
      <c r="UJ102" s="19"/>
      <c r="UK102" s="19"/>
      <c r="UL102" s="19"/>
      <c r="UM102" s="19"/>
      <c r="UN102" s="19"/>
      <c r="UO102" s="19"/>
      <c r="UP102" s="19"/>
      <c r="UQ102" s="19"/>
      <c r="UR102" s="19"/>
      <c r="US102" s="19"/>
      <c r="UT102" s="19"/>
      <c r="UU102" s="19"/>
      <c r="UV102" s="19"/>
      <c r="UW102" s="19"/>
      <c r="UX102" s="19"/>
      <c r="UY102" s="19"/>
      <c r="UZ102" s="19"/>
      <c r="VA102" s="19"/>
      <c r="VB102" s="19"/>
      <c r="VC102" s="19"/>
      <c r="VD102" s="19"/>
      <c r="VE102" s="19"/>
      <c r="VF102" s="19"/>
      <c r="VG102" s="19"/>
      <c r="VH102" s="19"/>
      <c r="VI102" s="19"/>
      <c r="VJ102" s="19"/>
      <c r="VK102" s="19"/>
      <c r="VL102" s="19"/>
      <c r="VM102" s="19"/>
      <c r="VN102" s="19"/>
      <c r="VO102" s="19"/>
      <c r="VP102" s="19"/>
      <c r="VQ102" s="19"/>
      <c r="VR102" s="19"/>
      <c r="VS102" s="19"/>
      <c r="VT102" s="19"/>
      <c r="VU102" s="19"/>
      <c r="VV102" s="19"/>
      <c r="VW102" s="19"/>
      <c r="VX102" s="19"/>
      <c r="VY102" s="19"/>
      <c r="VZ102" s="19"/>
      <c r="WA102" s="19"/>
      <c r="WB102" s="19"/>
      <c r="WC102" s="19"/>
      <c r="WD102" s="19"/>
      <c r="WE102" s="19"/>
      <c r="WF102" s="19"/>
      <c r="WG102" s="19"/>
      <c r="WH102" s="19"/>
      <c r="WI102" s="19"/>
      <c r="WJ102" s="19"/>
      <c r="WK102" s="19"/>
      <c r="WL102" s="19"/>
      <c r="WM102" s="19"/>
      <c r="WN102" s="19"/>
      <c r="WO102" s="19"/>
      <c r="WP102" s="19"/>
      <c r="WQ102" s="19"/>
      <c r="WR102" s="19"/>
      <c r="WS102" s="19"/>
      <c r="WT102" s="19"/>
      <c r="WU102" s="19"/>
      <c r="WV102" s="19"/>
      <c r="WW102" s="19"/>
      <c r="WX102" s="19"/>
      <c r="WY102" s="19"/>
      <c r="WZ102" s="19"/>
      <c r="XA102" s="19"/>
      <c r="XB102" s="19"/>
      <c r="XC102" s="19"/>
      <c r="XD102" s="19"/>
      <c r="XE102" s="19"/>
      <c r="XF102" s="19"/>
      <c r="XG102" s="19"/>
      <c r="XH102" s="19"/>
      <c r="XI102" s="19"/>
      <c r="XJ102" s="19"/>
      <c r="XK102" s="19"/>
      <c r="XL102" s="19"/>
      <c r="XM102" s="19"/>
      <c r="XN102" s="19"/>
      <c r="XO102" s="19"/>
      <c r="XP102" s="19"/>
      <c r="XQ102" s="19"/>
      <c r="XR102" s="19"/>
      <c r="XS102" s="19"/>
      <c r="XT102" s="19"/>
      <c r="XU102" s="19"/>
      <c r="XV102" s="19"/>
      <c r="XW102" s="19"/>
      <c r="XX102" s="19"/>
      <c r="XY102" s="19"/>
      <c r="XZ102" s="19"/>
      <c r="YA102" s="19"/>
      <c r="YB102" s="19"/>
      <c r="YC102" s="19"/>
      <c r="YD102" s="19"/>
      <c r="YE102" s="19"/>
      <c r="YF102" s="19"/>
      <c r="YG102" s="19"/>
      <c r="YH102" s="19"/>
      <c r="YI102" s="19"/>
      <c r="YJ102" s="19"/>
      <c r="YK102" s="19"/>
      <c r="YL102" s="19"/>
      <c r="YM102" s="19"/>
      <c r="YN102" s="19"/>
      <c r="YO102" s="19"/>
      <c r="YP102" s="19"/>
      <c r="YQ102" s="19"/>
      <c r="YR102" s="19"/>
      <c r="YS102" s="19"/>
      <c r="YT102" s="19"/>
      <c r="YU102" s="19"/>
      <c r="YV102" s="19"/>
      <c r="YW102" s="19"/>
      <c r="YX102" s="19"/>
      <c r="YY102" s="19"/>
      <c r="YZ102" s="19"/>
      <c r="ZA102" s="19"/>
      <c r="ZB102" s="19"/>
      <c r="ZC102" s="19"/>
      <c r="ZD102" s="19"/>
      <c r="ZE102" s="19"/>
      <c r="ZF102" s="19"/>
      <c r="ZG102" s="19"/>
      <c r="ZH102" s="19"/>
      <c r="ZI102" s="19"/>
      <c r="ZJ102" s="19"/>
      <c r="ZK102" s="19"/>
      <c r="ZL102" s="19"/>
      <c r="ZM102" s="19"/>
      <c r="ZN102" s="19"/>
      <c r="ZO102" s="19"/>
      <c r="ZP102" s="19"/>
      <c r="ZQ102" s="19"/>
      <c r="ZR102" s="19"/>
      <c r="ZS102" s="19"/>
      <c r="ZT102" s="19"/>
      <c r="ZU102" s="19"/>
      <c r="ZV102" s="19"/>
      <c r="ZW102" s="19"/>
      <c r="ZX102" s="19"/>
      <c r="ZY102" s="19"/>
      <c r="ZZ102" s="19"/>
      <c r="AAA102" s="19"/>
      <c r="AAB102" s="19"/>
      <c r="AAC102" s="19"/>
      <c r="AAD102" s="19"/>
      <c r="AAE102" s="19"/>
      <c r="AAF102" s="19"/>
      <c r="AAG102" s="19"/>
      <c r="AAH102" s="19"/>
      <c r="AAI102" s="19"/>
      <c r="AAJ102" s="19"/>
      <c r="AAK102" s="19"/>
      <c r="AAL102" s="19"/>
      <c r="AAM102" s="19"/>
      <c r="AAN102" s="19"/>
      <c r="AAO102" s="19"/>
      <c r="AAP102" s="19"/>
      <c r="AAQ102" s="19"/>
      <c r="AAR102" s="19"/>
      <c r="AAS102" s="19"/>
      <c r="AAT102" s="19"/>
      <c r="AAU102" s="19"/>
      <c r="AAV102" s="19"/>
      <c r="AAW102" s="19"/>
      <c r="AAX102" s="19"/>
      <c r="AAY102" s="19"/>
      <c r="AAZ102" s="19"/>
      <c r="ABA102" s="19"/>
      <c r="ABB102" s="19"/>
      <c r="ABC102" s="19"/>
      <c r="ABD102" s="19"/>
      <c r="ABE102" s="19"/>
      <c r="ABF102" s="19"/>
      <c r="ABG102" s="19"/>
      <c r="ABH102" s="19"/>
      <c r="ABI102" s="19"/>
      <c r="ABJ102" s="19"/>
      <c r="ABK102" s="19"/>
      <c r="ABL102" s="19"/>
      <c r="ABM102" s="19"/>
      <c r="ABN102" s="19"/>
      <c r="ABO102" s="19"/>
      <c r="ABP102" s="19"/>
      <c r="ABQ102" s="19"/>
      <c r="ABR102" s="19"/>
      <c r="ABS102" s="19"/>
      <c r="ABT102" s="19"/>
      <c r="ABU102" s="19"/>
      <c r="ABV102" s="19"/>
      <c r="ABW102" s="19"/>
      <c r="ABX102" s="19"/>
      <c r="ABY102" s="19"/>
      <c r="ABZ102" s="19"/>
      <c r="ACA102" s="19"/>
      <c r="ACB102" s="19"/>
      <c r="ACC102" s="19"/>
      <c r="ACD102" s="19"/>
      <c r="ACE102" s="19"/>
      <c r="ACF102" s="19"/>
      <c r="ACG102" s="19"/>
      <c r="ACH102" s="19"/>
      <c r="ACI102" s="19"/>
      <c r="ACJ102" s="19"/>
      <c r="ACK102" s="19"/>
      <c r="ACL102" s="19"/>
      <c r="ACM102" s="19"/>
      <c r="ACN102" s="19"/>
      <c r="ACO102" s="19"/>
      <c r="ACP102" s="19"/>
      <c r="ACQ102" s="19"/>
      <c r="ACR102" s="19"/>
      <c r="ACS102" s="19"/>
      <c r="ACT102" s="19"/>
      <c r="ACU102" s="19"/>
      <c r="ACV102" s="19"/>
      <c r="ACW102" s="19"/>
      <c r="ACX102" s="19"/>
      <c r="ACY102" s="19"/>
      <c r="ACZ102" s="19"/>
      <c r="ADA102" s="19"/>
      <c r="ADB102" s="19"/>
      <c r="ADC102" s="19"/>
      <c r="ADD102" s="19"/>
      <c r="ADE102" s="19"/>
      <c r="ADF102" s="19"/>
      <c r="ADG102" s="19"/>
      <c r="ADH102" s="19"/>
      <c r="ADI102" s="19"/>
      <c r="ADJ102" s="19"/>
      <c r="ADK102" s="19"/>
      <c r="ADL102" s="19"/>
      <c r="ADM102" s="19"/>
      <c r="ADN102" s="19"/>
      <c r="ADO102" s="19"/>
      <c r="ADP102" s="19"/>
      <c r="ADQ102" s="19"/>
      <c r="ADR102" s="19"/>
      <c r="ADS102" s="19"/>
      <c r="ADT102" s="19"/>
      <c r="ADU102" s="19"/>
      <c r="ADV102" s="19"/>
      <c r="ADW102" s="19"/>
      <c r="ADX102" s="19"/>
      <c r="ADY102" s="19"/>
      <c r="ADZ102" s="19"/>
      <c r="AEA102" s="19"/>
      <c r="AEB102" s="19"/>
      <c r="AEC102" s="19"/>
      <c r="AED102" s="19"/>
      <c r="AEE102" s="19"/>
      <c r="AEF102" s="19"/>
      <c r="AEG102" s="19"/>
      <c r="AEH102" s="19"/>
      <c r="AEI102" s="19"/>
      <c r="AEJ102" s="19"/>
      <c r="AEK102" s="19"/>
      <c r="AEL102" s="19"/>
      <c r="AEM102" s="19"/>
      <c r="AEN102" s="19"/>
      <c r="AEO102" s="19"/>
      <c r="AEP102" s="19"/>
      <c r="AEQ102" s="19"/>
      <c r="AER102" s="19"/>
      <c r="AES102" s="19"/>
      <c r="AET102" s="19"/>
      <c r="AEU102" s="19"/>
      <c r="AEV102" s="19"/>
      <c r="AEW102" s="19"/>
      <c r="AEX102" s="19"/>
      <c r="AEY102" s="19"/>
      <c r="AEZ102" s="19"/>
      <c r="AFA102" s="19"/>
      <c r="AFB102" s="19"/>
      <c r="AFC102" s="19"/>
      <c r="AFD102" s="19"/>
      <c r="AFE102" s="19"/>
      <c r="AFF102" s="19"/>
      <c r="AFG102" s="19"/>
      <c r="AFH102" s="19"/>
      <c r="AFI102" s="19"/>
      <c r="AFJ102" s="19"/>
      <c r="AFK102" s="19"/>
      <c r="AFL102" s="19"/>
      <c r="AFM102" s="19"/>
      <c r="AFN102" s="19"/>
      <c r="AFO102" s="19"/>
      <c r="AFP102" s="19"/>
      <c r="AFQ102" s="19"/>
      <c r="AFR102" s="19"/>
      <c r="AFS102" s="19"/>
      <c r="AFT102" s="19"/>
      <c r="AFU102" s="19"/>
      <c r="AFV102" s="19"/>
      <c r="AFW102" s="19"/>
      <c r="AFX102" s="19"/>
      <c r="AFY102" s="19"/>
      <c r="AFZ102" s="19"/>
      <c r="AGA102" s="19"/>
      <c r="AGB102" s="19"/>
      <c r="AGC102" s="19"/>
      <c r="AGD102" s="19"/>
      <c r="AGE102" s="19"/>
      <c r="AGF102" s="19"/>
      <c r="AGG102" s="19"/>
      <c r="AGH102" s="19"/>
      <c r="AGI102" s="19"/>
      <c r="AGJ102" s="19"/>
      <c r="AGK102" s="19"/>
      <c r="AGL102" s="19"/>
      <c r="AGM102" s="19"/>
      <c r="AGN102" s="19"/>
      <c r="AGO102" s="19"/>
      <c r="AGP102" s="19"/>
      <c r="AGQ102" s="19"/>
      <c r="AGR102" s="19"/>
      <c r="AGS102" s="19"/>
      <c r="AGT102" s="19"/>
      <c r="AGU102" s="19"/>
      <c r="AGV102" s="19"/>
      <c r="AGW102" s="19"/>
      <c r="AGX102" s="19"/>
      <c r="AGY102" s="19"/>
      <c r="AGZ102" s="19"/>
      <c r="AHA102" s="19"/>
      <c r="AHB102" s="19"/>
      <c r="AHC102" s="19"/>
      <c r="AHD102" s="19"/>
      <c r="AHE102" s="19"/>
      <c r="AHF102" s="19"/>
      <c r="AHG102" s="19"/>
      <c r="AHH102" s="19"/>
      <c r="AHI102" s="19"/>
      <c r="AHJ102" s="19"/>
      <c r="AHK102" s="19"/>
      <c r="AHL102" s="19"/>
      <c r="AHM102" s="19"/>
      <c r="AHN102" s="19"/>
      <c r="AHO102" s="19"/>
      <c r="AHP102" s="19"/>
      <c r="AHQ102" s="19"/>
      <c r="AHR102" s="19"/>
      <c r="AHS102" s="19"/>
      <c r="AHT102" s="19"/>
      <c r="AHU102" s="19"/>
      <c r="AHV102" s="19"/>
      <c r="AHW102" s="19"/>
      <c r="AHX102" s="19"/>
      <c r="AHY102" s="19"/>
      <c r="AHZ102" s="19"/>
      <c r="AIA102" s="19"/>
      <c r="AIB102" s="19"/>
      <c r="AIC102" s="19"/>
      <c r="AID102" s="19"/>
      <c r="AIE102" s="19"/>
      <c r="AIF102" s="19"/>
      <c r="AIG102" s="19"/>
      <c r="AIH102" s="19"/>
      <c r="AII102" s="19"/>
      <c r="AIJ102" s="19"/>
      <c r="AIK102" s="19"/>
      <c r="AIL102" s="19"/>
      <c r="AIM102" s="19"/>
      <c r="AIN102" s="19"/>
      <c r="AIO102" s="19"/>
      <c r="AIP102" s="19"/>
      <c r="AIQ102" s="19"/>
      <c r="AIR102" s="19"/>
      <c r="AIS102" s="19"/>
      <c r="AIT102" s="19"/>
      <c r="AIU102" s="19"/>
      <c r="AIV102" s="19"/>
      <c r="AIW102" s="19"/>
      <c r="AIX102" s="19"/>
      <c r="AIY102" s="19"/>
      <c r="AIZ102" s="19"/>
      <c r="AJA102" s="19"/>
      <c r="AJB102" s="19"/>
      <c r="AJC102" s="19"/>
      <c r="AJD102" s="19"/>
      <c r="AJE102" s="19"/>
      <c r="AJF102" s="19"/>
      <c r="AJG102" s="19"/>
      <c r="AJH102" s="19"/>
      <c r="AJI102" s="19"/>
      <c r="AJJ102" s="19"/>
      <c r="AJK102" s="19"/>
      <c r="AJL102" s="19"/>
      <c r="AJM102" s="19"/>
      <c r="AJN102" s="19"/>
      <c r="AJO102" s="19"/>
      <c r="AJP102" s="19"/>
      <c r="AJQ102" s="19"/>
      <c r="AJR102" s="19"/>
      <c r="AJS102" s="19"/>
      <c r="AJT102" s="19"/>
      <c r="AJU102" s="19"/>
      <c r="AJV102" s="19"/>
      <c r="AJW102" s="19"/>
      <c r="AJX102" s="19"/>
      <c r="AJY102" s="19"/>
      <c r="AJZ102" s="19"/>
      <c r="AKA102" s="19"/>
      <c r="AKB102" s="19"/>
      <c r="AKC102" s="19"/>
      <c r="AKD102" s="19"/>
      <c r="AKE102" s="19"/>
      <c r="AKF102" s="19"/>
      <c r="AKG102" s="19"/>
      <c r="AKH102" s="19"/>
      <c r="AKI102" s="19"/>
      <c r="AKJ102" s="19"/>
      <c r="AKK102" s="19"/>
      <c r="AKL102" s="19"/>
      <c r="AKM102" s="19"/>
      <c r="AKN102" s="19"/>
      <c r="AKO102" s="19"/>
      <c r="AKP102" s="19"/>
      <c r="AKQ102" s="19"/>
      <c r="AKR102" s="19"/>
      <c r="AKS102" s="19"/>
      <c r="AKT102" s="19"/>
      <c r="AKU102" s="19"/>
      <c r="AKV102" s="19"/>
      <c r="AKW102" s="19"/>
      <c r="AKX102" s="19"/>
      <c r="AKY102" s="19"/>
      <c r="AKZ102" s="19"/>
      <c r="ALA102" s="19"/>
      <c r="ALB102" s="19"/>
      <c r="ALC102" s="19"/>
      <c r="ALD102" s="19"/>
      <c r="ALE102" s="19"/>
      <c r="ALF102" s="19"/>
      <c r="ALG102" s="19"/>
      <c r="ALH102" s="19"/>
      <c r="ALI102" s="19"/>
      <c r="ALJ102" s="19"/>
      <c r="ALK102" s="19"/>
      <c r="ALL102" s="19"/>
      <c r="ALM102" s="19"/>
      <c r="ALN102" s="19"/>
      <c r="ALO102" s="19"/>
      <c r="ALP102" s="19"/>
      <c r="ALQ102" s="19"/>
      <c r="ALR102" s="19"/>
      <c r="ALS102" s="19"/>
      <c r="ALT102" s="19"/>
      <c r="ALU102" s="19"/>
      <c r="ALV102" s="19"/>
      <c r="ALW102" s="19"/>
      <c r="ALX102" s="19"/>
      <c r="ALY102" s="19"/>
      <c r="ALZ102" s="19"/>
      <c r="AMA102" s="19"/>
      <c r="AMB102" s="19"/>
      <c r="AMC102" s="19"/>
      <c r="AMD102" s="19"/>
      <c r="AME102" s="19"/>
      <c r="AMF102" s="19"/>
      <c r="AMG102" s="19"/>
      <c r="AMH102" s="19"/>
      <c r="AMI102" s="19"/>
      <c r="AMJ102" s="19"/>
      <c r="AMK102" s="19"/>
      <c r="AML102" s="19"/>
      <c r="AMM102" s="19"/>
      <c r="AMN102" s="19"/>
      <c r="AMO102" s="19"/>
      <c r="AMP102" s="19"/>
      <c r="AMQ102" s="19"/>
      <c r="AMR102" s="19"/>
      <c r="AMS102" s="19"/>
      <c r="AMT102" s="19"/>
      <c r="AMU102" s="19"/>
      <c r="AMV102" s="19"/>
      <c r="AMW102" s="19"/>
      <c r="AMX102" s="19"/>
      <c r="AMY102" s="19"/>
      <c r="AMZ102" s="19"/>
      <c r="ANA102" s="19"/>
      <c r="ANB102" s="19"/>
      <c r="ANC102" s="19"/>
      <c r="AND102" s="19"/>
      <c r="ANE102" s="19"/>
      <c r="ANF102" s="19"/>
      <c r="ANG102" s="19"/>
      <c r="ANH102" s="19"/>
      <c r="ANI102" s="19"/>
      <c r="ANJ102" s="19"/>
      <c r="ANK102" s="19"/>
      <c r="ANL102" s="19"/>
      <c r="ANM102" s="19"/>
      <c r="ANN102" s="19"/>
      <c r="ANO102" s="19"/>
      <c r="ANP102" s="19"/>
      <c r="ANQ102" s="19"/>
      <c r="ANR102" s="19"/>
      <c r="ANS102" s="19"/>
      <c r="ANT102" s="19"/>
      <c r="ANU102" s="19"/>
      <c r="ANV102" s="19"/>
      <c r="ANW102" s="19"/>
      <c r="ANX102" s="19"/>
      <c r="ANY102" s="19"/>
      <c r="ANZ102" s="19"/>
      <c r="AOA102" s="19"/>
      <c r="AOB102" s="19"/>
      <c r="AOC102" s="19"/>
      <c r="AOD102" s="19"/>
      <c r="AOE102" s="19"/>
      <c r="AOF102" s="19"/>
      <c r="AOG102" s="19"/>
      <c r="AOH102" s="19"/>
      <c r="AOI102" s="19"/>
      <c r="AOJ102" s="19"/>
      <c r="AOK102" s="19"/>
      <c r="AOL102" s="19"/>
      <c r="AOM102" s="19"/>
      <c r="AON102" s="19"/>
      <c r="AOO102" s="19"/>
      <c r="AOP102" s="19"/>
      <c r="AOQ102" s="19"/>
      <c r="AOR102" s="19"/>
      <c r="AOS102" s="19"/>
      <c r="AOT102" s="19"/>
      <c r="AOU102" s="19"/>
      <c r="AOV102" s="19"/>
      <c r="AOW102" s="19"/>
      <c r="AOX102" s="19"/>
      <c r="AOY102" s="19"/>
      <c r="AOZ102" s="19"/>
      <c r="APA102" s="19"/>
      <c r="APB102" s="19"/>
      <c r="APC102" s="19"/>
      <c r="APD102" s="19"/>
      <c r="APE102" s="19"/>
      <c r="APF102" s="19"/>
      <c r="APG102" s="19"/>
      <c r="APH102" s="19"/>
      <c r="API102" s="19"/>
      <c r="APJ102" s="19"/>
      <c r="APK102" s="19"/>
      <c r="APL102" s="19"/>
      <c r="APM102" s="19"/>
      <c r="APN102" s="19"/>
      <c r="APO102" s="19"/>
      <c r="APP102" s="19"/>
      <c r="APQ102" s="19"/>
      <c r="APR102" s="19"/>
      <c r="APS102" s="19"/>
      <c r="APT102" s="19"/>
      <c r="APU102" s="19"/>
      <c r="APV102" s="19"/>
      <c r="APW102" s="19"/>
      <c r="APX102" s="19"/>
      <c r="APY102" s="19"/>
      <c r="APZ102" s="19"/>
      <c r="AQA102" s="19"/>
      <c r="AQB102" s="19"/>
      <c r="AQC102" s="19"/>
      <c r="AQD102" s="19"/>
      <c r="AQE102" s="19"/>
      <c r="AQF102" s="19"/>
      <c r="AQG102" s="19"/>
      <c r="AQH102" s="19"/>
      <c r="AQI102" s="19"/>
      <c r="AQJ102" s="19"/>
      <c r="AQK102" s="19"/>
      <c r="AQL102" s="19"/>
      <c r="AQM102" s="19"/>
      <c r="AQN102" s="19"/>
      <c r="AQO102" s="19"/>
      <c r="AQP102" s="19"/>
      <c r="AQQ102" s="19"/>
      <c r="AQR102" s="19"/>
      <c r="AQS102" s="19"/>
      <c r="AQT102" s="19"/>
      <c r="AQU102" s="19"/>
      <c r="AQV102" s="19"/>
      <c r="AQW102" s="19"/>
      <c r="AQX102" s="19"/>
      <c r="AQY102" s="19"/>
      <c r="AQZ102" s="19"/>
      <c r="ARA102" s="19"/>
      <c r="ARB102" s="19"/>
      <c r="ARC102" s="19"/>
      <c r="ARD102" s="19"/>
      <c r="ARE102" s="19"/>
      <c r="ARF102" s="19"/>
      <c r="ARG102" s="19"/>
      <c r="ARH102" s="19"/>
      <c r="ARI102" s="19"/>
      <c r="ARJ102" s="19"/>
      <c r="ARK102" s="19"/>
      <c r="ARL102" s="19"/>
      <c r="ARM102" s="19"/>
      <c r="ARN102" s="19"/>
      <c r="ARO102" s="19"/>
      <c r="ARP102" s="19"/>
      <c r="ARQ102" s="19"/>
      <c r="ARR102" s="19"/>
      <c r="ARS102" s="19"/>
      <c r="ART102" s="19"/>
      <c r="ARU102" s="19"/>
      <c r="ARV102" s="19"/>
      <c r="ARW102" s="19"/>
      <c r="ARX102" s="19"/>
      <c r="ARY102" s="19"/>
      <c r="ARZ102" s="19"/>
      <c r="ASA102" s="19"/>
      <c r="ASB102" s="19"/>
      <c r="ASC102" s="19"/>
      <c r="ASD102" s="19"/>
      <c r="ASE102" s="19"/>
      <c r="ASF102" s="19"/>
      <c r="ASG102" s="19"/>
      <c r="ASH102" s="19"/>
      <c r="ASI102" s="19"/>
      <c r="ASJ102" s="19"/>
      <c r="ASK102" s="19"/>
      <c r="ASL102" s="19"/>
      <c r="ASM102" s="19"/>
      <c r="ASN102" s="19"/>
      <c r="ASO102" s="19"/>
      <c r="ASP102" s="19"/>
      <c r="ASQ102" s="19"/>
      <c r="ASR102" s="19"/>
      <c r="ASS102" s="19"/>
      <c r="AST102" s="19"/>
      <c r="ASU102" s="19"/>
      <c r="ASV102" s="19"/>
      <c r="ASW102" s="19"/>
      <c r="ASX102" s="19"/>
      <c r="ASY102" s="19"/>
      <c r="ASZ102" s="19"/>
      <c r="ATA102" s="19"/>
      <c r="ATB102" s="19"/>
      <c r="ATC102" s="19"/>
      <c r="ATD102" s="19"/>
      <c r="ATE102" s="19"/>
      <c r="ATF102" s="19"/>
      <c r="ATG102" s="19"/>
      <c r="ATH102" s="19"/>
      <c r="ATI102" s="19"/>
      <c r="ATJ102" s="19"/>
      <c r="ATK102" s="19"/>
      <c r="ATL102" s="19"/>
      <c r="ATM102" s="19"/>
      <c r="ATN102" s="19"/>
      <c r="ATO102" s="19"/>
      <c r="ATP102" s="19"/>
      <c r="ATQ102" s="19"/>
      <c r="ATR102" s="19"/>
      <c r="ATS102" s="19"/>
      <c r="ATT102" s="19"/>
      <c r="ATU102" s="19"/>
      <c r="ATV102" s="19"/>
      <c r="ATW102" s="19"/>
      <c r="ATX102" s="19"/>
      <c r="ATY102" s="19"/>
      <c r="ATZ102" s="19"/>
      <c r="AUA102" s="19"/>
      <c r="AUB102" s="19"/>
      <c r="AUC102" s="19"/>
      <c r="AUD102" s="19"/>
      <c r="AUE102" s="19"/>
      <c r="AUF102" s="19"/>
      <c r="AUG102" s="19"/>
      <c r="AUH102" s="19"/>
      <c r="AUI102" s="19"/>
      <c r="AUJ102" s="19"/>
      <c r="AUK102" s="19"/>
      <c r="AUL102" s="19"/>
      <c r="AUM102" s="19"/>
      <c r="AUN102" s="19"/>
      <c r="AUO102" s="19"/>
      <c r="AUP102" s="19"/>
      <c r="AUQ102" s="19"/>
      <c r="AUR102" s="19"/>
      <c r="AUS102" s="19"/>
      <c r="AUT102" s="19"/>
      <c r="AUU102" s="19"/>
      <c r="AUV102" s="19"/>
      <c r="AUW102" s="19"/>
      <c r="AUX102" s="19"/>
      <c r="AUY102" s="19"/>
      <c r="AUZ102" s="19"/>
      <c r="AVA102" s="19"/>
      <c r="AVB102" s="19"/>
      <c r="AVC102" s="19"/>
      <c r="AVD102" s="19"/>
      <c r="AVE102" s="19"/>
      <c r="AVF102" s="19"/>
      <c r="AVG102" s="19"/>
      <c r="AVH102" s="19"/>
      <c r="AVI102" s="19"/>
      <c r="AVJ102" s="19"/>
      <c r="AVK102" s="19"/>
      <c r="AVL102" s="19"/>
      <c r="AVM102" s="19"/>
      <c r="AVN102" s="19"/>
      <c r="AVO102" s="19"/>
      <c r="AVP102" s="19"/>
      <c r="AVQ102" s="19"/>
      <c r="AVR102" s="19"/>
      <c r="AVS102" s="19"/>
      <c r="AVT102" s="19"/>
      <c r="AVU102" s="19"/>
      <c r="AVV102" s="19"/>
      <c r="AVW102" s="19"/>
      <c r="AVX102" s="19"/>
      <c r="AVY102" s="19"/>
      <c r="AVZ102" s="19"/>
      <c r="AWA102" s="19"/>
      <c r="AWB102" s="19"/>
      <c r="AWC102" s="19"/>
      <c r="AWD102" s="19"/>
      <c r="AWE102" s="19"/>
      <c r="AWF102" s="19"/>
      <c r="AWG102" s="19"/>
      <c r="AWH102" s="19"/>
      <c r="AWI102" s="19"/>
      <c r="AWJ102" s="19"/>
      <c r="AWK102" s="19"/>
      <c r="AWL102" s="19"/>
      <c r="AWM102" s="19"/>
      <c r="AWN102" s="19"/>
      <c r="AWO102" s="19"/>
      <c r="AWP102" s="19"/>
      <c r="AWQ102" s="19"/>
      <c r="AWR102" s="19"/>
      <c r="AWS102" s="19"/>
      <c r="AWT102" s="19"/>
      <c r="AWU102" s="19"/>
      <c r="AWV102" s="19"/>
      <c r="AWW102" s="19"/>
      <c r="AWX102" s="19"/>
      <c r="AWY102" s="19"/>
      <c r="AWZ102" s="19"/>
      <c r="AXA102" s="19"/>
      <c r="AXB102" s="19"/>
      <c r="AXC102" s="19"/>
      <c r="AXD102" s="19"/>
      <c r="AXE102" s="19"/>
      <c r="AXF102" s="19"/>
      <c r="AXG102" s="19"/>
      <c r="AXH102" s="19"/>
      <c r="AXI102" s="19"/>
      <c r="AXJ102" s="19"/>
      <c r="AXK102" s="19"/>
      <c r="AXL102" s="19"/>
      <c r="AXM102" s="19"/>
      <c r="AXN102" s="19"/>
      <c r="AXO102" s="19"/>
      <c r="AXP102" s="19"/>
      <c r="AXQ102" s="19"/>
      <c r="AXR102" s="19"/>
      <c r="AXS102" s="19"/>
      <c r="AXT102" s="19"/>
      <c r="AXU102" s="19"/>
      <c r="AXV102" s="19"/>
      <c r="AXW102" s="19"/>
      <c r="AXX102" s="19"/>
      <c r="AXY102" s="19"/>
      <c r="AXZ102" s="19"/>
      <c r="AYA102" s="19"/>
      <c r="AYB102" s="19"/>
      <c r="AYC102" s="19"/>
      <c r="AYD102" s="19"/>
      <c r="AYE102" s="19"/>
      <c r="AYF102" s="19"/>
      <c r="AYG102" s="19"/>
      <c r="AYH102" s="19"/>
      <c r="AYI102" s="19"/>
      <c r="AYJ102" s="19"/>
      <c r="AYK102" s="19"/>
      <c r="AYL102" s="19"/>
      <c r="AYM102" s="19"/>
      <c r="AYN102" s="19"/>
      <c r="AYO102" s="19"/>
      <c r="AYP102" s="19"/>
      <c r="AYQ102" s="19"/>
      <c r="AYR102" s="19"/>
      <c r="AYS102" s="19"/>
      <c r="AYT102" s="19"/>
      <c r="AYU102" s="19"/>
      <c r="AYV102" s="19"/>
      <c r="AYW102" s="19"/>
      <c r="AYX102" s="19"/>
      <c r="AYY102" s="19"/>
      <c r="AYZ102" s="19"/>
      <c r="AZA102" s="19"/>
      <c r="AZB102" s="19"/>
      <c r="AZC102" s="19"/>
      <c r="AZD102" s="19"/>
      <c r="AZE102" s="19"/>
      <c r="AZF102" s="19"/>
      <c r="AZG102" s="19"/>
      <c r="AZH102" s="19"/>
      <c r="AZI102" s="19"/>
      <c r="AZJ102" s="19"/>
      <c r="AZK102" s="19"/>
      <c r="AZL102" s="19"/>
      <c r="AZM102" s="19"/>
      <c r="AZN102" s="19"/>
      <c r="AZO102" s="19"/>
      <c r="AZP102" s="19"/>
      <c r="AZQ102" s="19"/>
      <c r="AZR102" s="19"/>
      <c r="AZS102" s="19"/>
      <c r="AZT102" s="19"/>
      <c r="AZU102" s="19"/>
      <c r="AZV102" s="19"/>
      <c r="AZW102" s="19"/>
      <c r="AZX102" s="19"/>
      <c r="AZY102" s="19"/>
      <c r="AZZ102" s="19"/>
      <c r="BAA102" s="19"/>
      <c r="BAB102" s="19"/>
      <c r="BAC102" s="19"/>
      <c r="BAD102" s="19"/>
      <c r="BAE102" s="19"/>
      <c r="BAF102" s="19"/>
      <c r="BAG102" s="19"/>
      <c r="BAH102" s="19"/>
      <c r="BAI102" s="19"/>
      <c r="BAJ102" s="19"/>
      <c r="BAK102" s="19"/>
      <c r="BAL102" s="19"/>
      <c r="BAM102" s="19"/>
      <c r="BAN102" s="19"/>
      <c r="BAO102" s="19"/>
      <c r="BAP102" s="19"/>
      <c r="BAQ102" s="19"/>
      <c r="BAR102" s="19"/>
      <c r="BAS102" s="19"/>
      <c r="BAT102" s="19"/>
      <c r="BAU102" s="19"/>
      <c r="BAV102" s="19"/>
      <c r="BAW102" s="19"/>
      <c r="BAX102" s="19"/>
      <c r="BAY102" s="19"/>
      <c r="BAZ102" s="19"/>
      <c r="BBA102" s="19"/>
      <c r="BBB102" s="19"/>
      <c r="BBC102" s="19"/>
      <c r="BBD102" s="19"/>
      <c r="BBE102" s="19"/>
      <c r="BBF102" s="19"/>
      <c r="BBG102" s="19"/>
      <c r="BBH102" s="19"/>
      <c r="BBI102" s="19"/>
      <c r="BBJ102" s="19"/>
      <c r="BBK102" s="19"/>
      <c r="BBL102" s="19"/>
      <c r="BBM102" s="19"/>
      <c r="BBN102" s="19"/>
      <c r="BBO102" s="19"/>
      <c r="BBP102" s="19"/>
      <c r="BBQ102" s="19"/>
      <c r="BBR102" s="19"/>
      <c r="BBS102" s="19"/>
      <c r="BBT102" s="19"/>
      <c r="BBU102" s="19"/>
      <c r="BBV102" s="19"/>
      <c r="BBW102" s="19"/>
      <c r="BBX102" s="19"/>
      <c r="BBY102" s="19"/>
      <c r="BBZ102" s="19"/>
      <c r="BCA102" s="19"/>
      <c r="BCB102" s="19"/>
      <c r="BCC102" s="19"/>
      <c r="BCD102" s="19"/>
      <c r="BCE102" s="19"/>
      <c r="BCF102" s="19"/>
      <c r="BCG102" s="19"/>
      <c r="BCH102" s="19"/>
      <c r="BCI102" s="19"/>
      <c r="BCJ102" s="19"/>
      <c r="BCK102" s="19"/>
      <c r="BCL102" s="19"/>
      <c r="BCM102" s="19"/>
      <c r="BCN102" s="19"/>
      <c r="BCO102" s="19"/>
      <c r="BCP102" s="19"/>
      <c r="BCQ102" s="19"/>
      <c r="BCR102" s="19"/>
      <c r="BCS102" s="19"/>
      <c r="BCT102" s="19"/>
      <c r="BCU102" s="19"/>
      <c r="BCV102" s="19"/>
      <c r="BCW102" s="19"/>
      <c r="BCX102" s="19"/>
      <c r="BCY102" s="19"/>
      <c r="BCZ102" s="19"/>
      <c r="BDA102" s="19"/>
      <c r="BDB102" s="19"/>
      <c r="BDC102" s="19"/>
      <c r="BDD102" s="19"/>
      <c r="BDE102" s="19"/>
      <c r="BDF102" s="19"/>
      <c r="BDG102" s="19"/>
      <c r="BDH102" s="19"/>
      <c r="BDI102" s="19"/>
      <c r="BDJ102" s="19"/>
      <c r="BDK102" s="19"/>
      <c r="BDL102" s="19"/>
      <c r="BDM102" s="19"/>
      <c r="BDN102" s="19"/>
      <c r="BDO102" s="19"/>
      <c r="BDP102" s="19"/>
      <c r="BDQ102" s="19"/>
      <c r="BDR102" s="19"/>
      <c r="BDS102" s="19"/>
      <c r="BDT102" s="19"/>
      <c r="BDU102" s="19"/>
      <c r="BDV102" s="19"/>
      <c r="BDW102" s="19"/>
      <c r="BDX102" s="19"/>
      <c r="BDY102" s="19"/>
      <c r="BDZ102" s="19"/>
      <c r="BEA102" s="19"/>
      <c r="BEB102" s="19"/>
      <c r="BEC102" s="19"/>
      <c r="BED102" s="19"/>
      <c r="BEE102" s="19"/>
      <c r="BEF102" s="19"/>
      <c r="BEG102" s="19"/>
      <c r="BEH102" s="19"/>
      <c r="BEI102" s="19"/>
      <c r="BEJ102" s="19"/>
      <c r="BEK102" s="19"/>
      <c r="BEL102" s="19"/>
      <c r="BEM102" s="19"/>
      <c r="BEN102" s="19"/>
      <c r="BEO102" s="19"/>
      <c r="BEP102" s="19"/>
      <c r="BEQ102" s="19"/>
      <c r="BER102" s="19"/>
      <c r="BES102" s="19"/>
      <c r="BET102" s="19"/>
      <c r="BEU102" s="19"/>
      <c r="BEV102" s="19"/>
      <c r="BEW102" s="19"/>
      <c r="BEX102" s="19"/>
      <c r="BEY102" s="19"/>
      <c r="BEZ102" s="19"/>
      <c r="BFA102" s="19"/>
      <c r="BFB102" s="19"/>
      <c r="BFC102" s="19"/>
      <c r="BFD102" s="19"/>
      <c r="BFE102" s="19"/>
      <c r="BFF102" s="19"/>
      <c r="BFG102" s="19"/>
      <c r="BFH102" s="19"/>
      <c r="BFI102" s="19"/>
      <c r="BFJ102" s="19"/>
      <c r="BFK102" s="19"/>
      <c r="BFL102" s="19"/>
      <c r="BFM102" s="19"/>
      <c r="BFN102" s="19"/>
      <c r="BFO102" s="19"/>
      <c r="BFP102" s="19"/>
      <c r="BFQ102" s="19"/>
      <c r="BFR102" s="19"/>
      <c r="BFS102" s="19"/>
      <c r="BFT102" s="19"/>
      <c r="BFU102" s="19"/>
      <c r="BFV102" s="19"/>
      <c r="BFW102" s="19"/>
      <c r="BFX102" s="19"/>
      <c r="BFY102" s="19"/>
      <c r="BFZ102" s="19"/>
      <c r="BGA102" s="19"/>
      <c r="BGB102" s="19"/>
      <c r="BGC102" s="19"/>
      <c r="BGD102" s="19"/>
      <c r="BGE102" s="19"/>
      <c r="BGF102" s="19"/>
      <c r="BGG102" s="19"/>
      <c r="BGH102" s="19"/>
      <c r="BGI102" s="19"/>
      <c r="BGJ102" s="19"/>
      <c r="BGK102" s="19"/>
      <c r="BGL102" s="19"/>
      <c r="BGM102" s="19"/>
      <c r="BGN102" s="19"/>
      <c r="BGO102" s="19"/>
      <c r="BGP102" s="19"/>
      <c r="BGQ102" s="19"/>
      <c r="BGR102" s="19"/>
      <c r="BGS102" s="19"/>
      <c r="BGT102" s="19"/>
      <c r="BGU102" s="19"/>
      <c r="BGV102" s="19"/>
      <c r="BGW102" s="19"/>
      <c r="BGX102" s="19"/>
      <c r="BGY102" s="19"/>
      <c r="BGZ102" s="19"/>
      <c r="BHA102" s="19"/>
      <c r="BHB102" s="19"/>
      <c r="BHC102" s="19"/>
      <c r="BHD102" s="19"/>
      <c r="BHE102" s="19"/>
      <c r="BHF102" s="19"/>
      <c r="BHG102" s="19"/>
      <c r="BHH102" s="19"/>
      <c r="BHI102" s="19"/>
      <c r="BHJ102" s="19"/>
      <c r="BHK102" s="19"/>
      <c r="BHL102" s="19"/>
      <c r="BHM102" s="19"/>
      <c r="BHN102" s="19"/>
      <c r="BHO102" s="19"/>
      <c r="BHP102" s="19"/>
      <c r="BHQ102" s="19"/>
      <c r="BHR102" s="19"/>
      <c r="BHS102" s="19"/>
      <c r="BHT102" s="19"/>
      <c r="BHU102" s="19"/>
      <c r="BHV102" s="19"/>
      <c r="BHW102" s="19"/>
      <c r="BHX102" s="19"/>
      <c r="BHY102" s="19"/>
      <c r="BHZ102" s="19"/>
      <c r="BIA102" s="19"/>
      <c r="BIB102" s="19"/>
      <c r="BIC102" s="19"/>
      <c r="BID102" s="19"/>
      <c r="BIE102" s="19"/>
      <c r="BIF102" s="19"/>
      <c r="BIG102" s="19"/>
      <c r="BIH102" s="19"/>
      <c r="BII102" s="19"/>
      <c r="BIJ102" s="19"/>
      <c r="BIK102" s="19"/>
      <c r="BIL102" s="19"/>
      <c r="BIM102" s="19"/>
      <c r="BIN102" s="19"/>
      <c r="BIO102" s="19"/>
      <c r="BIP102" s="19"/>
      <c r="BIQ102" s="19"/>
      <c r="BIR102" s="19"/>
      <c r="BIS102" s="19"/>
      <c r="BIT102" s="19"/>
      <c r="BIU102" s="19"/>
      <c r="BIV102" s="19"/>
      <c r="BIW102" s="19"/>
      <c r="BIX102" s="19"/>
      <c r="BIY102" s="19"/>
      <c r="BIZ102" s="19"/>
      <c r="BJA102" s="19"/>
      <c r="BJB102" s="19"/>
      <c r="BJC102" s="19"/>
      <c r="BJD102" s="19"/>
      <c r="BJE102" s="19"/>
      <c r="BJF102" s="19"/>
      <c r="BJG102" s="19"/>
      <c r="BJH102" s="19"/>
      <c r="BJI102" s="19"/>
      <c r="BJJ102" s="19"/>
      <c r="BJK102" s="19"/>
      <c r="BJL102" s="19"/>
      <c r="BJM102" s="19"/>
      <c r="BJN102" s="19"/>
      <c r="BJO102" s="19"/>
      <c r="BJP102" s="19"/>
      <c r="BJQ102" s="19"/>
      <c r="BJR102" s="19"/>
      <c r="BJS102" s="19"/>
      <c r="BJT102" s="19"/>
      <c r="BJU102" s="19"/>
      <c r="BJV102" s="19"/>
      <c r="BJW102" s="19"/>
      <c r="BJX102" s="19"/>
      <c r="BJY102" s="19"/>
      <c r="BJZ102" s="19"/>
      <c r="BKA102" s="19"/>
      <c r="BKB102" s="19"/>
      <c r="BKC102" s="19"/>
      <c r="BKD102" s="19"/>
      <c r="BKE102" s="19"/>
      <c r="BKF102" s="19"/>
      <c r="BKG102" s="19"/>
      <c r="BKH102" s="19"/>
      <c r="BKI102" s="19"/>
      <c r="BKJ102" s="19"/>
      <c r="BKK102" s="19"/>
      <c r="BKL102" s="19"/>
      <c r="BKM102" s="19"/>
      <c r="BKN102" s="19"/>
      <c r="BKO102" s="19"/>
      <c r="BKP102" s="19"/>
      <c r="BKQ102" s="19"/>
      <c r="BKR102" s="19"/>
      <c r="BKS102" s="19"/>
      <c r="BKT102" s="19"/>
      <c r="BKU102" s="19"/>
      <c r="BKV102" s="19"/>
      <c r="BKW102" s="19"/>
      <c r="BKX102" s="19"/>
      <c r="BKY102" s="19"/>
      <c r="BKZ102" s="19"/>
      <c r="BLA102" s="19"/>
      <c r="BLB102" s="19"/>
      <c r="BLC102" s="19"/>
      <c r="BLD102" s="19"/>
      <c r="BLE102" s="19"/>
      <c r="BLF102" s="19"/>
      <c r="BLG102" s="19"/>
      <c r="BLH102" s="19"/>
      <c r="BLI102" s="19"/>
      <c r="BLJ102" s="19"/>
      <c r="BLK102" s="19"/>
      <c r="BLL102" s="19"/>
      <c r="BLM102" s="19"/>
      <c r="BLN102" s="19"/>
      <c r="BLO102" s="19"/>
      <c r="BLP102" s="19"/>
      <c r="BLQ102" s="19"/>
      <c r="BLR102" s="19"/>
      <c r="BLS102" s="19"/>
      <c r="BLT102" s="19"/>
      <c r="BLU102" s="19"/>
      <c r="BLV102" s="19"/>
      <c r="BLW102" s="19"/>
      <c r="BLX102" s="19"/>
      <c r="BLY102" s="19"/>
      <c r="BLZ102" s="19"/>
      <c r="BMA102" s="19"/>
      <c r="BMB102" s="19"/>
      <c r="BMC102" s="19"/>
      <c r="BMD102" s="19"/>
      <c r="BME102" s="19"/>
      <c r="BMF102" s="19"/>
      <c r="BMG102" s="19"/>
      <c r="BMH102" s="19"/>
      <c r="BMI102" s="19"/>
      <c r="BMJ102" s="19"/>
      <c r="BMK102" s="19"/>
      <c r="BML102" s="19"/>
      <c r="BMM102" s="19"/>
      <c r="BMN102" s="19"/>
      <c r="BMO102" s="19"/>
      <c r="BMP102" s="19"/>
      <c r="BMQ102" s="19"/>
      <c r="BMR102" s="19"/>
      <c r="BMS102" s="19"/>
      <c r="BMT102" s="19"/>
      <c r="BMU102" s="19"/>
      <c r="BMV102" s="19"/>
      <c r="BMW102" s="19"/>
      <c r="BMX102" s="19"/>
      <c r="BMY102" s="19"/>
      <c r="BMZ102" s="19"/>
      <c r="BNA102" s="19"/>
      <c r="BNB102" s="19"/>
      <c r="BNC102" s="19"/>
      <c r="BND102" s="19"/>
      <c r="BNE102" s="19"/>
      <c r="BNF102" s="19"/>
      <c r="BNG102" s="19"/>
      <c r="BNH102" s="19"/>
      <c r="BNI102" s="19"/>
      <c r="BNJ102" s="19"/>
      <c r="BNK102" s="19"/>
      <c r="BNL102" s="19"/>
      <c r="BNM102" s="19"/>
      <c r="BNN102" s="19"/>
      <c r="BNO102" s="19"/>
      <c r="BNP102" s="19"/>
      <c r="BNQ102" s="19"/>
      <c r="BNR102" s="19"/>
      <c r="BNS102" s="19"/>
      <c r="BNT102" s="19"/>
      <c r="BNU102" s="19"/>
      <c r="BNV102" s="19"/>
      <c r="BNW102" s="19"/>
      <c r="BNX102" s="19"/>
      <c r="BNY102" s="19"/>
      <c r="BNZ102" s="19"/>
      <c r="BOA102" s="19"/>
      <c r="BOB102" s="19"/>
      <c r="BOC102" s="19"/>
      <c r="BOD102" s="19"/>
      <c r="BOE102" s="19"/>
      <c r="BOF102" s="19"/>
      <c r="BOG102" s="19"/>
      <c r="BOH102" s="19"/>
      <c r="BOI102" s="19"/>
      <c r="BOJ102" s="19"/>
      <c r="BOK102" s="19"/>
      <c r="BOL102" s="19"/>
      <c r="BOM102" s="19"/>
      <c r="BON102" s="19"/>
      <c r="BOO102" s="19"/>
      <c r="BOP102" s="19"/>
      <c r="BOQ102" s="19"/>
      <c r="BOR102" s="19"/>
      <c r="BOS102" s="19"/>
      <c r="BOT102" s="19"/>
      <c r="BOU102" s="19"/>
      <c r="BOV102" s="19"/>
      <c r="BOW102" s="19"/>
      <c r="BOX102" s="19"/>
      <c r="BOY102" s="19"/>
      <c r="BOZ102" s="19"/>
      <c r="BPA102" s="19"/>
      <c r="BPB102" s="19"/>
      <c r="BPC102" s="19"/>
      <c r="BPD102" s="19"/>
      <c r="BPE102" s="19"/>
      <c r="BPF102" s="19"/>
      <c r="BPG102" s="19"/>
      <c r="BPH102" s="19"/>
      <c r="BPI102" s="19"/>
      <c r="BPJ102" s="19"/>
      <c r="BPK102" s="19"/>
      <c r="BPL102" s="19"/>
      <c r="BPM102" s="19"/>
      <c r="BPN102" s="19"/>
      <c r="BPO102" s="19"/>
      <c r="BPP102" s="19"/>
      <c r="BPQ102" s="19"/>
      <c r="BPR102" s="19"/>
      <c r="BPS102" s="19"/>
      <c r="BPT102" s="19"/>
      <c r="BPU102" s="19"/>
      <c r="BPV102" s="19"/>
      <c r="BPW102" s="19"/>
      <c r="BPX102" s="19"/>
      <c r="BPY102" s="19"/>
      <c r="BPZ102" s="19"/>
      <c r="BQA102" s="19"/>
      <c r="BQB102" s="19"/>
      <c r="BQC102" s="19"/>
      <c r="BQD102" s="19"/>
      <c r="BQE102" s="19"/>
      <c r="BQF102" s="19"/>
      <c r="BQG102" s="19"/>
      <c r="BQH102" s="19"/>
      <c r="BQI102" s="19"/>
      <c r="BQJ102" s="19"/>
      <c r="BQK102" s="19"/>
      <c r="BQL102" s="19"/>
      <c r="BQM102" s="19"/>
      <c r="BQN102" s="19"/>
      <c r="BQO102" s="19"/>
      <c r="BQP102" s="19"/>
      <c r="BQQ102" s="19"/>
      <c r="BQR102" s="19"/>
      <c r="BQS102" s="19"/>
      <c r="BQT102" s="19"/>
      <c r="BQU102" s="19"/>
      <c r="BQV102" s="19"/>
      <c r="BQW102" s="19"/>
      <c r="BQX102" s="19"/>
      <c r="BQY102" s="19"/>
      <c r="BQZ102" s="19"/>
      <c r="BRA102" s="19"/>
      <c r="BRB102" s="19"/>
      <c r="BRC102" s="19"/>
      <c r="BRD102" s="19"/>
      <c r="BRE102" s="19"/>
      <c r="BRF102" s="19"/>
      <c r="BRG102" s="19"/>
      <c r="BRH102" s="19"/>
      <c r="BRI102" s="19"/>
      <c r="BRJ102" s="19"/>
      <c r="BRK102" s="19"/>
      <c r="BRL102" s="19"/>
      <c r="BRM102" s="19"/>
      <c r="BRN102" s="19"/>
      <c r="BRO102" s="19"/>
      <c r="BRP102" s="19"/>
      <c r="BRQ102" s="19"/>
      <c r="BRR102" s="19"/>
      <c r="BRS102" s="19"/>
      <c r="BRT102" s="19"/>
      <c r="BRU102" s="19"/>
      <c r="BRV102" s="19"/>
      <c r="BRW102" s="19"/>
      <c r="BRX102" s="19"/>
      <c r="BRY102" s="19"/>
      <c r="BRZ102" s="19"/>
      <c r="BSA102" s="19"/>
      <c r="BSB102" s="19"/>
      <c r="BSC102" s="19"/>
      <c r="BSD102" s="19"/>
      <c r="BSE102" s="19"/>
      <c r="BSF102" s="19"/>
      <c r="BSG102" s="19"/>
      <c r="BSH102" s="19"/>
      <c r="BSI102" s="19"/>
      <c r="BSJ102" s="19"/>
      <c r="BSK102" s="19"/>
      <c r="BSL102" s="19"/>
      <c r="BSM102" s="19"/>
      <c r="BSN102" s="19"/>
      <c r="BSO102" s="19"/>
      <c r="BSP102" s="19"/>
      <c r="BSQ102" s="19"/>
      <c r="BSR102" s="19"/>
      <c r="BSS102" s="19"/>
      <c r="BST102" s="19"/>
      <c r="BSU102" s="19"/>
      <c r="BSV102" s="19"/>
      <c r="BSW102" s="19"/>
      <c r="BSX102" s="19"/>
      <c r="BSY102" s="19"/>
      <c r="BSZ102" s="19"/>
      <c r="BTA102" s="19"/>
      <c r="BTB102" s="19"/>
      <c r="BTC102" s="19"/>
      <c r="BTD102" s="19"/>
      <c r="BTE102" s="19"/>
      <c r="BTF102" s="19"/>
      <c r="BTG102" s="19"/>
      <c r="BTH102" s="19"/>
      <c r="BTI102" s="19"/>
      <c r="BTJ102" s="19"/>
      <c r="BTK102" s="19"/>
      <c r="BTL102" s="19"/>
      <c r="BTM102" s="19"/>
      <c r="BTN102" s="19"/>
      <c r="BTO102" s="19"/>
      <c r="BTP102" s="19"/>
      <c r="BTQ102" s="19"/>
      <c r="BTR102" s="19"/>
      <c r="BTS102" s="19"/>
      <c r="BTT102" s="19"/>
      <c r="BTU102" s="19"/>
      <c r="BTV102" s="19"/>
      <c r="BTW102" s="19"/>
      <c r="BTX102" s="19"/>
      <c r="BTY102" s="19"/>
      <c r="BTZ102" s="19"/>
      <c r="BUA102" s="19"/>
      <c r="BUB102" s="19"/>
      <c r="BUC102" s="19"/>
      <c r="BUD102" s="19"/>
      <c r="BUE102" s="19"/>
      <c r="BUF102" s="19"/>
      <c r="BUG102" s="19"/>
      <c r="BUH102" s="19"/>
      <c r="BUI102" s="19"/>
      <c r="BUJ102" s="19"/>
      <c r="BUK102" s="19"/>
      <c r="BUL102" s="19"/>
      <c r="BUM102" s="19"/>
      <c r="BUN102" s="19"/>
      <c r="BUO102" s="19"/>
      <c r="BUP102" s="19"/>
      <c r="BUQ102" s="19"/>
      <c r="BUR102" s="19"/>
      <c r="BUS102" s="19"/>
      <c r="BUT102" s="19"/>
      <c r="BUU102" s="19"/>
      <c r="BUV102" s="19"/>
      <c r="BUW102" s="19"/>
      <c r="BUX102" s="19"/>
      <c r="BUY102" s="19"/>
      <c r="BUZ102" s="19"/>
      <c r="BVA102" s="19"/>
      <c r="BVB102" s="19"/>
      <c r="BVC102" s="19"/>
      <c r="BVD102" s="19"/>
      <c r="BVE102" s="19"/>
      <c r="BVF102" s="19"/>
      <c r="BVG102" s="19"/>
      <c r="BVH102" s="19"/>
      <c r="BVI102" s="19"/>
      <c r="BVJ102" s="19"/>
      <c r="BVK102" s="19"/>
      <c r="BVL102" s="19"/>
      <c r="BVM102" s="19"/>
      <c r="BVN102" s="19"/>
      <c r="BVO102" s="19"/>
      <c r="BVP102" s="19"/>
      <c r="BVQ102" s="19"/>
      <c r="BVR102" s="19"/>
      <c r="BVS102" s="19"/>
      <c r="BVT102" s="19"/>
      <c r="BVU102" s="19"/>
      <c r="BVV102" s="19"/>
      <c r="BVW102" s="19"/>
      <c r="BVX102" s="19"/>
      <c r="BVY102" s="19"/>
      <c r="BVZ102" s="19"/>
      <c r="BWA102" s="19"/>
      <c r="BWB102" s="19"/>
      <c r="BWC102" s="19"/>
      <c r="BWD102" s="19"/>
      <c r="BWE102" s="19"/>
      <c r="BWF102" s="19"/>
      <c r="BWG102" s="19"/>
      <c r="BWH102" s="19"/>
      <c r="BWI102" s="19"/>
      <c r="BWJ102" s="19"/>
      <c r="BWK102" s="19"/>
      <c r="BWL102" s="19"/>
      <c r="BWM102" s="19"/>
      <c r="BWN102" s="19"/>
      <c r="BWO102" s="19"/>
      <c r="BWP102" s="19"/>
      <c r="BWQ102" s="19"/>
      <c r="BWR102" s="19"/>
      <c r="BWS102" s="19"/>
      <c r="BWT102" s="19"/>
      <c r="BWU102" s="19"/>
      <c r="BWV102" s="19"/>
      <c r="BWW102" s="19"/>
      <c r="BWX102" s="19"/>
      <c r="BWY102" s="19"/>
      <c r="BWZ102" s="19"/>
      <c r="BXA102" s="19"/>
      <c r="BXB102" s="19"/>
      <c r="BXC102" s="19"/>
      <c r="BXD102" s="19"/>
      <c r="BXE102" s="19"/>
      <c r="BXF102" s="19"/>
      <c r="BXG102" s="19"/>
      <c r="BXH102" s="19"/>
      <c r="BXI102" s="19"/>
      <c r="BXJ102" s="19"/>
      <c r="BXK102" s="19"/>
      <c r="BXL102" s="19"/>
      <c r="BXM102" s="19"/>
      <c r="BXN102" s="19"/>
      <c r="BXO102" s="19"/>
      <c r="BXP102" s="19"/>
      <c r="BXQ102" s="19"/>
      <c r="BXR102" s="19"/>
      <c r="BXS102" s="19"/>
      <c r="BXT102" s="19"/>
      <c r="BXU102" s="19"/>
      <c r="BXV102" s="19"/>
      <c r="BXW102" s="19"/>
      <c r="BXX102" s="19"/>
      <c r="BXY102" s="19"/>
      <c r="BXZ102" s="19"/>
      <c r="BYA102" s="19"/>
      <c r="BYB102" s="19"/>
      <c r="BYC102" s="19"/>
      <c r="BYD102" s="19"/>
      <c r="BYE102" s="19"/>
      <c r="BYF102" s="19"/>
      <c r="BYG102" s="19"/>
      <c r="BYH102" s="19"/>
      <c r="BYI102" s="19"/>
      <c r="BYJ102" s="19"/>
      <c r="BYK102" s="19"/>
      <c r="BYL102" s="19"/>
      <c r="BYM102" s="19"/>
      <c r="BYN102" s="19"/>
      <c r="BYO102" s="19"/>
      <c r="BYP102" s="19"/>
      <c r="BYQ102" s="19"/>
      <c r="BYR102" s="19"/>
      <c r="BYS102" s="19"/>
      <c r="BYT102" s="19"/>
      <c r="BYU102" s="19"/>
      <c r="BYV102" s="19"/>
      <c r="BYW102" s="19"/>
      <c r="BYX102" s="19"/>
      <c r="BYY102" s="19"/>
      <c r="BYZ102" s="19"/>
      <c r="BZA102" s="19"/>
      <c r="BZB102" s="19"/>
      <c r="BZC102" s="19"/>
      <c r="BZD102" s="19"/>
      <c r="BZE102" s="19"/>
      <c r="BZF102" s="19"/>
      <c r="BZG102" s="19"/>
      <c r="BZH102" s="19"/>
      <c r="BZI102" s="19"/>
      <c r="BZJ102" s="19"/>
      <c r="BZK102" s="19"/>
      <c r="BZL102" s="19"/>
      <c r="BZM102" s="19"/>
      <c r="BZN102" s="19"/>
      <c r="BZO102" s="19"/>
      <c r="BZP102" s="19"/>
      <c r="BZQ102" s="19"/>
      <c r="BZR102" s="19"/>
      <c r="BZS102" s="19"/>
      <c r="BZT102" s="19"/>
      <c r="BZU102" s="19"/>
      <c r="BZV102" s="19"/>
      <c r="BZW102" s="19"/>
      <c r="BZX102" s="19"/>
      <c r="BZY102" s="19"/>
      <c r="BZZ102" s="19"/>
      <c r="CAA102" s="19"/>
      <c r="CAB102" s="19"/>
      <c r="CAC102" s="19"/>
      <c r="CAD102" s="19"/>
      <c r="CAE102" s="19"/>
      <c r="CAF102" s="19"/>
      <c r="CAG102" s="19"/>
      <c r="CAH102" s="19"/>
      <c r="CAI102" s="19"/>
      <c r="CAJ102" s="19"/>
      <c r="CAK102" s="19"/>
      <c r="CAL102" s="19"/>
      <c r="CAM102" s="19"/>
      <c r="CAN102" s="19"/>
      <c r="CAO102" s="19"/>
      <c r="CAP102" s="19"/>
      <c r="CAQ102" s="19"/>
      <c r="CAR102" s="19"/>
      <c r="CAS102" s="19"/>
      <c r="CAT102" s="19"/>
      <c r="CAU102" s="19"/>
      <c r="CAV102" s="19"/>
      <c r="CAW102" s="19"/>
      <c r="CAX102" s="19"/>
      <c r="CAY102" s="19"/>
      <c r="CAZ102" s="19"/>
      <c r="CBF102" s="19"/>
      <c r="CBG102" s="19"/>
      <c r="CBH102" s="19"/>
      <c r="CBI102" s="19"/>
      <c r="CBJ102" s="19"/>
      <c r="CBK102" s="19"/>
      <c r="CBL102" s="19"/>
      <c r="CBM102" s="19"/>
      <c r="CBN102" s="19"/>
      <c r="CBO102" s="19"/>
      <c r="CBP102" s="19"/>
      <c r="CBQ102" s="19"/>
      <c r="CBR102" s="19"/>
      <c r="CBS102" s="19"/>
      <c r="CBT102" s="19"/>
      <c r="CBU102" s="19"/>
      <c r="CBV102" s="19"/>
      <c r="CBW102" s="19"/>
      <c r="CBX102" s="19"/>
      <c r="CBY102" s="19"/>
      <c r="CBZ102" s="19"/>
      <c r="CCA102" s="19"/>
      <c r="CCB102" s="19"/>
      <c r="CCC102" s="19"/>
      <c r="CCD102" s="19"/>
      <c r="CCE102" s="19"/>
      <c r="CCF102" s="19"/>
      <c r="CCG102" s="19"/>
      <c r="CCH102" s="19"/>
      <c r="CCI102" s="19"/>
      <c r="CCJ102" s="19"/>
      <c r="CCK102" s="19"/>
      <c r="CCL102" s="19"/>
      <c r="CCM102" s="19"/>
      <c r="CCN102" s="19"/>
      <c r="CCO102" s="19"/>
      <c r="CCP102" s="19"/>
      <c r="CCQ102" s="19"/>
      <c r="CCR102" s="19"/>
      <c r="CCS102" s="19"/>
      <c r="CCT102" s="19"/>
      <c r="CCU102" s="19"/>
      <c r="CCV102" s="19"/>
      <c r="CCW102" s="19"/>
      <c r="CCX102" s="19"/>
      <c r="CCY102" s="19"/>
      <c r="CCZ102" s="19"/>
      <c r="CDA102" s="19"/>
      <c r="CDB102" s="19"/>
      <c r="CDC102" s="19"/>
      <c r="CDD102" s="19"/>
      <c r="CDE102" s="19"/>
      <c r="CDF102" s="19"/>
      <c r="CDG102" s="19"/>
      <c r="CDH102" s="19"/>
      <c r="CDI102" s="19"/>
      <c r="CDJ102" s="19"/>
      <c r="CDK102" s="19"/>
      <c r="CDL102" s="19"/>
      <c r="CDM102" s="19"/>
      <c r="CDN102" s="19"/>
      <c r="CDO102" s="19"/>
      <c r="CDP102" s="19"/>
      <c r="CDQ102" s="19"/>
      <c r="CDR102" s="19"/>
      <c r="CDS102" s="19"/>
      <c r="CDT102" s="19"/>
      <c r="CDU102" s="19"/>
      <c r="CDV102" s="19"/>
      <c r="CDW102" s="19"/>
      <c r="CDX102" s="19"/>
      <c r="CDY102" s="19"/>
      <c r="CDZ102" s="19"/>
      <c r="CEA102" s="19"/>
      <c r="CEB102" s="19"/>
      <c r="CEC102" s="19"/>
      <c r="CED102" s="19"/>
      <c r="CEE102" s="19"/>
    </row>
    <row r="103" spans="1:2297 10881:10881" ht="16.05" customHeight="1">
      <c r="A103" s="19" t="s">
        <v>683</v>
      </c>
      <c r="B103" s="19" t="s">
        <v>675</v>
      </c>
      <c r="C103" s="643"/>
      <c r="D103" s="428" t="str">
        <f t="shared" ca="1" si="279"/>
        <v>Alemania</v>
      </c>
      <c r="E103" s="643" t="s">
        <v>4</v>
      </c>
      <c r="F103" s="643" t="s">
        <v>2</v>
      </c>
      <c r="G103" s="424" t="s">
        <v>2</v>
      </c>
      <c r="H103" s="624">
        <f t="shared" ca="1" si="280"/>
        <v>12</v>
      </c>
      <c r="I103" s="10"/>
      <c r="J103" s="19">
        <v>75</v>
      </c>
      <c r="K103" s="439">
        <v>46202.75</v>
      </c>
      <c r="L103" s="19" t="s">
        <v>706</v>
      </c>
      <c r="M103" s="19" t="str">
        <f t="shared" ca="1" si="281"/>
        <v>Túnez</v>
      </c>
      <c r="N103" s="19"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9"/>
      <c r="P103" s="19"/>
      <c r="Q103" s="19"/>
      <c r="R103" s="19"/>
      <c r="S103" s="19"/>
      <c r="T103" s="19"/>
      <c r="U103" s="19"/>
      <c r="V103" s="20"/>
      <c r="W103" s="671"/>
      <c r="X103" s="27">
        <f ca="1">Horarios!C103</f>
        <v>46202.9375</v>
      </c>
      <c r="Y103" s="28">
        <f ca="1">Horarios!C103</f>
        <v>46202.9375</v>
      </c>
      <c r="Z103" s="289">
        <f t="shared" si="286"/>
        <v>74</v>
      </c>
      <c r="AA103" s="96" t="str">
        <f t="shared" ca="1" si="282"/>
        <v>Alemania</v>
      </c>
      <c r="AB103" s="97">
        <v>1</v>
      </c>
      <c r="AC103" s="100">
        <v>1</v>
      </c>
      <c r="AD103" s="100">
        <v>0</v>
      </c>
      <c r="AE103" s="97">
        <v>4</v>
      </c>
      <c r="AF103" s="99" t="str">
        <f t="shared" ca="1" si="283"/>
        <v>Escocia</v>
      </c>
      <c r="AG103" s="339">
        <f t="shared" ca="1" si="284"/>
        <v>1</v>
      </c>
      <c r="AH103" s="204">
        <v>74</v>
      </c>
      <c r="AI103" s="191">
        <v>2</v>
      </c>
      <c r="AJ103" s="46">
        <v>2</v>
      </c>
      <c r="AK103" s="40" t="str">
        <f ca="1">IFERROR(INDEX(Equipos!$L$2:$L$49,MATCH(WORLDCUP!AL103,Equipos!$K$2:$K$49,0)),"")</f>
        <v>🇳🇴</v>
      </c>
      <c r="AL103" s="93" t="str">
        <f t="shared" ca="1" si="287"/>
        <v>Noruega</v>
      </c>
      <c r="AM103" s="334">
        <f t="shared" ca="1" si="288"/>
        <v>4</v>
      </c>
      <c r="AN103" s="94">
        <f t="shared" ca="1" si="288"/>
        <v>3</v>
      </c>
      <c r="AO103" s="94">
        <f t="shared" ca="1" si="288"/>
        <v>1</v>
      </c>
      <c r="AP103" s="94">
        <f t="shared" ca="1" si="288"/>
        <v>1</v>
      </c>
      <c r="AQ103" s="94">
        <f t="shared" ca="1" si="288"/>
        <v>1</v>
      </c>
      <c r="AR103" s="94">
        <f t="shared" ca="1" si="288"/>
        <v>1</v>
      </c>
      <c r="AS103" s="94">
        <f t="shared" ca="1" si="288"/>
        <v>1</v>
      </c>
      <c r="AT103" s="95">
        <f t="shared" ca="1" si="288"/>
        <v>0</v>
      </c>
      <c r="AU103" s="342">
        <f t="shared" ca="1" si="289"/>
        <v>1</v>
      </c>
      <c r="AV103" s="191" t="str">
        <f t="shared" ca="1" si="290"/>
        <v>Noruega</v>
      </c>
      <c r="AW103" s="224"/>
      <c r="AX103" s="178"/>
      <c r="AY103" s="285"/>
      <c r="AZ103" s="288" t="str">
        <f t="shared" ref="AZ103:AZ110" ca="1" si="291">+IF(OR($H$113&gt;=48,$AJ$99=144),BF117&amp;" - "&amp;BG117,"")</f>
        <v>1A - 3H</v>
      </c>
      <c r="BA103" s="155"/>
      <c r="BB103" s="19"/>
      <c r="BD103" s="19"/>
      <c r="BE103" s="19"/>
      <c r="BF103" s="19" t="str">
        <f t="shared" ref="BF103:BF110" ca="1" si="292">IFERROR(INDEX($BC$6:$BC$53,MATCH(AL102,$BD$6:$BD$53,0)),"")</f>
        <v>L</v>
      </c>
      <c r="BG103" s="19">
        <f t="shared" ref="BG103:BG110" ca="1" si="293">COUNTIF($BF$103:$BF$110,"&lt;="&amp;BF103)</f>
        <v>8</v>
      </c>
      <c r="BH103" s="19"/>
      <c r="BI103" s="10">
        <v>1</v>
      </c>
      <c r="BJ103" s="19" t="str">
        <f t="shared" ref="BJ103:BJ110" ca="1" si="294">IFERROR(INDEX($BF$103:$BF$110,MATCH(BI103,$BG$103:$BG$110,0)),"Grupo")</f>
        <v>A</v>
      </c>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c r="NR103" s="19"/>
      <c r="NS103" s="19"/>
      <c r="NT103" s="19"/>
      <c r="NU103" s="19"/>
      <c r="NV103" s="19"/>
      <c r="NW103" s="19"/>
      <c r="NX103" s="19"/>
      <c r="NY103" s="19"/>
      <c r="NZ103" s="19"/>
      <c r="OA103" s="19"/>
      <c r="OB103" s="19"/>
      <c r="OC103" s="19"/>
      <c r="OD103" s="19"/>
      <c r="OE103" s="19"/>
      <c r="OF103" s="19"/>
      <c r="OG103" s="19"/>
      <c r="OH103" s="19"/>
      <c r="OI103" s="19"/>
      <c r="OJ103" s="19"/>
      <c r="OK103" s="19"/>
      <c r="OL103" s="19"/>
      <c r="OM103" s="19"/>
      <c r="ON103" s="19"/>
      <c r="OO103" s="19"/>
      <c r="OP103" s="19"/>
      <c r="OQ103" s="19"/>
      <c r="OR103" s="19"/>
      <c r="OS103" s="19"/>
      <c r="OT103" s="19"/>
      <c r="OU103" s="19"/>
      <c r="OV103" s="19"/>
      <c r="OW103" s="19"/>
      <c r="OX103" s="19"/>
      <c r="OY103" s="19"/>
      <c r="OZ103" s="19"/>
      <c r="PA103" s="19"/>
      <c r="PB103" s="19"/>
      <c r="PC103" s="19"/>
      <c r="PD103" s="19"/>
      <c r="PE103" s="19"/>
      <c r="PF103" s="19"/>
      <c r="PG103" s="19"/>
      <c r="PH103" s="19"/>
      <c r="PI103" s="19"/>
      <c r="PJ103" s="19"/>
      <c r="PK103" s="19"/>
      <c r="PL103" s="19"/>
      <c r="PM103" s="19"/>
      <c r="PN103" s="19"/>
      <c r="PO103" s="19"/>
      <c r="PP103" s="19"/>
      <c r="PQ103" s="19"/>
      <c r="PR103" s="19"/>
      <c r="PS103" s="19"/>
      <c r="PT103" s="19"/>
      <c r="PU103" s="19"/>
      <c r="PV103" s="19"/>
      <c r="PW103" s="19"/>
      <c r="PX103" s="19"/>
      <c r="PY103" s="19"/>
      <c r="PZ103" s="19"/>
      <c r="QA103" s="19"/>
      <c r="QB103" s="19"/>
      <c r="QC103" s="19"/>
      <c r="QD103" s="19"/>
      <c r="QE103" s="19"/>
      <c r="QF103" s="19"/>
      <c r="QG103" s="19"/>
      <c r="QH103" s="19"/>
      <c r="QI103" s="19"/>
      <c r="QJ103" s="19"/>
      <c r="QK103" s="19"/>
      <c r="QL103" s="19"/>
      <c r="QM103" s="19"/>
      <c r="QN103" s="19"/>
      <c r="QO103" s="19"/>
      <c r="QP103" s="19"/>
      <c r="QQ103" s="19"/>
      <c r="QR103" s="19"/>
      <c r="QS103" s="19"/>
      <c r="QT103" s="19"/>
      <c r="QU103" s="19"/>
      <c r="QV103" s="19"/>
      <c r="QW103" s="19"/>
      <c r="QX103" s="19"/>
      <c r="QY103" s="19"/>
      <c r="QZ103" s="19"/>
      <c r="RA103" s="19"/>
      <c r="RB103" s="19"/>
      <c r="RC103" s="19"/>
      <c r="RD103" s="19"/>
      <c r="RE103" s="19"/>
      <c r="RF103" s="19"/>
      <c r="RG103" s="19"/>
      <c r="RH103" s="19"/>
      <c r="RI103" s="19"/>
      <c r="RJ103" s="19"/>
      <c r="RK103" s="19"/>
      <c r="RL103" s="19"/>
      <c r="RM103" s="19"/>
      <c r="RN103" s="19"/>
      <c r="RO103" s="19"/>
      <c r="RP103" s="19"/>
      <c r="RQ103" s="19"/>
      <c r="RR103" s="19"/>
      <c r="RS103" s="19"/>
      <c r="RT103" s="19"/>
      <c r="RU103" s="19"/>
      <c r="RV103" s="19"/>
      <c r="RW103" s="19"/>
      <c r="RX103" s="19"/>
      <c r="RY103" s="19"/>
      <c r="RZ103" s="19"/>
      <c r="SA103" s="19"/>
      <c r="SB103" s="19"/>
      <c r="SC103" s="19"/>
      <c r="SD103" s="19"/>
      <c r="SE103" s="19"/>
      <c r="SF103" s="19"/>
      <c r="SG103" s="19"/>
      <c r="SH103" s="19"/>
      <c r="SI103" s="19"/>
      <c r="SJ103" s="19"/>
      <c r="SK103" s="19"/>
      <c r="SL103" s="19"/>
      <c r="SM103" s="19"/>
      <c r="SN103" s="19"/>
      <c r="SO103" s="19"/>
      <c r="SP103" s="19"/>
      <c r="SQ103" s="19"/>
      <c r="SR103" s="19"/>
      <c r="SS103" s="19"/>
      <c r="ST103" s="19"/>
      <c r="SU103" s="19"/>
      <c r="SV103" s="19"/>
      <c r="SW103" s="19"/>
      <c r="SX103" s="19"/>
      <c r="SY103" s="19"/>
      <c r="SZ103" s="19"/>
      <c r="TA103" s="19"/>
      <c r="TB103" s="19"/>
      <c r="TC103" s="19"/>
      <c r="TD103" s="19"/>
      <c r="TE103" s="19"/>
      <c r="TF103" s="19"/>
      <c r="TG103" s="19"/>
      <c r="TH103" s="19"/>
      <c r="TI103" s="19"/>
      <c r="TJ103" s="19"/>
      <c r="TK103" s="19"/>
      <c r="TL103" s="19"/>
      <c r="TM103" s="19"/>
      <c r="TN103" s="19"/>
      <c r="TO103" s="19"/>
      <c r="TP103" s="19"/>
      <c r="TQ103" s="19"/>
      <c r="TR103" s="19"/>
      <c r="TS103" s="19"/>
      <c r="TT103" s="19"/>
      <c r="TU103" s="19"/>
      <c r="TV103" s="19"/>
      <c r="TW103" s="19"/>
      <c r="TX103" s="19"/>
      <c r="TY103" s="19"/>
      <c r="TZ103" s="19"/>
      <c r="UA103" s="19"/>
      <c r="UB103" s="19"/>
      <c r="UC103" s="19"/>
      <c r="UD103" s="19"/>
      <c r="UE103" s="19"/>
      <c r="UF103" s="19"/>
      <c r="UG103" s="19"/>
      <c r="UH103" s="19"/>
      <c r="UI103" s="19"/>
      <c r="UJ103" s="19"/>
      <c r="UK103" s="19"/>
      <c r="UL103" s="19"/>
      <c r="UM103" s="19"/>
      <c r="UN103" s="19"/>
      <c r="UO103" s="19"/>
      <c r="UP103" s="19"/>
      <c r="UQ103" s="19"/>
      <c r="UR103" s="19"/>
      <c r="US103" s="19"/>
      <c r="UT103" s="19"/>
      <c r="UU103" s="19"/>
      <c r="UV103" s="19"/>
      <c r="UW103" s="19"/>
      <c r="UX103" s="19"/>
      <c r="UY103" s="19"/>
      <c r="UZ103" s="19"/>
      <c r="VA103" s="19"/>
      <c r="VB103" s="19"/>
      <c r="VC103" s="19"/>
      <c r="VD103" s="19"/>
      <c r="VE103" s="19"/>
      <c r="VF103" s="19"/>
      <c r="VG103" s="19"/>
      <c r="VH103" s="19"/>
      <c r="VI103" s="19"/>
      <c r="VJ103" s="19"/>
      <c r="VK103" s="19"/>
      <c r="VL103" s="19"/>
      <c r="VM103" s="19"/>
      <c r="VN103" s="19"/>
      <c r="VO103" s="19"/>
      <c r="VP103" s="19"/>
      <c r="VQ103" s="19"/>
      <c r="VR103" s="19"/>
      <c r="VS103" s="19"/>
      <c r="VT103" s="19"/>
      <c r="VU103" s="19"/>
      <c r="VV103" s="19"/>
      <c r="VW103" s="19"/>
      <c r="VX103" s="19"/>
      <c r="VY103" s="19"/>
      <c r="VZ103" s="19"/>
      <c r="WA103" s="19"/>
      <c r="WB103" s="19"/>
      <c r="WC103" s="19"/>
      <c r="WD103" s="19"/>
      <c r="WE103" s="19"/>
      <c r="WF103" s="19"/>
      <c r="WG103" s="19"/>
      <c r="WH103" s="19"/>
      <c r="WI103" s="19"/>
      <c r="WJ103" s="19"/>
      <c r="WK103" s="19"/>
      <c r="WL103" s="19"/>
      <c r="WM103" s="19"/>
      <c r="WN103" s="19"/>
      <c r="WO103" s="19"/>
      <c r="WP103" s="19"/>
      <c r="WQ103" s="19"/>
      <c r="WR103" s="19"/>
      <c r="WS103" s="19"/>
      <c r="WT103" s="19"/>
      <c r="WU103" s="19"/>
      <c r="WV103" s="19"/>
      <c r="WW103" s="19"/>
      <c r="WX103" s="19"/>
      <c r="WY103" s="19"/>
      <c r="WZ103" s="19"/>
      <c r="XA103" s="19"/>
      <c r="XB103" s="19"/>
      <c r="XC103" s="19"/>
      <c r="XD103" s="19"/>
      <c r="XE103" s="19"/>
      <c r="XF103" s="19"/>
      <c r="XG103" s="19"/>
      <c r="XH103" s="19"/>
      <c r="XI103" s="19"/>
      <c r="XJ103" s="19"/>
      <c r="XK103" s="19"/>
      <c r="XL103" s="19"/>
      <c r="XM103" s="19"/>
      <c r="XN103" s="19"/>
      <c r="XO103" s="19"/>
      <c r="XP103" s="19"/>
      <c r="XQ103" s="19"/>
      <c r="XR103" s="19"/>
      <c r="XS103" s="19"/>
      <c r="XT103" s="19"/>
      <c r="XU103" s="19"/>
      <c r="XV103" s="19"/>
      <c r="XW103" s="19"/>
      <c r="XX103" s="19"/>
      <c r="XY103" s="19"/>
      <c r="XZ103" s="19"/>
      <c r="YA103" s="19"/>
      <c r="YB103" s="19"/>
      <c r="YC103" s="19"/>
      <c r="YD103" s="19"/>
      <c r="YE103" s="19"/>
      <c r="YF103" s="19"/>
      <c r="YG103" s="19"/>
      <c r="YH103" s="19"/>
      <c r="YI103" s="19"/>
      <c r="YJ103" s="19"/>
      <c r="YK103" s="19"/>
      <c r="YL103" s="19"/>
      <c r="YM103" s="19"/>
      <c r="YN103" s="19"/>
      <c r="YO103" s="19"/>
      <c r="YP103" s="19"/>
      <c r="YQ103" s="19"/>
      <c r="YR103" s="19"/>
      <c r="YS103" s="19"/>
      <c r="YT103" s="19"/>
      <c r="YU103" s="19"/>
      <c r="YV103" s="19"/>
      <c r="YW103" s="19"/>
      <c r="YX103" s="19"/>
      <c r="YY103" s="19"/>
      <c r="YZ103" s="19"/>
      <c r="ZA103" s="19"/>
      <c r="ZB103" s="19"/>
      <c r="ZC103" s="19"/>
      <c r="ZD103" s="19"/>
      <c r="ZE103" s="19"/>
      <c r="ZF103" s="19"/>
      <c r="ZG103" s="19"/>
      <c r="ZH103" s="19"/>
      <c r="ZI103" s="19"/>
      <c r="ZJ103" s="19"/>
      <c r="ZK103" s="19"/>
      <c r="ZL103" s="19"/>
      <c r="ZM103" s="19"/>
      <c r="ZN103" s="19"/>
      <c r="ZO103" s="19"/>
      <c r="ZP103" s="19"/>
      <c r="ZQ103" s="19"/>
      <c r="ZR103" s="19"/>
      <c r="ZS103" s="19"/>
      <c r="ZT103" s="19"/>
      <c r="ZU103" s="19"/>
      <c r="ZV103" s="19"/>
      <c r="ZW103" s="19"/>
      <c r="ZX103" s="19"/>
      <c r="ZY103" s="19"/>
      <c r="ZZ103" s="19"/>
      <c r="AAA103" s="19"/>
      <c r="AAB103" s="19"/>
      <c r="AAC103" s="19"/>
      <c r="AAD103" s="19"/>
      <c r="AAE103" s="19"/>
      <c r="AAF103" s="19"/>
      <c r="AAG103" s="19"/>
      <c r="AAH103" s="19"/>
      <c r="AAI103" s="19"/>
      <c r="AAJ103" s="19"/>
      <c r="AAK103" s="19"/>
      <c r="AAL103" s="19"/>
      <c r="AAM103" s="19"/>
      <c r="AAN103" s="19"/>
      <c r="AAO103" s="19"/>
      <c r="AAP103" s="19"/>
      <c r="AAQ103" s="19"/>
      <c r="AAR103" s="19"/>
      <c r="AAS103" s="19"/>
      <c r="AAT103" s="19"/>
      <c r="AAU103" s="19"/>
      <c r="AAV103" s="19"/>
      <c r="AAW103" s="19"/>
      <c r="AAX103" s="19"/>
      <c r="AAY103" s="19"/>
      <c r="AAZ103" s="19"/>
      <c r="ABA103" s="19"/>
      <c r="ABB103" s="19"/>
      <c r="ABC103" s="19"/>
      <c r="ABD103" s="19"/>
      <c r="ABE103" s="19"/>
      <c r="ABF103" s="19"/>
      <c r="ABG103" s="19"/>
      <c r="ABH103" s="19"/>
      <c r="ABI103" s="19"/>
      <c r="ABJ103" s="19"/>
      <c r="ABK103" s="19"/>
      <c r="ABL103" s="19"/>
      <c r="ABM103" s="19"/>
      <c r="ABN103" s="19"/>
      <c r="ABO103" s="19"/>
      <c r="ABP103" s="19"/>
      <c r="ABQ103" s="19"/>
      <c r="ABR103" s="19"/>
      <c r="ABS103" s="19"/>
      <c r="ABT103" s="19"/>
      <c r="ABU103" s="19"/>
      <c r="ABV103" s="19"/>
      <c r="ABW103" s="19"/>
      <c r="ABX103" s="19"/>
      <c r="ABY103" s="19"/>
      <c r="ABZ103" s="19"/>
      <c r="ACA103" s="19"/>
      <c r="ACB103" s="19"/>
      <c r="ACC103" s="19"/>
      <c r="ACD103" s="19"/>
      <c r="ACE103" s="19"/>
      <c r="ACF103" s="19"/>
      <c r="ACG103" s="19"/>
      <c r="ACH103" s="19"/>
      <c r="ACI103" s="19"/>
      <c r="ACJ103" s="19"/>
      <c r="ACK103" s="19"/>
      <c r="ACL103" s="19"/>
      <c r="ACM103" s="19"/>
      <c r="ACN103" s="19"/>
      <c r="ACO103" s="19"/>
      <c r="ACP103" s="19"/>
      <c r="ACQ103" s="19"/>
      <c r="ACR103" s="19"/>
      <c r="ACS103" s="19"/>
      <c r="ACT103" s="19"/>
      <c r="ACU103" s="19"/>
      <c r="ACV103" s="19"/>
      <c r="ACW103" s="19"/>
      <c r="ACX103" s="19"/>
      <c r="ACY103" s="19"/>
      <c r="ACZ103" s="19"/>
      <c r="ADA103" s="19"/>
      <c r="ADB103" s="19"/>
      <c r="ADC103" s="19"/>
      <c r="ADD103" s="19"/>
      <c r="ADE103" s="19"/>
      <c r="ADF103" s="19"/>
      <c r="ADG103" s="19"/>
      <c r="ADH103" s="19"/>
      <c r="ADI103" s="19"/>
      <c r="ADJ103" s="19"/>
      <c r="ADK103" s="19"/>
      <c r="ADL103" s="19"/>
      <c r="ADM103" s="19"/>
      <c r="ADN103" s="19"/>
      <c r="ADO103" s="19"/>
      <c r="ADP103" s="19"/>
      <c r="ADQ103" s="19"/>
      <c r="ADR103" s="19"/>
      <c r="ADS103" s="19"/>
      <c r="ADT103" s="19"/>
      <c r="ADU103" s="19"/>
      <c r="ADV103" s="19"/>
      <c r="ADW103" s="19"/>
      <c r="ADX103" s="19"/>
      <c r="ADY103" s="19"/>
      <c r="ADZ103" s="19"/>
      <c r="AEA103" s="19"/>
      <c r="AEB103" s="19"/>
      <c r="AEC103" s="19"/>
      <c r="AED103" s="19"/>
      <c r="AEE103" s="19"/>
      <c r="AEF103" s="19"/>
      <c r="AEG103" s="19"/>
      <c r="AEH103" s="19"/>
      <c r="AEI103" s="19"/>
      <c r="AEJ103" s="19"/>
      <c r="AEK103" s="19"/>
      <c r="AEL103" s="19"/>
      <c r="AEM103" s="19"/>
      <c r="AEN103" s="19"/>
      <c r="AEO103" s="19"/>
      <c r="AEP103" s="19"/>
      <c r="AEQ103" s="19"/>
      <c r="AER103" s="19"/>
      <c r="AES103" s="19"/>
      <c r="AET103" s="19"/>
      <c r="AEU103" s="19"/>
      <c r="AEV103" s="19"/>
      <c r="AEW103" s="19"/>
      <c r="AEX103" s="19"/>
      <c r="AEY103" s="19"/>
      <c r="AEZ103" s="19"/>
      <c r="AFA103" s="19"/>
      <c r="AFB103" s="19"/>
      <c r="AFC103" s="19"/>
      <c r="AFD103" s="19"/>
      <c r="AFE103" s="19"/>
      <c r="AFF103" s="19"/>
      <c r="AFG103" s="19"/>
      <c r="AFH103" s="19"/>
      <c r="AFI103" s="19"/>
      <c r="AFJ103" s="19"/>
      <c r="AFK103" s="19"/>
      <c r="AFL103" s="19"/>
      <c r="AFM103" s="19"/>
      <c r="AFN103" s="19"/>
      <c r="AFO103" s="19"/>
      <c r="AFP103" s="19"/>
      <c r="AFQ103" s="19"/>
      <c r="AFR103" s="19"/>
      <c r="AFS103" s="19"/>
      <c r="AFT103" s="19"/>
      <c r="AFU103" s="19"/>
      <c r="AFV103" s="19"/>
      <c r="AFW103" s="19"/>
      <c r="AFX103" s="19"/>
      <c r="AFY103" s="19"/>
      <c r="AFZ103" s="19"/>
      <c r="AGA103" s="19"/>
      <c r="AGB103" s="19"/>
      <c r="AGC103" s="19"/>
      <c r="AGD103" s="19"/>
      <c r="AGE103" s="19"/>
      <c r="AGF103" s="19"/>
      <c r="AGG103" s="19"/>
      <c r="AGH103" s="19"/>
      <c r="AGI103" s="19"/>
      <c r="AGJ103" s="19"/>
      <c r="AGK103" s="19"/>
      <c r="AGL103" s="19"/>
      <c r="AGM103" s="19"/>
      <c r="AGN103" s="19"/>
      <c r="AGO103" s="19"/>
      <c r="AGP103" s="19"/>
      <c r="AGQ103" s="19"/>
      <c r="AGR103" s="19"/>
      <c r="AGS103" s="19"/>
      <c r="AGT103" s="19"/>
      <c r="AGU103" s="19"/>
      <c r="AGV103" s="19"/>
      <c r="AGW103" s="19"/>
      <c r="AGX103" s="19"/>
      <c r="AGY103" s="19"/>
      <c r="AGZ103" s="19"/>
      <c r="AHA103" s="19"/>
      <c r="AHB103" s="19"/>
      <c r="AHC103" s="19"/>
      <c r="AHD103" s="19"/>
      <c r="AHE103" s="19"/>
      <c r="AHF103" s="19"/>
      <c r="AHG103" s="19"/>
      <c r="AHH103" s="19"/>
      <c r="AHI103" s="19"/>
      <c r="AHJ103" s="19"/>
      <c r="AHK103" s="19"/>
      <c r="AHL103" s="19"/>
      <c r="AHM103" s="19"/>
      <c r="AHN103" s="19"/>
      <c r="AHO103" s="19"/>
      <c r="AHP103" s="19"/>
      <c r="AHQ103" s="19"/>
      <c r="AHR103" s="19"/>
      <c r="AHS103" s="19"/>
      <c r="AHT103" s="19"/>
      <c r="AHU103" s="19"/>
      <c r="AHV103" s="19"/>
      <c r="AHW103" s="19"/>
      <c r="AHX103" s="19"/>
      <c r="AHY103" s="19"/>
      <c r="AHZ103" s="19"/>
      <c r="AIA103" s="19"/>
      <c r="AIB103" s="19"/>
      <c r="AIC103" s="19"/>
      <c r="AID103" s="19"/>
      <c r="AIE103" s="19"/>
      <c r="AIF103" s="19"/>
      <c r="AIG103" s="19"/>
      <c r="AIH103" s="19"/>
      <c r="AII103" s="19"/>
      <c r="AIJ103" s="19"/>
      <c r="AIK103" s="19"/>
      <c r="AIL103" s="19"/>
      <c r="AIM103" s="19"/>
      <c r="AIN103" s="19"/>
      <c r="AIO103" s="19"/>
      <c r="AIP103" s="19"/>
      <c r="AIQ103" s="19"/>
      <c r="AIR103" s="19"/>
      <c r="AIS103" s="19"/>
      <c r="AIT103" s="19"/>
      <c r="AIU103" s="19"/>
      <c r="AIV103" s="19"/>
      <c r="AIW103" s="19"/>
      <c r="AIX103" s="19"/>
      <c r="AIY103" s="19"/>
      <c r="AIZ103" s="19"/>
      <c r="AJA103" s="19"/>
      <c r="AJB103" s="19"/>
      <c r="AJC103" s="19"/>
      <c r="AJD103" s="19"/>
      <c r="AJE103" s="19"/>
      <c r="AJF103" s="19"/>
      <c r="AJG103" s="19"/>
      <c r="AJH103" s="19"/>
      <c r="AJI103" s="19"/>
      <c r="AJJ103" s="19"/>
      <c r="AJK103" s="19"/>
      <c r="AJL103" s="19"/>
      <c r="AJM103" s="19"/>
      <c r="AJN103" s="19"/>
      <c r="AJO103" s="19"/>
      <c r="AJP103" s="19"/>
      <c r="AJQ103" s="19"/>
      <c r="AJR103" s="19"/>
      <c r="AJS103" s="19"/>
      <c r="AJT103" s="19"/>
      <c r="AJU103" s="19"/>
      <c r="AJV103" s="19"/>
      <c r="AJW103" s="19"/>
      <c r="AJX103" s="19"/>
      <c r="AJY103" s="19"/>
      <c r="AJZ103" s="19"/>
      <c r="AKA103" s="19"/>
      <c r="AKB103" s="19"/>
      <c r="AKC103" s="19"/>
      <c r="AKD103" s="19"/>
      <c r="AKE103" s="19"/>
      <c r="AKF103" s="19"/>
      <c r="AKG103" s="19"/>
      <c r="AKH103" s="19"/>
      <c r="AKI103" s="19"/>
      <c r="AKJ103" s="19"/>
      <c r="AKK103" s="19"/>
      <c r="AKL103" s="19"/>
      <c r="AKM103" s="19"/>
      <c r="AKN103" s="19"/>
      <c r="AKO103" s="19"/>
      <c r="AKP103" s="19"/>
      <c r="AKQ103" s="19"/>
      <c r="AKR103" s="19"/>
      <c r="AKS103" s="19"/>
      <c r="AKT103" s="19"/>
      <c r="AKU103" s="19"/>
      <c r="AKV103" s="19"/>
      <c r="AKW103" s="19"/>
      <c r="AKX103" s="19"/>
      <c r="AKY103" s="19"/>
      <c r="AKZ103" s="19"/>
      <c r="ALA103" s="19"/>
      <c r="ALB103" s="19"/>
      <c r="ALC103" s="19"/>
      <c r="ALD103" s="19"/>
      <c r="ALE103" s="19"/>
      <c r="ALF103" s="19"/>
      <c r="ALG103" s="19"/>
      <c r="ALH103" s="19"/>
      <c r="ALI103" s="19"/>
      <c r="ALJ103" s="19"/>
      <c r="ALK103" s="19"/>
      <c r="ALL103" s="19"/>
      <c r="ALM103" s="19"/>
      <c r="ALN103" s="19"/>
      <c r="ALO103" s="19"/>
      <c r="ALP103" s="19"/>
      <c r="ALQ103" s="19"/>
      <c r="ALR103" s="19"/>
      <c r="ALS103" s="19"/>
      <c r="ALT103" s="19"/>
      <c r="ALU103" s="19"/>
      <c r="ALV103" s="19"/>
      <c r="ALW103" s="19"/>
      <c r="ALX103" s="19"/>
      <c r="ALY103" s="19"/>
      <c r="ALZ103" s="19"/>
      <c r="AMA103" s="19"/>
      <c r="AMB103" s="19"/>
      <c r="AMC103" s="19"/>
      <c r="AMD103" s="19"/>
      <c r="AME103" s="19"/>
      <c r="AMF103" s="19"/>
      <c r="AMG103" s="19"/>
      <c r="AMH103" s="19"/>
      <c r="AMI103" s="19"/>
      <c r="AMJ103" s="19"/>
      <c r="AMK103" s="19"/>
      <c r="AML103" s="19"/>
      <c r="AMM103" s="19"/>
      <c r="AMN103" s="19"/>
      <c r="AMO103" s="19"/>
      <c r="AMP103" s="19"/>
      <c r="AMQ103" s="19"/>
      <c r="AMR103" s="19"/>
      <c r="AMS103" s="19"/>
      <c r="AMT103" s="19"/>
      <c r="AMU103" s="19"/>
      <c r="AMV103" s="19"/>
      <c r="AMW103" s="19"/>
      <c r="AMX103" s="19"/>
      <c r="AMY103" s="19"/>
      <c r="AMZ103" s="19"/>
      <c r="ANA103" s="19"/>
      <c r="ANB103" s="19"/>
      <c r="ANC103" s="19"/>
      <c r="AND103" s="19"/>
      <c r="ANE103" s="19"/>
      <c r="ANF103" s="19"/>
      <c r="ANG103" s="19"/>
      <c r="ANH103" s="19"/>
      <c r="ANI103" s="19"/>
      <c r="ANJ103" s="19"/>
      <c r="ANK103" s="19"/>
      <c r="ANL103" s="19"/>
      <c r="ANM103" s="19"/>
      <c r="ANN103" s="19"/>
      <c r="ANO103" s="19"/>
      <c r="ANP103" s="19"/>
      <c r="ANQ103" s="639"/>
      <c r="ANR103" s="639"/>
      <c r="ANS103" s="19"/>
      <c r="ANT103" s="19"/>
      <c r="ANU103" s="19"/>
      <c r="ANV103" s="19"/>
      <c r="ANW103" s="19"/>
      <c r="ANX103" s="19"/>
      <c r="ANY103" s="19"/>
      <c r="ANZ103" s="19"/>
      <c r="AOA103" s="19"/>
      <c r="AOB103" s="19"/>
      <c r="AOC103" s="19"/>
      <c r="AOD103" s="19"/>
      <c r="AOE103" s="19"/>
      <c r="AOF103" s="19"/>
      <c r="AOG103" s="19"/>
      <c r="AOH103" s="19"/>
      <c r="AOI103" s="19"/>
      <c r="AOJ103" s="19"/>
      <c r="AOK103" s="19"/>
      <c r="AOL103" s="19"/>
      <c r="AOM103" s="19"/>
      <c r="AON103" s="19"/>
      <c r="AOO103" s="19"/>
      <c r="AOP103" s="19"/>
      <c r="AOQ103" s="19"/>
      <c r="AOR103" s="19"/>
      <c r="AOS103" s="19"/>
      <c r="AOT103" s="19"/>
      <c r="AOU103" s="19"/>
      <c r="AOV103" s="19"/>
      <c r="AOW103" s="19"/>
      <c r="AOX103" s="19"/>
      <c r="AOY103" s="19"/>
      <c r="AOZ103" s="19"/>
      <c r="APA103" s="19"/>
      <c r="APB103" s="19"/>
      <c r="APC103" s="19"/>
      <c r="APD103" s="19"/>
      <c r="APE103" s="19"/>
      <c r="APF103" s="19"/>
      <c r="APG103" s="19"/>
      <c r="APH103" s="19"/>
      <c r="API103" s="19"/>
      <c r="APJ103" s="19"/>
      <c r="APK103" s="19"/>
      <c r="APL103" s="19"/>
      <c r="APM103" s="19"/>
      <c r="APN103" s="19"/>
      <c r="APO103" s="19"/>
      <c r="APP103" s="19"/>
      <c r="APQ103" s="19"/>
      <c r="APR103" s="19"/>
      <c r="APS103" s="19"/>
      <c r="APT103" s="19"/>
      <c r="APU103" s="19"/>
      <c r="APV103" s="19"/>
      <c r="APW103" s="19"/>
      <c r="APX103" s="19"/>
      <c r="APY103" s="19"/>
      <c r="APZ103" s="19"/>
      <c r="AQA103" s="19"/>
      <c r="AQB103" s="19"/>
      <c r="AQC103" s="19"/>
      <c r="AQD103" s="19"/>
      <c r="AQE103" s="19"/>
      <c r="AQF103" s="19"/>
      <c r="AQG103" s="19"/>
      <c r="AQH103" s="19"/>
      <c r="AQI103" s="19"/>
      <c r="AQJ103" s="19"/>
      <c r="AQK103" s="19"/>
      <c r="AQL103" s="19"/>
      <c r="AQM103" s="19"/>
      <c r="AQN103" s="19"/>
      <c r="AQO103" s="19"/>
      <c r="AQP103" s="19"/>
      <c r="AQQ103" s="19"/>
      <c r="AQR103" s="19"/>
      <c r="AQS103" s="19"/>
      <c r="AQT103" s="19"/>
      <c r="AQU103" s="19"/>
      <c r="AQV103" s="19"/>
      <c r="AQW103" s="19"/>
      <c r="AQX103" s="19"/>
      <c r="AQY103" s="19"/>
      <c r="AQZ103" s="19"/>
      <c r="ARA103" s="19"/>
      <c r="ARB103" s="19"/>
      <c r="ARC103" s="19"/>
      <c r="ARD103" s="19"/>
      <c r="ARE103" s="19"/>
      <c r="ARF103" s="19"/>
      <c r="ARG103" s="19"/>
      <c r="ARH103" s="19"/>
      <c r="ARI103" s="19"/>
      <c r="ARJ103" s="19"/>
      <c r="ARK103" s="19"/>
      <c r="ARL103" s="19"/>
      <c r="ARM103" s="19"/>
      <c r="ARN103" s="19"/>
      <c r="ARO103" s="19"/>
      <c r="ARP103" s="19"/>
      <c r="ARQ103" s="19"/>
      <c r="ARR103" s="19"/>
      <c r="ARS103" s="19"/>
      <c r="ART103" s="19"/>
      <c r="ARU103" s="19"/>
      <c r="ARV103" s="19"/>
      <c r="ARW103" s="19"/>
      <c r="ARX103" s="19"/>
      <c r="ARY103" s="19"/>
      <c r="ARZ103" s="19"/>
      <c r="ASA103" s="19"/>
      <c r="ASB103" s="19"/>
      <c r="ASC103" s="19"/>
      <c r="ASD103" s="19"/>
      <c r="ASE103" s="19"/>
      <c r="ASF103" s="19"/>
      <c r="ASG103" s="19"/>
      <c r="ASH103" s="19"/>
      <c r="ASI103" s="19"/>
      <c r="ASJ103" s="19"/>
      <c r="ASK103" s="19"/>
      <c r="ASL103" s="19"/>
      <c r="ASM103" s="19"/>
      <c r="ASN103" s="19"/>
      <c r="ASO103" s="19"/>
      <c r="ASP103" s="19"/>
      <c r="ASQ103" s="19"/>
      <c r="ASR103" s="19"/>
      <c r="ASS103" s="19"/>
      <c r="AST103" s="19"/>
      <c r="ASU103" s="19"/>
      <c r="ASV103" s="19"/>
      <c r="ASW103" s="19"/>
      <c r="ASX103" s="19"/>
      <c r="ASY103" s="19"/>
      <c r="ASZ103" s="19"/>
      <c r="ATA103" s="19"/>
      <c r="ATB103" s="19"/>
      <c r="ATC103" s="19"/>
      <c r="ATD103" s="19"/>
      <c r="ATE103" s="19"/>
      <c r="ATF103" s="19"/>
      <c r="ATG103" s="19"/>
      <c r="ATH103" s="19"/>
      <c r="ATI103" s="19"/>
      <c r="ATJ103" s="19"/>
      <c r="ATK103" s="19"/>
      <c r="ATL103" s="19"/>
      <c r="ATM103" s="19"/>
      <c r="ATN103" s="19"/>
      <c r="ATO103" s="19"/>
      <c r="ATP103" s="19"/>
      <c r="ATQ103" s="19"/>
      <c r="ATR103" s="19"/>
      <c r="ATS103" s="19"/>
      <c r="ATT103" s="19"/>
      <c r="ATU103" s="19"/>
      <c r="ATV103" s="19"/>
      <c r="ATW103" s="19"/>
      <c r="ATX103" s="19"/>
      <c r="ATY103" s="19"/>
      <c r="ATZ103" s="19"/>
      <c r="AUA103" s="19"/>
      <c r="AUB103" s="19"/>
      <c r="AUC103" s="19"/>
      <c r="AUD103" s="19"/>
      <c r="AUE103" s="19"/>
      <c r="AUF103" s="19"/>
      <c r="AUG103" s="19"/>
      <c r="AUH103" s="19"/>
      <c r="AUI103" s="19"/>
      <c r="AUJ103" s="19"/>
      <c r="AUK103" s="19"/>
      <c r="AUL103" s="19"/>
      <c r="AUM103" s="19"/>
      <c r="AUN103" s="19"/>
      <c r="AUO103" s="19"/>
      <c r="AUP103" s="19"/>
      <c r="AUQ103" s="19"/>
      <c r="AUR103" s="19"/>
      <c r="AUS103" s="19"/>
      <c r="AUT103" s="19"/>
      <c r="AUU103" s="19"/>
      <c r="AUV103" s="19"/>
      <c r="AUW103" s="19"/>
      <c r="AUX103" s="19"/>
      <c r="AUY103" s="19"/>
      <c r="AUZ103" s="19"/>
      <c r="AVA103" s="19"/>
      <c r="AVB103" s="19"/>
      <c r="AVC103" s="19"/>
      <c r="AVD103" s="19"/>
      <c r="AVE103" s="19"/>
      <c r="AVF103" s="19"/>
      <c r="AVG103" s="19"/>
      <c r="AVH103" s="19"/>
      <c r="AVI103" s="19"/>
      <c r="AVJ103" s="19"/>
      <c r="AVK103" s="19"/>
      <c r="AVL103" s="19"/>
      <c r="AVM103" s="19"/>
      <c r="AVN103" s="19"/>
      <c r="AVO103" s="19"/>
      <c r="AVP103" s="19"/>
      <c r="AVQ103" s="19"/>
      <c r="AVR103" s="19"/>
      <c r="AVS103" s="19"/>
      <c r="AVT103" s="19"/>
      <c r="AVU103" s="19"/>
      <c r="AVV103" s="19"/>
      <c r="AVW103" s="19"/>
      <c r="AVX103" s="19"/>
      <c r="AVY103" s="19"/>
      <c r="AVZ103" s="19"/>
      <c r="AWA103" s="19"/>
      <c r="AWB103" s="19"/>
      <c r="AWC103" s="19"/>
      <c r="AWD103" s="19"/>
      <c r="AWE103" s="19"/>
      <c r="AWF103" s="19"/>
      <c r="AWG103" s="19"/>
      <c r="AWH103" s="19"/>
      <c r="AWI103" s="19"/>
      <c r="AWJ103" s="19"/>
      <c r="AWK103" s="19"/>
      <c r="AWL103" s="19"/>
      <c r="AWM103" s="19"/>
      <c r="AWN103" s="19"/>
      <c r="AWO103" s="19"/>
      <c r="AWP103" s="19"/>
      <c r="AWQ103" s="19"/>
      <c r="AWR103" s="19"/>
      <c r="AWS103" s="19"/>
      <c r="AWT103" s="19"/>
      <c r="AWU103" s="19"/>
      <c r="AWV103" s="19"/>
      <c r="AWW103" s="19"/>
      <c r="AWX103" s="19"/>
      <c r="AWY103" s="19"/>
      <c r="AWZ103" s="19"/>
      <c r="AXA103" s="19"/>
      <c r="AXB103" s="19"/>
      <c r="AXC103" s="19"/>
      <c r="AXD103" s="19"/>
      <c r="AXE103" s="19"/>
      <c r="AXF103" s="19"/>
      <c r="AXG103" s="19"/>
      <c r="AXH103" s="19"/>
      <c r="AXI103" s="19"/>
      <c r="AXJ103" s="19"/>
      <c r="AXK103" s="19"/>
      <c r="AXL103" s="19"/>
      <c r="AXM103" s="19"/>
      <c r="AXN103" s="19"/>
      <c r="AXO103" s="19"/>
      <c r="AXP103" s="19"/>
      <c r="AXQ103" s="19"/>
      <c r="AXR103" s="19"/>
      <c r="AXS103" s="19"/>
      <c r="AXT103" s="19"/>
      <c r="AXU103" s="19"/>
      <c r="AXV103" s="19"/>
      <c r="AXW103" s="19"/>
      <c r="AXX103" s="19"/>
      <c r="AXY103" s="19"/>
      <c r="AXZ103" s="19"/>
      <c r="AYA103" s="19"/>
      <c r="AYB103" s="19"/>
      <c r="AYC103" s="19"/>
      <c r="AYD103" s="19"/>
      <c r="AYE103" s="19"/>
      <c r="AYF103" s="19"/>
      <c r="AYG103" s="19"/>
      <c r="AYH103" s="19"/>
      <c r="AYI103" s="19"/>
      <c r="AYJ103" s="19"/>
      <c r="AYK103" s="19"/>
      <c r="AYL103" s="19"/>
      <c r="AYM103" s="19"/>
      <c r="AYN103" s="19"/>
      <c r="AYO103" s="19"/>
      <c r="AYP103" s="19"/>
      <c r="AYQ103" s="19"/>
      <c r="AYR103" s="19"/>
      <c r="AYS103" s="19"/>
      <c r="AYT103" s="19"/>
      <c r="AYU103" s="19"/>
      <c r="AYV103" s="19"/>
      <c r="AYW103" s="19"/>
      <c r="AYX103" s="19"/>
      <c r="AYY103" s="19"/>
      <c r="AYZ103" s="19"/>
      <c r="AZA103" s="19"/>
      <c r="AZB103" s="19"/>
      <c r="AZC103" s="19"/>
      <c r="AZD103" s="19"/>
      <c r="AZE103" s="19"/>
      <c r="AZF103" s="19"/>
      <c r="AZG103" s="19"/>
      <c r="AZH103" s="19"/>
      <c r="AZI103" s="19"/>
      <c r="AZJ103" s="19"/>
      <c r="AZK103" s="19"/>
      <c r="AZL103" s="19"/>
      <c r="AZM103" s="19"/>
      <c r="AZN103" s="19"/>
      <c r="AZO103" s="19"/>
      <c r="AZP103" s="19"/>
      <c r="AZQ103" s="19"/>
      <c r="AZR103" s="19"/>
      <c r="AZS103" s="19"/>
      <c r="AZT103" s="19"/>
      <c r="AZU103" s="19"/>
      <c r="AZV103" s="19"/>
      <c r="AZW103" s="19"/>
      <c r="AZX103" s="19"/>
      <c r="AZY103" s="19"/>
      <c r="AZZ103" s="19"/>
      <c r="BAA103" s="19"/>
      <c r="BAB103" s="19"/>
      <c r="BAC103" s="19"/>
      <c r="BAD103" s="19"/>
      <c r="BAE103" s="19"/>
      <c r="BAF103" s="19"/>
      <c r="BAG103" s="19"/>
      <c r="BAH103" s="19"/>
      <c r="BAI103" s="19"/>
      <c r="BAJ103" s="19"/>
      <c r="BAK103" s="19"/>
      <c r="BAL103" s="19"/>
      <c r="BAM103" s="19"/>
      <c r="BAN103" s="19"/>
      <c r="BAO103" s="19"/>
      <c r="BAP103" s="19"/>
      <c r="BAQ103" s="19"/>
      <c r="BAR103" s="19"/>
      <c r="BAS103" s="19"/>
      <c r="BAT103" s="19"/>
      <c r="BAU103" s="19"/>
      <c r="BAV103" s="19"/>
      <c r="BAW103" s="19"/>
      <c r="BAX103" s="19"/>
      <c r="BAY103" s="19"/>
      <c r="BAZ103" s="19"/>
      <c r="BBA103" s="19"/>
      <c r="BBB103" s="19"/>
      <c r="BBC103" s="19"/>
      <c r="BBD103" s="19"/>
      <c r="BBE103" s="19"/>
      <c r="BBF103" s="19"/>
      <c r="BBG103" s="19"/>
      <c r="BBH103" s="19"/>
      <c r="BBI103" s="19"/>
      <c r="BBJ103" s="19"/>
      <c r="BBK103" s="19"/>
      <c r="BBL103" s="19"/>
      <c r="BBM103" s="19"/>
      <c r="BBN103" s="19"/>
      <c r="BBO103" s="19"/>
      <c r="BBP103" s="19"/>
      <c r="BBQ103" s="19"/>
      <c r="BBR103" s="19"/>
      <c r="BBS103" s="19"/>
      <c r="BBT103" s="19"/>
      <c r="BBU103" s="19"/>
      <c r="BBV103" s="19"/>
      <c r="BBW103" s="19"/>
      <c r="BBX103" s="19"/>
      <c r="BBY103" s="19"/>
      <c r="BBZ103" s="19"/>
      <c r="BCA103" s="19"/>
      <c r="BCB103" s="19"/>
      <c r="BCC103" s="19"/>
      <c r="BCD103" s="19"/>
      <c r="BCE103" s="19"/>
      <c r="BCF103" s="19"/>
      <c r="BCG103" s="19"/>
      <c r="BCH103" s="19"/>
      <c r="BCI103" s="19"/>
      <c r="BCJ103" s="19"/>
      <c r="BCK103" s="19"/>
      <c r="BCL103" s="19"/>
      <c r="BCM103" s="19"/>
      <c r="BCN103" s="19"/>
      <c r="BCO103" s="19"/>
      <c r="BCP103" s="19"/>
      <c r="BCQ103" s="19"/>
      <c r="BCR103" s="19"/>
      <c r="BCS103" s="19"/>
      <c r="BCT103" s="19"/>
      <c r="BCU103" s="19"/>
      <c r="BCV103" s="19"/>
      <c r="BCW103" s="19"/>
      <c r="BCX103" s="19"/>
      <c r="BCY103" s="19"/>
      <c r="BCZ103" s="19"/>
      <c r="BDA103" s="19"/>
      <c r="BDB103" s="19"/>
      <c r="BDC103" s="19"/>
      <c r="BDD103" s="19"/>
      <c r="BDE103" s="19"/>
      <c r="BDF103" s="19"/>
      <c r="BDG103" s="19"/>
      <c r="BDH103" s="19"/>
      <c r="BDI103" s="19"/>
      <c r="BDJ103" s="19"/>
      <c r="BDK103" s="19"/>
      <c r="BDL103" s="19"/>
      <c r="BDM103" s="19"/>
      <c r="BDN103" s="19"/>
      <c r="BDO103" s="19"/>
      <c r="BDP103" s="19"/>
      <c r="BDQ103" s="19"/>
      <c r="BDR103" s="19"/>
      <c r="BDS103" s="19"/>
      <c r="BDT103" s="19"/>
      <c r="BDU103" s="19"/>
      <c r="BDV103" s="19"/>
      <c r="BDW103" s="19"/>
      <c r="BDX103" s="19"/>
      <c r="BDY103" s="19"/>
      <c r="BDZ103" s="19"/>
      <c r="BEA103" s="19"/>
      <c r="BEB103" s="19"/>
      <c r="BEC103" s="19"/>
      <c r="BED103" s="19"/>
      <c r="BEE103" s="19"/>
      <c r="BEF103" s="19"/>
      <c r="BEG103" s="19"/>
      <c r="BEH103" s="19"/>
      <c r="BEI103" s="19"/>
      <c r="BEJ103" s="19"/>
      <c r="BEK103" s="19"/>
      <c r="BEL103" s="19"/>
      <c r="BEM103" s="19"/>
      <c r="BEN103" s="19"/>
      <c r="BEO103" s="19"/>
      <c r="BEP103" s="19"/>
      <c r="BEQ103" s="19"/>
      <c r="BER103" s="19"/>
      <c r="BES103" s="19"/>
      <c r="BET103" s="19"/>
      <c r="BEU103" s="19"/>
      <c r="BEV103" s="19"/>
      <c r="BEW103" s="19"/>
      <c r="BEX103" s="19"/>
      <c r="BEY103" s="19"/>
      <c r="BEZ103" s="19"/>
      <c r="BFA103" s="19"/>
      <c r="BFB103" s="19"/>
      <c r="BFC103" s="19"/>
      <c r="BFD103" s="19"/>
      <c r="BFE103" s="19"/>
      <c r="BFF103" s="19"/>
      <c r="BFG103" s="19"/>
      <c r="BFH103" s="19"/>
      <c r="BFI103" s="19"/>
      <c r="BFJ103" s="19"/>
      <c r="BFK103" s="19"/>
      <c r="BFL103" s="19"/>
      <c r="BFM103" s="19"/>
      <c r="BFN103" s="19"/>
      <c r="BFO103" s="19"/>
      <c r="BFP103" s="19"/>
      <c r="BFQ103" s="19"/>
      <c r="BFR103" s="19"/>
      <c r="BFS103" s="19"/>
      <c r="BFT103" s="19"/>
      <c r="BFU103" s="19"/>
      <c r="BFV103" s="19"/>
      <c r="BFW103" s="19"/>
      <c r="BFX103" s="19"/>
      <c r="BFY103" s="19"/>
      <c r="BFZ103" s="19"/>
      <c r="BGA103" s="19"/>
      <c r="BGB103" s="19"/>
      <c r="BGC103" s="19"/>
      <c r="BGD103" s="19"/>
      <c r="BGE103" s="19"/>
      <c r="BGF103" s="19"/>
      <c r="BGG103" s="19"/>
      <c r="BGH103" s="19"/>
      <c r="BGI103" s="19"/>
      <c r="BGJ103" s="19"/>
      <c r="BGK103" s="19"/>
      <c r="BGL103" s="19"/>
      <c r="BGM103" s="19"/>
      <c r="BGN103" s="19"/>
      <c r="BGO103" s="19"/>
      <c r="BGP103" s="19"/>
      <c r="BGQ103" s="19"/>
      <c r="BGR103" s="19"/>
      <c r="BGS103" s="19"/>
      <c r="BGT103" s="19"/>
      <c r="BGU103" s="19"/>
      <c r="BGV103" s="19"/>
      <c r="BGW103" s="19"/>
      <c r="BGX103" s="19"/>
      <c r="BGY103" s="19"/>
      <c r="BGZ103" s="19"/>
      <c r="BHA103" s="19"/>
      <c r="BHB103" s="19"/>
      <c r="BHC103" s="19"/>
      <c r="BHD103" s="19"/>
      <c r="BHE103" s="19"/>
      <c r="BHF103" s="19"/>
      <c r="BHG103" s="19"/>
      <c r="BHH103" s="19"/>
      <c r="BHI103" s="19"/>
      <c r="BHJ103" s="19"/>
      <c r="BHK103" s="19"/>
      <c r="BHL103" s="19"/>
      <c r="BHM103" s="19"/>
      <c r="BHN103" s="19"/>
      <c r="BHO103" s="19"/>
      <c r="BHP103" s="19"/>
      <c r="BHQ103" s="19"/>
      <c r="BHR103" s="19"/>
      <c r="BHS103" s="19"/>
      <c r="BHT103" s="19"/>
      <c r="BHU103" s="19"/>
      <c r="BHV103" s="19"/>
      <c r="BHW103" s="19"/>
      <c r="BHX103" s="19"/>
      <c r="BHY103" s="19"/>
      <c r="BHZ103" s="19"/>
      <c r="BIA103" s="19"/>
      <c r="BIB103" s="19"/>
      <c r="BIC103" s="19"/>
      <c r="BID103" s="19"/>
      <c r="BIE103" s="19"/>
      <c r="BIF103" s="19"/>
      <c r="BIG103" s="19"/>
      <c r="BIH103" s="19"/>
      <c r="BII103" s="19"/>
      <c r="BIJ103" s="19"/>
      <c r="BIK103" s="19"/>
      <c r="BIL103" s="19"/>
      <c r="BIM103" s="19"/>
      <c r="BIN103" s="19"/>
      <c r="BIO103" s="19"/>
      <c r="BIP103" s="19"/>
      <c r="BIQ103" s="19"/>
      <c r="BIR103" s="19"/>
      <c r="BIS103" s="19"/>
      <c r="BIT103" s="19"/>
      <c r="BIU103" s="19"/>
      <c r="BIV103" s="19"/>
      <c r="BIW103" s="19"/>
      <c r="BIX103" s="19"/>
      <c r="BIY103" s="19"/>
      <c r="BIZ103" s="19"/>
      <c r="BJA103" s="19"/>
      <c r="BJB103" s="19"/>
      <c r="BJC103" s="19"/>
      <c r="BJD103" s="19"/>
      <c r="BJE103" s="19"/>
      <c r="BJF103" s="19"/>
      <c r="BJG103" s="19"/>
      <c r="BJH103" s="19"/>
      <c r="BJI103" s="19"/>
      <c r="BJJ103" s="19"/>
      <c r="BJK103" s="19"/>
      <c r="BJL103" s="19"/>
      <c r="BJM103" s="19"/>
      <c r="BJN103" s="19"/>
      <c r="BJO103" s="19"/>
      <c r="BJP103" s="19"/>
      <c r="BJQ103" s="19"/>
      <c r="BJR103" s="19"/>
      <c r="BJS103" s="19"/>
      <c r="BJT103" s="19"/>
      <c r="BJU103" s="19"/>
      <c r="BJV103" s="19"/>
      <c r="BJW103" s="19"/>
      <c r="BJX103" s="19"/>
      <c r="BJY103" s="19"/>
      <c r="BJZ103" s="19"/>
      <c r="BKA103" s="19"/>
      <c r="BKB103" s="19"/>
      <c r="BKC103" s="19"/>
      <c r="BKD103" s="19"/>
      <c r="BKE103" s="19"/>
      <c r="BKF103" s="19"/>
      <c r="BKG103" s="19"/>
      <c r="BKH103" s="19"/>
      <c r="BKI103" s="19"/>
      <c r="BKJ103" s="19"/>
      <c r="BKK103" s="19"/>
      <c r="BKL103" s="19"/>
      <c r="BKM103" s="19"/>
      <c r="BKN103" s="19"/>
      <c r="BKO103" s="19"/>
      <c r="BKP103" s="19"/>
      <c r="BKQ103" s="19"/>
      <c r="BKR103" s="19"/>
      <c r="BKS103" s="19"/>
      <c r="BKT103" s="19"/>
      <c r="BKU103" s="19"/>
      <c r="BKV103" s="19"/>
      <c r="BKW103" s="19"/>
      <c r="BKX103" s="19"/>
      <c r="BKY103" s="19"/>
      <c r="BKZ103" s="19"/>
      <c r="BLA103" s="19"/>
      <c r="BLB103" s="19"/>
      <c r="BLC103" s="19"/>
      <c r="BLD103" s="19"/>
      <c r="BLE103" s="19"/>
      <c r="BLF103" s="19"/>
      <c r="BLG103" s="19"/>
      <c r="BLH103" s="19"/>
      <c r="BLI103" s="19"/>
      <c r="BLJ103" s="19"/>
      <c r="BLK103" s="19"/>
      <c r="BLL103" s="19"/>
      <c r="BLM103" s="19"/>
      <c r="BLN103" s="19"/>
      <c r="BLO103" s="19"/>
      <c r="BLP103" s="19"/>
      <c r="BLQ103" s="19"/>
      <c r="BLR103" s="19"/>
      <c r="BLS103" s="19"/>
      <c r="BLT103" s="19"/>
      <c r="BLU103" s="19"/>
      <c r="BLV103" s="19"/>
      <c r="BLW103" s="19"/>
      <c r="BLX103" s="19"/>
      <c r="BLY103" s="19"/>
      <c r="BLZ103" s="19"/>
      <c r="BMA103" s="19"/>
      <c r="BMB103" s="19"/>
      <c r="BMC103" s="19"/>
      <c r="BMD103" s="19"/>
      <c r="BME103" s="19"/>
      <c r="BMF103" s="19"/>
      <c r="BMG103" s="19"/>
      <c r="BMH103" s="19"/>
      <c r="BMI103" s="19"/>
      <c r="BMJ103" s="19"/>
      <c r="BMK103" s="19"/>
      <c r="BML103" s="19"/>
      <c r="BMM103" s="19"/>
      <c r="BMN103" s="19"/>
      <c r="BMO103" s="19"/>
      <c r="BMP103" s="19"/>
      <c r="BMQ103" s="19"/>
      <c r="BMR103" s="19"/>
      <c r="BMS103" s="19"/>
      <c r="BMT103" s="19"/>
      <c r="BMU103" s="19"/>
      <c r="BMV103" s="19"/>
      <c r="BMW103" s="19"/>
      <c r="BMX103" s="19"/>
      <c r="BMY103" s="19"/>
      <c r="BMZ103" s="19"/>
      <c r="BNA103" s="19"/>
      <c r="BNB103" s="19"/>
      <c r="BNC103" s="19"/>
      <c r="BND103" s="19"/>
      <c r="BNE103" s="19"/>
      <c r="BNF103" s="19"/>
      <c r="BNG103" s="19"/>
      <c r="BNH103" s="19"/>
      <c r="BNI103" s="19"/>
      <c r="BNJ103" s="19"/>
      <c r="BNK103" s="19"/>
      <c r="BNL103" s="19"/>
      <c r="BNM103" s="19"/>
      <c r="BNN103" s="19"/>
      <c r="BNO103" s="19"/>
      <c r="BNP103" s="19"/>
      <c r="BNQ103" s="19"/>
      <c r="BNR103" s="19"/>
      <c r="BNS103" s="19"/>
      <c r="BNT103" s="19"/>
      <c r="BNU103" s="19"/>
      <c r="BNV103" s="19"/>
      <c r="BNW103" s="19"/>
      <c r="BNX103" s="19"/>
      <c r="BNY103" s="19"/>
      <c r="BNZ103" s="19"/>
      <c r="BOA103" s="19"/>
      <c r="BOB103" s="19"/>
      <c r="BOC103" s="19"/>
      <c r="BOD103" s="19"/>
      <c r="BOE103" s="19"/>
      <c r="BOF103" s="19"/>
      <c r="BOG103" s="19"/>
      <c r="BOH103" s="19"/>
      <c r="BOI103" s="19"/>
      <c r="BOJ103" s="19"/>
      <c r="BOK103" s="19"/>
      <c r="BOL103" s="19"/>
      <c r="BOM103" s="19"/>
      <c r="BON103" s="19"/>
      <c r="BOO103" s="19"/>
      <c r="BOP103" s="19"/>
      <c r="BOQ103" s="19"/>
      <c r="BOR103" s="19"/>
      <c r="BOS103" s="19"/>
      <c r="BOT103" s="19"/>
      <c r="BOU103" s="19"/>
      <c r="BOV103" s="19"/>
      <c r="BOW103" s="19"/>
      <c r="BOX103" s="19"/>
      <c r="BOY103" s="19"/>
      <c r="BOZ103" s="19"/>
      <c r="BPA103" s="19"/>
      <c r="BPB103" s="19"/>
      <c r="BPC103" s="19"/>
      <c r="BPD103" s="19"/>
      <c r="BPE103" s="19"/>
      <c r="BPF103" s="19"/>
      <c r="BPG103" s="19"/>
      <c r="BPH103" s="19"/>
      <c r="BPI103" s="19"/>
      <c r="BPJ103" s="19"/>
      <c r="BPK103" s="19"/>
      <c r="BPL103" s="19"/>
      <c r="BPM103" s="19"/>
      <c r="BPN103" s="19"/>
      <c r="BPO103" s="19"/>
      <c r="BPP103" s="19"/>
      <c r="BPQ103" s="19"/>
      <c r="BPR103" s="19"/>
      <c r="BPS103" s="19"/>
      <c r="BPT103" s="19"/>
      <c r="BPU103" s="19"/>
      <c r="BPV103" s="19"/>
      <c r="BPW103" s="19"/>
      <c r="BPX103" s="19"/>
      <c r="BPY103" s="19"/>
      <c r="BPZ103" s="19"/>
      <c r="BQA103" s="19"/>
      <c r="BQB103" s="19"/>
      <c r="BQC103" s="19"/>
      <c r="BQD103" s="19"/>
      <c r="BQE103" s="19"/>
      <c r="BQF103" s="19"/>
      <c r="BQG103" s="19"/>
      <c r="BQH103" s="19"/>
      <c r="BQI103" s="19"/>
      <c r="BQJ103" s="19"/>
      <c r="BQK103" s="19"/>
      <c r="BQL103" s="19"/>
      <c r="BQM103" s="19"/>
      <c r="BQN103" s="19"/>
      <c r="BQO103" s="19"/>
      <c r="BQP103" s="19"/>
      <c r="BQQ103" s="19"/>
      <c r="BQR103" s="19"/>
      <c r="BQS103" s="19"/>
      <c r="BQT103" s="19"/>
      <c r="BQU103" s="19"/>
      <c r="BQV103" s="19"/>
      <c r="BQW103" s="19"/>
      <c r="BQX103" s="19"/>
      <c r="BQY103" s="19"/>
      <c r="BQZ103" s="19"/>
      <c r="BRA103" s="19"/>
      <c r="BRB103" s="19"/>
      <c r="BRC103" s="19"/>
      <c r="BRD103" s="19"/>
      <c r="BRE103" s="19"/>
      <c r="BRF103" s="19"/>
      <c r="BRG103" s="19"/>
      <c r="BRH103" s="19"/>
      <c r="BRI103" s="19"/>
      <c r="BRJ103" s="19"/>
      <c r="BRK103" s="19"/>
      <c r="BRL103" s="19"/>
      <c r="BRM103" s="19"/>
      <c r="BRN103" s="19"/>
      <c r="BRO103" s="19"/>
      <c r="BRP103" s="19"/>
      <c r="BRQ103" s="19"/>
      <c r="BRR103" s="19"/>
      <c r="BRS103" s="19"/>
      <c r="BRT103" s="19"/>
      <c r="BRU103" s="19"/>
      <c r="BRV103" s="19"/>
      <c r="BRW103" s="19"/>
      <c r="BRX103" s="19"/>
      <c r="BRY103" s="19"/>
      <c r="BRZ103" s="19"/>
      <c r="BSA103" s="19"/>
      <c r="BSB103" s="19"/>
      <c r="BSC103" s="19"/>
      <c r="BSD103" s="19"/>
      <c r="BSE103" s="19"/>
      <c r="BSF103" s="19"/>
      <c r="BSG103" s="19"/>
      <c r="BSH103" s="19"/>
      <c r="BSI103" s="19"/>
      <c r="BSJ103" s="19"/>
      <c r="BSK103" s="19"/>
      <c r="BSL103" s="19"/>
      <c r="BSM103" s="19"/>
      <c r="BSN103" s="19"/>
      <c r="BSO103" s="19"/>
      <c r="BSP103" s="19"/>
      <c r="BSQ103" s="19"/>
      <c r="BSR103" s="19"/>
      <c r="BSS103" s="19"/>
      <c r="BST103" s="19"/>
      <c r="BSU103" s="19"/>
      <c r="BSV103" s="19"/>
      <c r="BSW103" s="19"/>
      <c r="BSX103" s="19"/>
      <c r="BSY103" s="19"/>
      <c r="BSZ103" s="19"/>
      <c r="BTA103" s="19"/>
      <c r="BTB103" s="19"/>
      <c r="BTC103" s="19"/>
      <c r="BTD103" s="19"/>
      <c r="BTE103" s="19"/>
      <c r="BTF103" s="19"/>
      <c r="BTG103" s="19"/>
      <c r="BTH103" s="19"/>
      <c r="BTI103" s="19"/>
      <c r="BTJ103" s="19"/>
      <c r="BTK103" s="19"/>
      <c r="BTL103" s="19"/>
      <c r="BTM103" s="19"/>
      <c r="BTN103" s="19"/>
      <c r="BTO103" s="19"/>
      <c r="BTP103" s="19"/>
      <c r="BTQ103" s="19"/>
      <c r="BTR103" s="19"/>
      <c r="BTS103" s="19"/>
      <c r="BTT103" s="19"/>
      <c r="BTU103" s="19"/>
      <c r="BTV103" s="19"/>
      <c r="BTW103" s="19"/>
      <c r="BTX103" s="19"/>
      <c r="BTY103" s="19"/>
      <c r="BTZ103" s="19"/>
      <c r="BUA103" s="19"/>
      <c r="BUB103" s="19"/>
      <c r="BUC103" s="19"/>
      <c r="BUD103" s="19"/>
      <c r="BUE103" s="19"/>
      <c r="BUF103" s="19"/>
      <c r="BUG103" s="19"/>
      <c r="BUH103" s="19"/>
      <c r="BUI103" s="19"/>
      <c r="BUJ103" s="19"/>
      <c r="BUK103" s="19"/>
      <c r="BUL103" s="19"/>
      <c r="BUM103" s="19"/>
      <c r="BUN103" s="19"/>
      <c r="BUO103" s="19"/>
      <c r="BUP103" s="19"/>
      <c r="BUQ103" s="19"/>
      <c r="BUR103" s="19"/>
      <c r="BUS103" s="19"/>
      <c r="BUT103" s="19"/>
      <c r="BUU103" s="19"/>
      <c r="BUV103" s="19"/>
      <c r="BUW103" s="19"/>
      <c r="BUX103" s="19"/>
      <c r="BUY103" s="19"/>
      <c r="BUZ103" s="19"/>
      <c r="BVA103" s="19"/>
      <c r="BVB103" s="19"/>
      <c r="BVC103" s="19"/>
      <c r="BVD103" s="19"/>
      <c r="BVE103" s="19"/>
      <c r="BVF103" s="19"/>
      <c r="BVG103" s="19"/>
      <c r="BVH103" s="19"/>
      <c r="BVI103" s="19"/>
      <c r="BVJ103" s="19"/>
      <c r="BVK103" s="19"/>
      <c r="BVL103" s="19"/>
      <c r="BVM103" s="19"/>
      <c r="BVN103" s="19"/>
      <c r="BVO103" s="19"/>
      <c r="BVP103" s="19"/>
      <c r="BVQ103" s="19"/>
      <c r="BVR103" s="19"/>
      <c r="BVS103" s="19"/>
      <c r="BVT103" s="19"/>
      <c r="BVU103" s="19"/>
      <c r="BVV103" s="19"/>
      <c r="BVW103" s="19"/>
      <c r="BVX103" s="19"/>
      <c r="BVY103" s="19"/>
      <c r="BVZ103" s="19"/>
      <c r="BWA103" s="19"/>
      <c r="BWB103" s="19"/>
      <c r="BWC103" s="19"/>
      <c r="BWD103" s="19"/>
      <c r="BWE103" s="19"/>
      <c r="BWF103" s="19"/>
      <c r="BWG103" s="19"/>
      <c r="BWH103" s="19"/>
      <c r="BWI103" s="19"/>
      <c r="BWJ103" s="19"/>
      <c r="BWK103" s="19"/>
      <c r="BWL103" s="19"/>
      <c r="BWM103" s="19"/>
      <c r="BWN103" s="19"/>
      <c r="BWO103" s="19"/>
      <c r="BWP103" s="19"/>
      <c r="BWQ103" s="19"/>
      <c r="BWR103" s="19"/>
      <c r="BWS103" s="19"/>
      <c r="BWT103" s="19"/>
      <c r="BWU103" s="19"/>
      <c r="BWV103" s="19"/>
      <c r="BWW103" s="19"/>
      <c r="BWX103" s="19"/>
      <c r="BWY103" s="19"/>
      <c r="BWZ103" s="19"/>
      <c r="BXA103" s="19"/>
      <c r="BXB103" s="19"/>
      <c r="BXC103" s="19"/>
      <c r="BXD103" s="19"/>
      <c r="BXE103" s="19"/>
      <c r="BXF103" s="19"/>
      <c r="BXG103" s="19"/>
      <c r="BXH103" s="19"/>
      <c r="BXI103" s="19"/>
      <c r="BXJ103" s="19"/>
      <c r="BXK103" s="19"/>
      <c r="BXL103" s="19"/>
      <c r="BXM103" s="19"/>
      <c r="BXN103" s="19"/>
      <c r="BXO103" s="19"/>
      <c r="BXP103" s="19"/>
      <c r="BXQ103" s="19"/>
      <c r="BXR103" s="19"/>
      <c r="BXS103" s="19"/>
      <c r="BXT103" s="19"/>
      <c r="BXU103" s="19"/>
      <c r="BXV103" s="19"/>
      <c r="BXW103" s="19"/>
      <c r="BXX103" s="19"/>
      <c r="BXY103" s="19"/>
      <c r="BXZ103" s="19"/>
      <c r="BYA103" s="19"/>
      <c r="BYB103" s="19"/>
      <c r="BYC103" s="19"/>
      <c r="BYD103" s="19"/>
      <c r="BYE103" s="19"/>
      <c r="BYF103" s="19"/>
      <c r="BYG103" s="19"/>
      <c r="BYH103" s="19"/>
      <c r="BYI103" s="19"/>
      <c r="BYJ103" s="19"/>
      <c r="BYK103" s="19"/>
      <c r="BYL103" s="19"/>
      <c r="BYM103" s="19"/>
      <c r="BYN103" s="19"/>
      <c r="BYO103" s="19"/>
      <c r="BYP103" s="19"/>
      <c r="BYQ103" s="19"/>
      <c r="BYR103" s="19"/>
      <c r="BYS103" s="19"/>
      <c r="BYT103" s="19"/>
      <c r="BYU103" s="19"/>
      <c r="BYV103" s="19"/>
      <c r="BYW103" s="19"/>
      <c r="BYX103" s="19"/>
      <c r="BYY103" s="19"/>
      <c r="BYZ103" s="19"/>
      <c r="BZA103" s="19"/>
      <c r="BZB103" s="19"/>
      <c r="BZC103" s="19"/>
      <c r="BZD103" s="19"/>
      <c r="BZE103" s="19"/>
      <c r="BZF103" s="19"/>
      <c r="BZG103" s="19"/>
      <c r="BZH103" s="19"/>
      <c r="BZI103" s="19"/>
      <c r="BZJ103" s="19"/>
      <c r="BZK103" s="19"/>
      <c r="BZL103" s="19"/>
      <c r="BZM103" s="19"/>
      <c r="BZN103" s="19"/>
      <c r="BZO103" s="19"/>
      <c r="BZP103" s="19"/>
      <c r="BZQ103" s="19"/>
      <c r="BZR103" s="19"/>
      <c r="BZS103" s="19"/>
      <c r="BZT103" s="19"/>
      <c r="BZU103" s="19"/>
      <c r="BZV103" s="19"/>
      <c r="BZW103" s="19"/>
      <c r="BZX103" s="19"/>
      <c r="BZY103" s="19"/>
      <c r="BZZ103" s="19"/>
      <c r="CAA103" s="19"/>
      <c r="CAB103" s="19"/>
      <c r="CAC103" s="19"/>
      <c r="CAD103" s="19"/>
      <c r="CAE103" s="19"/>
      <c r="CAF103" s="19"/>
      <c r="CAG103" s="19"/>
      <c r="CAH103" s="19"/>
      <c r="CAI103" s="19"/>
      <c r="CAJ103" s="19"/>
      <c r="CAK103" s="19"/>
      <c r="CAL103" s="19"/>
      <c r="CAM103" s="19"/>
      <c r="CAN103" s="19"/>
      <c r="CAO103" s="19"/>
      <c r="CAP103" s="19"/>
      <c r="CAQ103" s="19"/>
      <c r="CAR103" s="19"/>
      <c r="CAS103" s="19"/>
      <c r="CAT103" s="19"/>
      <c r="CAU103" s="19"/>
      <c r="CAV103" s="19"/>
      <c r="CAW103" s="19"/>
      <c r="CAX103" s="19"/>
      <c r="CAY103" s="19"/>
      <c r="CAZ103" s="19"/>
      <c r="CBF103" s="19"/>
      <c r="CBG103" s="19"/>
      <c r="CBH103" s="19"/>
      <c r="CBI103" s="19"/>
      <c r="CBJ103" s="19"/>
      <c r="CBK103" s="19"/>
      <c r="CBL103" s="19"/>
      <c r="CBM103" s="19"/>
      <c r="CBN103" s="19"/>
      <c r="CBO103" s="19"/>
      <c r="CBP103" s="19"/>
      <c r="CBQ103" s="19"/>
      <c r="CBR103" s="19"/>
      <c r="CBS103" s="19"/>
      <c r="CBT103" s="19"/>
      <c r="CBU103" s="19"/>
      <c r="CBV103" s="19"/>
      <c r="CBW103" s="19"/>
      <c r="CBX103" s="19"/>
      <c r="CBY103" s="19"/>
      <c r="CBZ103" s="19"/>
      <c r="CCA103" s="19"/>
      <c r="CCB103" s="19"/>
      <c r="CCC103" s="19"/>
      <c r="CCD103" s="19"/>
      <c r="CCE103" s="19"/>
      <c r="CCF103" s="19"/>
      <c r="CCG103" s="19"/>
      <c r="CCH103" s="19"/>
      <c r="CCI103" s="19"/>
      <c r="CCJ103" s="19"/>
      <c r="CCK103" s="19"/>
      <c r="CCL103" s="19"/>
      <c r="CCM103" s="19"/>
      <c r="CCN103" s="19"/>
      <c r="CCO103" s="19"/>
      <c r="CCP103" s="19"/>
      <c r="CCQ103" s="19"/>
      <c r="CCR103" s="19"/>
      <c r="CCS103" s="19"/>
      <c r="CCT103" s="19"/>
      <c r="CCU103" s="19"/>
      <c r="CCV103" s="19"/>
      <c r="CCW103" s="19"/>
      <c r="CCX103" s="19"/>
      <c r="CCY103" s="19"/>
      <c r="CCZ103" s="19"/>
      <c r="CDA103" s="19"/>
      <c r="CDB103" s="19"/>
      <c r="CDC103" s="19"/>
      <c r="CDD103" s="19"/>
      <c r="CDE103" s="19"/>
      <c r="CDF103" s="19"/>
      <c r="CDG103" s="19"/>
      <c r="CDH103" s="19"/>
      <c r="CDI103" s="19"/>
      <c r="CDJ103" s="19"/>
      <c r="CDK103" s="19"/>
      <c r="CDL103" s="19"/>
      <c r="CDM103" s="19"/>
      <c r="CDN103" s="19"/>
      <c r="CDO103" s="19"/>
      <c r="CDP103" s="19"/>
      <c r="CDQ103" s="19"/>
      <c r="CDR103" s="19"/>
      <c r="CDS103" s="19"/>
      <c r="CDT103" s="19"/>
      <c r="CDU103" s="19"/>
      <c r="CDV103" s="19"/>
      <c r="CDW103" s="19"/>
      <c r="CDX103" s="19"/>
      <c r="CDY103" s="19"/>
      <c r="CDZ103" s="19"/>
      <c r="CEA103" s="19"/>
      <c r="CEB103" s="19"/>
      <c r="CEC103" s="19"/>
      <c r="CED103" s="19"/>
      <c r="CEE103" s="19"/>
    </row>
    <row r="104" spans="1:2297 10881:10881" ht="16.05" customHeight="1">
      <c r="A104" s="19" t="s">
        <v>670</v>
      </c>
      <c r="B104" s="19" t="s">
        <v>684</v>
      </c>
      <c r="C104" s="643"/>
      <c r="D104" s="428" t="str">
        <f t="shared" ca="1" si="279"/>
        <v>Marruecos</v>
      </c>
      <c r="E104" s="643" t="s">
        <v>2</v>
      </c>
      <c r="F104" s="643" t="s">
        <v>4</v>
      </c>
      <c r="G104" s="424" t="s">
        <v>75</v>
      </c>
      <c r="H104" s="624">
        <f t="shared" ca="1" si="280"/>
        <v>12</v>
      </c>
      <c r="I104" s="10"/>
      <c r="J104" s="19">
        <v>76</v>
      </c>
      <c r="K104" s="439">
        <v>46202.75</v>
      </c>
      <c r="L104" s="19" t="s">
        <v>707</v>
      </c>
      <c r="M104" s="19" t="str">
        <f t="shared" ca="1" si="281"/>
        <v>Brasil</v>
      </c>
      <c r="N104" s="19"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9"/>
      <c r="P104" s="19"/>
      <c r="Q104" s="19"/>
      <c r="R104" s="19"/>
      <c r="S104" s="19"/>
      <c r="T104" s="19"/>
      <c r="U104" s="19"/>
      <c r="V104" s="20"/>
      <c r="W104" s="671"/>
      <c r="X104" s="27">
        <f ca="1">Horarios!C104</f>
        <v>46203.125</v>
      </c>
      <c r="Y104" s="28">
        <f ca="1">Horarios!C104</f>
        <v>46203.125</v>
      </c>
      <c r="Z104" s="289">
        <f t="shared" si="286"/>
        <v>75</v>
      </c>
      <c r="AA104" s="96" t="str">
        <f t="shared" ca="1" si="282"/>
        <v>Túnez</v>
      </c>
      <c r="AB104" s="97"/>
      <c r="AC104" s="100">
        <v>0</v>
      </c>
      <c r="AD104" s="100">
        <v>1</v>
      </c>
      <c r="AE104" s="97"/>
      <c r="AF104" s="99" t="str">
        <f t="shared" ca="1" si="283"/>
        <v>Marruecos</v>
      </c>
      <c r="AG104" s="339">
        <f t="shared" ca="1" si="284"/>
        <v>1</v>
      </c>
      <c r="AH104" s="204">
        <v>75</v>
      </c>
      <c r="AI104" s="191">
        <v>3</v>
      </c>
      <c r="AJ104" s="46">
        <v>3</v>
      </c>
      <c r="AK104" s="40" t="str">
        <f ca="1">IFERROR(INDEX(Equipos!$L$2:$L$49,MATCH(WORLDCUP!AL104,Equipos!$K$2:$K$49,0)),"")</f>
        <v>🏴󠁧󠁢󠁳󠁣󠁴󠁿</v>
      </c>
      <c r="AL104" s="93" t="str">
        <f t="shared" ca="1" si="287"/>
        <v>Escocia</v>
      </c>
      <c r="AM104" s="334">
        <f t="shared" ca="1" si="288"/>
        <v>3</v>
      </c>
      <c r="AN104" s="94">
        <f t="shared" ca="1" si="288"/>
        <v>3</v>
      </c>
      <c r="AO104" s="94">
        <f t="shared" ca="1" si="288"/>
        <v>1</v>
      </c>
      <c r="AP104" s="94">
        <f t="shared" ca="1" si="288"/>
        <v>0</v>
      </c>
      <c r="AQ104" s="94">
        <f t="shared" ca="1" si="288"/>
        <v>2</v>
      </c>
      <c r="AR104" s="94">
        <f t="shared" ca="1" si="288"/>
        <v>2</v>
      </c>
      <c r="AS104" s="94">
        <f t="shared" ca="1" si="288"/>
        <v>2</v>
      </c>
      <c r="AT104" s="95">
        <f t="shared" ca="1" si="288"/>
        <v>0</v>
      </c>
      <c r="AU104" s="342">
        <f t="shared" ca="1" si="289"/>
        <v>1</v>
      </c>
      <c r="AV104" s="191" t="str">
        <f t="shared" ca="1" si="290"/>
        <v>Escocia</v>
      </c>
      <c r="AW104" s="224"/>
      <c r="AX104" s="178"/>
      <c r="AY104" s="285"/>
      <c r="AZ104" s="288" t="str">
        <f t="shared" ca="1" si="291"/>
        <v>1B - 3G</v>
      </c>
      <c r="BA104" s="155"/>
      <c r="BB104" s="19"/>
      <c r="BD104" s="19"/>
      <c r="BE104" s="19"/>
      <c r="BF104" s="19" t="str">
        <f t="shared" ca="1" si="292"/>
        <v>I</v>
      </c>
      <c r="BG104" s="19">
        <f t="shared" ca="1" si="293"/>
        <v>7</v>
      </c>
      <c r="BH104" s="19"/>
      <c r="BI104" s="10">
        <v>2</v>
      </c>
      <c r="BJ104" s="19" t="str">
        <f t="shared" ca="1" si="294"/>
        <v>B</v>
      </c>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19"/>
      <c r="KS104" s="19"/>
      <c r="KT104" s="19"/>
      <c r="KU104" s="19"/>
      <c r="KV104" s="19"/>
      <c r="KW104" s="19"/>
      <c r="KX104" s="19"/>
      <c r="KY104" s="19"/>
      <c r="KZ104" s="19"/>
      <c r="LA104" s="19"/>
      <c r="LB104" s="19"/>
      <c r="LC104" s="19"/>
      <c r="LD104" s="19"/>
      <c r="LE104" s="19"/>
      <c r="LF104" s="19"/>
      <c r="LG104" s="19"/>
      <c r="LH104" s="19"/>
      <c r="LI104" s="19"/>
      <c r="LJ104" s="19"/>
      <c r="LK104" s="19"/>
      <c r="LL104" s="19"/>
      <c r="LM104" s="19"/>
      <c r="LN104" s="19"/>
      <c r="LO104" s="19"/>
      <c r="LP104" s="19"/>
      <c r="LQ104" s="19"/>
      <c r="LR104" s="19"/>
      <c r="LS104" s="19"/>
      <c r="LT104" s="19"/>
      <c r="LU104" s="19"/>
      <c r="LV104" s="19"/>
      <c r="LW104" s="19"/>
      <c r="LX104" s="19"/>
      <c r="LY104" s="19"/>
      <c r="LZ104" s="19"/>
      <c r="MA104" s="19"/>
      <c r="MB104" s="19"/>
      <c r="MC104" s="19"/>
      <c r="MD104" s="19"/>
      <c r="ME104" s="19"/>
      <c r="MF104" s="19"/>
      <c r="MG104" s="19"/>
      <c r="MH104" s="19"/>
      <c r="MI104" s="19"/>
      <c r="MJ104" s="19"/>
      <c r="MK104" s="19"/>
      <c r="ML104" s="19"/>
      <c r="MM104" s="19"/>
      <c r="MN104" s="19"/>
      <c r="MO104" s="19"/>
      <c r="MP104" s="19"/>
      <c r="MQ104" s="19"/>
      <c r="MR104" s="19"/>
      <c r="MS104" s="19"/>
      <c r="MT104" s="19"/>
      <c r="MU104" s="19"/>
      <c r="MV104" s="19"/>
      <c r="MW104" s="19"/>
      <c r="MX104" s="19"/>
      <c r="MY104" s="19"/>
      <c r="MZ104" s="19"/>
      <c r="NA104" s="19"/>
      <c r="NB104" s="19"/>
      <c r="NC104" s="19"/>
      <c r="ND104" s="19"/>
      <c r="NE104" s="19"/>
      <c r="NF104" s="19"/>
      <c r="NG104" s="19"/>
      <c r="NH104" s="19"/>
      <c r="NI104" s="19"/>
      <c r="NJ104" s="19"/>
      <c r="NK104" s="19"/>
      <c r="NL104" s="19"/>
      <c r="NM104" s="19"/>
      <c r="NN104" s="19"/>
      <c r="NO104" s="19"/>
      <c r="NP104" s="19"/>
      <c r="NQ104" s="19"/>
      <c r="NR104" s="19"/>
      <c r="NS104" s="19"/>
      <c r="NT104" s="19"/>
      <c r="NU104" s="19"/>
      <c r="NV104" s="19"/>
      <c r="NW104" s="19"/>
      <c r="NX104" s="19"/>
      <c r="NY104" s="19"/>
      <c r="NZ104" s="19"/>
      <c r="OA104" s="19"/>
      <c r="OB104" s="19"/>
      <c r="OC104" s="19"/>
      <c r="OD104" s="19"/>
      <c r="OE104" s="19"/>
      <c r="OF104" s="19"/>
      <c r="OG104" s="19"/>
      <c r="OH104" s="19"/>
      <c r="OI104" s="19"/>
      <c r="OJ104" s="19"/>
      <c r="OK104" s="19"/>
      <c r="OL104" s="19"/>
      <c r="OM104" s="19"/>
      <c r="ON104" s="19"/>
      <c r="OO104" s="19"/>
      <c r="OP104" s="19"/>
      <c r="OQ104" s="19"/>
      <c r="OR104" s="19"/>
      <c r="OS104" s="19"/>
      <c r="OT104" s="19"/>
      <c r="OU104" s="19"/>
      <c r="OV104" s="19"/>
      <c r="OW104" s="19"/>
      <c r="OX104" s="19"/>
      <c r="OY104" s="19"/>
      <c r="OZ104" s="19"/>
      <c r="PA104" s="19"/>
      <c r="PB104" s="19"/>
      <c r="PC104" s="19"/>
      <c r="PD104" s="19"/>
      <c r="PE104" s="19"/>
      <c r="PF104" s="19"/>
      <c r="PG104" s="19"/>
      <c r="PH104" s="19"/>
      <c r="PI104" s="19"/>
      <c r="PJ104" s="19"/>
      <c r="PK104" s="19"/>
      <c r="PL104" s="19"/>
      <c r="PM104" s="19"/>
      <c r="PN104" s="19"/>
      <c r="PO104" s="19"/>
      <c r="PP104" s="19"/>
      <c r="PQ104" s="19"/>
      <c r="PR104" s="19"/>
      <c r="PS104" s="19"/>
      <c r="PT104" s="19"/>
      <c r="PU104" s="19"/>
      <c r="PV104" s="19"/>
      <c r="PW104" s="19"/>
      <c r="PX104" s="19"/>
      <c r="PY104" s="19"/>
      <c r="PZ104" s="19"/>
      <c r="QA104" s="19"/>
      <c r="QB104" s="19"/>
      <c r="QC104" s="19"/>
      <c r="QD104" s="19"/>
      <c r="QE104" s="19"/>
      <c r="QF104" s="19"/>
      <c r="QG104" s="19"/>
      <c r="QH104" s="19"/>
      <c r="QI104" s="19"/>
      <c r="QJ104" s="19"/>
      <c r="QK104" s="19"/>
      <c r="QL104" s="19"/>
      <c r="QM104" s="19"/>
      <c r="QN104" s="19"/>
      <c r="QO104" s="19"/>
      <c r="QP104" s="19"/>
      <c r="QQ104" s="19"/>
      <c r="QR104" s="19"/>
      <c r="QS104" s="19"/>
      <c r="QT104" s="19"/>
      <c r="QU104" s="19"/>
      <c r="QV104" s="19"/>
      <c r="QW104" s="19"/>
      <c r="QX104" s="19"/>
      <c r="QY104" s="19"/>
      <c r="QZ104" s="19"/>
      <c r="RA104" s="19"/>
      <c r="RB104" s="19"/>
      <c r="RC104" s="19"/>
      <c r="RD104" s="19"/>
      <c r="RE104" s="19"/>
      <c r="RF104" s="19"/>
      <c r="RG104" s="19"/>
      <c r="RH104" s="19"/>
      <c r="RI104" s="19"/>
      <c r="RJ104" s="19"/>
      <c r="RK104" s="19"/>
      <c r="RL104" s="19"/>
      <c r="RM104" s="19"/>
      <c r="RN104" s="19"/>
      <c r="RO104" s="19"/>
      <c r="RP104" s="19"/>
      <c r="RQ104" s="19"/>
      <c r="RR104" s="19"/>
      <c r="RS104" s="19"/>
      <c r="RT104" s="19"/>
      <c r="RU104" s="19"/>
      <c r="RV104" s="19"/>
      <c r="RW104" s="19"/>
      <c r="RX104" s="19"/>
      <c r="RY104" s="19"/>
      <c r="RZ104" s="19"/>
      <c r="SA104" s="19"/>
      <c r="SB104" s="19"/>
      <c r="SC104" s="19"/>
      <c r="SD104" s="19"/>
      <c r="SE104" s="19"/>
      <c r="SF104" s="19"/>
      <c r="SG104" s="19"/>
      <c r="SH104" s="19"/>
      <c r="SI104" s="19"/>
      <c r="SJ104" s="19"/>
      <c r="SK104" s="19"/>
      <c r="SL104" s="19"/>
      <c r="SM104" s="19"/>
      <c r="SN104" s="19"/>
      <c r="SO104" s="19"/>
      <c r="SP104" s="19"/>
      <c r="SQ104" s="19"/>
      <c r="SR104" s="19"/>
      <c r="SS104" s="19"/>
      <c r="ST104" s="19"/>
      <c r="SU104" s="19"/>
      <c r="SV104" s="19"/>
      <c r="SW104" s="19"/>
      <c r="SX104" s="19"/>
      <c r="SY104" s="19"/>
      <c r="SZ104" s="19"/>
      <c r="TA104" s="19"/>
      <c r="TB104" s="19"/>
      <c r="TC104" s="19"/>
      <c r="TD104" s="19"/>
      <c r="TE104" s="19"/>
      <c r="TF104" s="19"/>
      <c r="TG104" s="19"/>
      <c r="TH104" s="19"/>
      <c r="TI104" s="19"/>
      <c r="TJ104" s="19"/>
      <c r="TK104" s="19"/>
      <c r="TL104" s="19"/>
      <c r="TM104" s="19"/>
      <c r="TN104" s="19"/>
      <c r="TO104" s="19"/>
      <c r="TP104" s="19"/>
      <c r="TQ104" s="19"/>
      <c r="TR104" s="19"/>
      <c r="TS104" s="19"/>
      <c r="TT104" s="19"/>
      <c r="TU104" s="19"/>
      <c r="TV104" s="19"/>
      <c r="TW104" s="19"/>
      <c r="TX104" s="19"/>
      <c r="TY104" s="19"/>
      <c r="TZ104" s="19"/>
      <c r="UA104" s="19"/>
      <c r="UB104" s="19"/>
      <c r="UC104" s="19"/>
      <c r="UD104" s="19"/>
      <c r="UE104" s="19"/>
      <c r="UF104" s="19"/>
      <c r="UG104" s="19"/>
      <c r="UH104" s="19"/>
      <c r="UI104" s="19"/>
      <c r="UJ104" s="19"/>
      <c r="UK104" s="19"/>
      <c r="UL104" s="19"/>
      <c r="UM104" s="19"/>
      <c r="UN104" s="19"/>
      <c r="UO104" s="19"/>
      <c r="UP104" s="19"/>
      <c r="UQ104" s="19"/>
      <c r="UR104" s="19"/>
      <c r="US104" s="19"/>
      <c r="UT104" s="19"/>
      <c r="UU104" s="19"/>
      <c r="UV104" s="19"/>
      <c r="UW104" s="19"/>
      <c r="UX104" s="19"/>
      <c r="UY104" s="19"/>
      <c r="UZ104" s="19"/>
      <c r="VA104" s="19"/>
      <c r="VB104" s="19"/>
      <c r="VC104" s="19"/>
      <c r="VD104" s="19"/>
      <c r="VE104" s="19"/>
      <c r="VF104" s="19"/>
      <c r="VG104" s="19"/>
      <c r="VH104" s="19"/>
      <c r="VI104" s="19"/>
      <c r="VJ104" s="19"/>
      <c r="VK104" s="19"/>
      <c r="VL104" s="19"/>
      <c r="VM104" s="19"/>
      <c r="VN104" s="19"/>
      <c r="VO104" s="19"/>
      <c r="VP104" s="19"/>
      <c r="VQ104" s="19"/>
      <c r="VR104" s="19"/>
      <c r="VS104" s="19"/>
      <c r="VT104" s="19"/>
      <c r="VU104" s="19"/>
      <c r="VV104" s="19"/>
      <c r="VW104" s="19"/>
      <c r="VX104" s="19"/>
      <c r="VY104" s="19"/>
      <c r="VZ104" s="19"/>
      <c r="WA104" s="19"/>
      <c r="WB104" s="19"/>
      <c r="WC104" s="19"/>
      <c r="WD104" s="19"/>
      <c r="WE104" s="19"/>
      <c r="WF104" s="19"/>
      <c r="WG104" s="19"/>
      <c r="WH104" s="19"/>
      <c r="WI104" s="19"/>
      <c r="WJ104" s="19"/>
      <c r="WK104" s="19"/>
      <c r="WL104" s="19"/>
      <c r="WM104" s="19"/>
      <c r="WN104" s="19"/>
      <c r="WO104" s="19"/>
      <c r="WP104" s="19"/>
      <c r="WQ104" s="19"/>
      <c r="WR104" s="19"/>
      <c r="WS104" s="19"/>
      <c r="WT104" s="19"/>
      <c r="WU104" s="19"/>
      <c r="WV104" s="19"/>
      <c r="WW104" s="19"/>
      <c r="WX104" s="19"/>
      <c r="WY104" s="19"/>
      <c r="WZ104" s="19"/>
      <c r="XA104" s="19"/>
      <c r="XB104" s="19"/>
      <c r="XC104" s="19"/>
      <c r="XD104" s="19"/>
      <c r="XE104" s="19"/>
      <c r="XF104" s="19"/>
      <c r="XG104" s="19"/>
      <c r="XH104" s="19"/>
      <c r="XI104" s="19"/>
      <c r="XJ104" s="19"/>
      <c r="XK104" s="19"/>
      <c r="XL104" s="19"/>
      <c r="XM104" s="19"/>
      <c r="XN104" s="19"/>
      <c r="XO104" s="19"/>
      <c r="XP104" s="19"/>
      <c r="XQ104" s="19"/>
      <c r="XR104" s="19"/>
      <c r="XS104" s="19"/>
      <c r="XT104" s="19"/>
      <c r="XU104" s="19"/>
      <c r="XV104" s="19"/>
      <c r="XW104" s="19"/>
      <c r="XX104" s="19"/>
      <c r="XY104" s="19"/>
      <c r="XZ104" s="19"/>
      <c r="YA104" s="19"/>
      <c r="YB104" s="19"/>
      <c r="YC104" s="19"/>
      <c r="YD104" s="19"/>
      <c r="YE104" s="19"/>
      <c r="YF104" s="19"/>
      <c r="YG104" s="19"/>
      <c r="YH104" s="19"/>
      <c r="YI104" s="19"/>
      <c r="YJ104" s="19"/>
      <c r="YK104" s="19"/>
      <c r="YL104" s="19"/>
      <c r="YM104" s="19"/>
      <c r="YN104" s="19"/>
      <c r="YO104" s="19"/>
      <c r="YP104" s="19"/>
      <c r="YQ104" s="19"/>
      <c r="YR104" s="19"/>
      <c r="YS104" s="19"/>
      <c r="YT104" s="19"/>
      <c r="YU104" s="19"/>
      <c r="YV104" s="19"/>
      <c r="YW104" s="19"/>
      <c r="YX104" s="19"/>
      <c r="YY104" s="19"/>
      <c r="YZ104" s="19"/>
      <c r="ZA104" s="19"/>
      <c r="ZB104" s="19"/>
      <c r="ZC104" s="19"/>
      <c r="ZD104" s="19"/>
      <c r="ZE104" s="19"/>
      <c r="ZF104" s="19"/>
      <c r="ZG104" s="19"/>
      <c r="ZH104" s="19"/>
      <c r="ZI104" s="19"/>
      <c r="ZJ104" s="19"/>
      <c r="ZK104" s="19"/>
      <c r="ZL104" s="19"/>
      <c r="ZM104" s="19"/>
      <c r="ZN104" s="19"/>
      <c r="ZO104" s="19"/>
      <c r="ZP104" s="19"/>
      <c r="ZQ104" s="19"/>
      <c r="ZR104" s="19"/>
      <c r="ZS104" s="19"/>
      <c r="ZT104" s="19"/>
      <c r="ZU104" s="19"/>
      <c r="ZV104" s="19"/>
      <c r="ZW104" s="19"/>
      <c r="ZX104" s="19"/>
      <c r="ZY104" s="19"/>
      <c r="ZZ104" s="19"/>
      <c r="AAA104" s="19"/>
      <c r="AAB104" s="19"/>
      <c r="AAC104" s="19"/>
      <c r="AAD104" s="19"/>
      <c r="AAE104" s="19"/>
      <c r="AAF104" s="19"/>
      <c r="AAG104" s="19"/>
      <c r="AAH104" s="19"/>
      <c r="AAI104" s="19"/>
      <c r="AAJ104" s="19"/>
      <c r="AAK104" s="19"/>
      <c r="AAL104" s="19"/>
      <c r="AAM104" s="19"/>
      <c r="AAN104" s="19"/>
      <c r="AAO104" s="19"/>
      <c r="AAP104" s="19"/>
      <c r="AAQ104" s="19"/>
      <c r="AAR104" s="19"/>
      <c r="AAS104" s="19"/>
      <c r="AAT104" s="19"/>
      <c r="AAU104" s="19"/>
      <c r="AAV104" s="19"/>
      <c r="AAW104" s="19"/>
      <c r="AAX104" s="19"/>
      <c r="AAY104" s="19"/>
      <c r="AAZ104" s="19"/>
      <c r="ABA104" s="19"/>
      <c r="ABB104" s="19"/>
      <c r="ABC104" s="19"/>
      <c r="ABD104" s="19"/>
      <c r="ABE104" s="19"/>
      <c r="ABF104" s="19"/>
      <c r="ABG104" s="19"/>
      <c r="ABH104" s="19"/>
      <c r="ABI104" s="19"/>
      <c r="ABJ104" s="19"/>
      <c r="ABK104" s="19"/>
      <c r="ABL104" s="19"/>
      <c r="ABM104" s="19"/>
      <c r="ABN104" s="19"/>
      <c r="ABO104" s="19"/>
      <c r="ABP104" s="19"/>
      <c r="ABQ104" s="19"/>
      <c r="ABR104" s="19"/>
      <c r="ABS104" s="19"/>
      <c r="ABT104" s="19"/>
      <c r="ABU104" s="19"/>
      <c r="ABV104" s="19"/>
      <c r="ABW104" s="19"/>
      <c r="ABX104" s="19"/>
      <c r="ABY104" s="19"/>
      <c r="ABZ104" s="19"/>
      <c r="ACA104" s="19"/>
      <c r="ACB104" s="19"/>
      <c r="ACC104" s="19"/>
      <c r="ACD104" s="19"/>
      <c r="ACE104" s="19"/>
      <c r="ACF104" s="19"/>
      <c r="ACG104" s="19"/>
      <c r="ACH104" s="19"/>
      <c r="ACI104" s="19"/>
      <c r="ACJ104" s="19"/>
      <c r="ACK104" s="19"/>
      <c r="ACL104" s="19"/>
      <c r="ACM104" s="19"/>
      <c r="ACN104" s="19"/>
      <c r="ACO104" s="19"/>
      <c r="ACP104" s="19"/>
      <c r="ACQ104" s="19"/>
      <c r="ACR104" s="19"/>
      <c r="ACS104" s="19"/>
      <c r="ACT104" s="19"/>
      <c r="ACU104" s="19"/>
      <c r="ACV104" s="19"/>
      <c r="ACW104" s="19"/>
      <c r="ACX104" s="19"/>
      <c r="ACY104" s="19"/>
      <c r="ACZ104" s="19"/>
      <c r="ADA104" s="19"/>
      <c r="ADB104" s="19"/>
      <c r="ADC104" s="19"/>
      <c r="ADD104" s="19"/>
      <c r="ADE104" s="19"/>
      <c r="ADF104" s="19"/>
      <c r="ADG104" s="19"/>
      <c r="ADH104" s="19"/>
      <c r="ADI104" s="19"/>
      <c r="ADJ104" s="19"/>
      <c r="ADK104" s="19"/>
      <c r="ADL104" s="19"/>
      <c r="ADM104" s="19"/>
      <c r="ADN104" s="19"/>
      <c r="ADO104" s="19"/>
      <c r="ADP104" s="19"/>
      <c r="ADQ104" s="19"/>
      <c r="ADR104" s="19"/>
      <c r="ADS104" s="19"/>
      <c r="ADT104" s="19"/>
      <c r="ADU104" s="19"/>
      <c r="ADV104" s="19"/>
      <c r="ADW104" s="19"/>
      <c r="ADX104" s="19"/>
      <c r="ADY104" s="19"/>
      <c r="ADZ104" s="19"/>
      <c r="AEA104" s="19"/>
      <c r="AEB104" s="19"/>
      <c r="AEC104" s="19"/>
      <c r="AED104" s="19"/>
      <c r="AEE104" s="19"/>
      <c r="AEF104" s="19"/>
      <c r="AEG104" s="19"/>
      <c r="AEH104" s="19"/>
      <c r="AEI104" s="19"/>
      <c r="AEJ104" s="19"/>
      <c r="AEK104" s="19"/>
      <c r="AEL104" s="19"/>
      <c r="AEM104" s="19"/>
      <c r="AEN104" s="19"/>
      <c r="AEO104" s="19"/>
      <c r="AEP104" s="19"/>
      <c r="AEQ104" s="19"/>
      <c r="AER104" s="19"/>
      <c r="AES104" s="19"/>
      <c r="AET104" s="19"/>
      <c r="AEU104" s="19"/>
      <c r="AEV104" s="19"/>
      <c r="AEW104" s="19"/>
      <c r="AEX104" s="19"/>
      <c r="AEY104" s="19"/>
      <c r="AEZ104" s="19"/>
      <c r="AFA104" s="19"/>
      <c r="AFB104" s="19"/>
      <c r="AFC104" s="19"/>
      <c r="AFD104" s="19"/>
      <c r="AFE104" s="19"/>
      <c r="AFF104" s="19"/>
      <c r="AFG104" s="19"/>
      <c r="AFH104" s="19"/>
      <c r="AFI104" s="19"/>
      <c r="AFJ104" s="19"/>
      <c r="AFK104" s="19"/>
      <c r="AFL104" s="19"/>
      <c r="AFM104" s="19"/>
      <c r="AFN104" s="19"/>
      <c r="AFO104" s="19"/>
      <c r="AFP104" s="19"/>
      <c r="AFQ104" s="19"/>
      <c r="AFR104" s="19"/>
      <c r="AFS104" s="19"/>
      <c r="AFT104" s="19"/>
      <c r="AFU104" s="19"/>
      <c r="AFV104" s="19"/>
      <c r="AFW104" s="19"/>
      <c r="AFX104" s="19"/>
      <c r="AFY104" s="19"/>
      <c r="AFZ104" s="19"/>
      <c r="AGA104" s="19"/>
      <c r="AGB104" s="19"/>
      <c r="AGC104" s="19"/>
      <c r="AGD104" s="19"/>
      <c r="AGE104" s="19"/>
      <c r="AGF104" s="19"/>
      <c r="AGG104" s="19"/>
      <c r="AGH104" s="19"/>
      <c r="AGI104" s="19"/>
      <c r="AGJ104" s="19"/>
      <c r="AGK104" s="19"/>
      <c r="AGL104" s="19"/>
      <c r="AGM104" s="19"/>
      <c r="AGN104" s="19"/>
      <c r="AGO104" s="19"/>
      <c r="AGP104" s="19"/>
      <c r="AGQ104" s="19"/>
      <c r="AGR104" s="19"/>
      <c r="AGS104" s="19"/>
      <c r="AGT104" s="19"/>
      <c r="AGU104" s="19"/>
      <c r="AGV104" s="19"/>
      <c r="AGW104" s="19"/>
      <c r="AGX104" s="19"/>
      <c r="AGY104" s="19"/>
      <c r="AGZ104" s="19"/>
      <c r="AHA104" s="19"/>
      <c r="AHB104" s="19"/>
      <c r="AHC104" s="19"/>
      <c r="AHD104" s="19"/>
      <c r="AHE104" s="19"/>
      <c r="AHF104" s="19"/>
      <c r="AHG104" s="19"/>
      <c r="AHH104" s="19"/>
      <c r="AHI104" s="19"/>
      <c r="AHJ104" s="19"/>
      <c r="AHK104" s="19"/>
      <c r="AHL104" s="19"/>
      <c r="AHM104" s="19"/>
      <c r="AHN104" s="19"/>
      <c r="AHO104" s="19"/>
      <c r="AHP104" s="19"/>
      <c r="AHQ104" s="19"/>
      <c r="AHR104" s="19"/>
      <c r="AHS104" s="19"/>
      <c r="AHT104" s="19"/>
      <c r="AHU104" s="19"/>
      <c r="AHV104" s="19"/>
      <c r="AHW104" s="19"/>
      <c r="AHX104" s="19"/>
      <c r="AHY104" s="19"/>
      <c r="AHZ104" s="19"/>
      <c r="AIA104" s="19"/>
      <c r="AIB104" s="19"/>
      <c r="AIC104" s="19"/>
      <c r="AID104" s="19"/>
      <c r="AIE104" s="19"/>
      <c r="AIF104" s="19"/>
      <c r="AIG104" s="19"/>
      <c r="AIH104" s="19"/>
      <c r="AII104" s="19"/>
      <c r="AIJ104" s="19"/>
      <c r="AIK104" s="19"/>
      <c r="AIL104" s="19"/>
      <c r="AIM104" s="19"/>
      <c r="AIN104" s="19"/>
      <c r="AIO104" s="19"/>
      <c r="AIP104" s="19"/>
      <c r="AIQ104" s="19"/>
      <c r="AIR104" s="19"/>
      <c r="AIS104" s="19"/>
      <c r="AIT104" s="19"/>
      <c r="AIU104" s="19"/>
      <c r="AIV104" s="19"/>
      <c r="AIW104" s="19"/>
      <c r="AIX104" s="19"/>
      <c r="AIY104" s="19"/>
      <c r="AIZ104" s="19"/>
      <c r="AJA104" s="19"/>
      <c r="AJB104" s="19"/>
      <c r="AJC104" s="19"/>
      <c r="AJD104" s="19"/>
      <c r="AJE104" s="19"/>
      <c r="AJF104" s="19"/>
      <c r="AJG104" s="19"/>
      <c r="AJH104" s="19"/>
      <c r="AJI104" s="19"/>
      <c r="AJJ104" s="19"/>
      <c r="AJK104" s="19"/>
      <c r="AJL104" s="19"/>
      <c r="AJM104" s="19"/>
      <c r="AJN104" s="19"/>
      <c r="AJO104" s="19"/>
      <c r="AJP104" s="19"/>
      <c r="AJQ104" s="19"/>
      <c r="AJR104" s="19"/>
      <c r="AJS104" s="19"/>
      <c r="AJT104" s="19"/>
      <c r="AJU104" s="19"/>
      <c r="AJV104" s="19"/>
      <c r="AJW104" s="19"/>
      <c r="AJX104" s="19"/>
      <c r="AJY104" s="19"/>
      <c r="AJZ104" s="19"/>
      <c r="AKA104" s="19"/>
      <c r="AKB104" s="19"/>
      <c r="AKC104" s="19"/>
      <c r="AKD104" s="19"/>
      <c r="AKE104" s="19"/>
      <c r="AKF104" s="19"/>
      <c r="AKG104" s="19"/>
      <c r="AKH104" s="19"/>
      <c r="AKI104" s="19"/>
      <c r="AKJ104" s="19"/>
      <c r="AKK104" s="19"/>
      <c r="AKL104" s="19"/>
      <c r="AKM104" s="19"/>
      <c r="AKN104" s="19"/>
      <c r="AKO104" s="19"/>
      <c r="AKP104" s="19"/>
      <c r="AKQ104" s="19"/>
      <c r="AKR104" s="19"/>
      <c r="AKS104" s="19"/>
      <c r="AKT104" s="19"/>
      <c r="AKU104" s="19"/>
      <c r="AKV104" s="19"/>
      <c r="AKW104" s="19"/>
      <c r="AKX104" s="19"/>
      <c r="AKY104" s="19"/>
      <c r="AKZ104" s="19"/>
      <c r="ALA104" s="19"/>
      <c r="ALB104" s="19"/>
      <c r="ALC104" s="19"/>
      <c r="ALD104" s="19"/>
      <c r="ALE104" s="19"/>
      <c r="ALF104" s="19"/>
      <c r="ALG104" s="19"/>
      <c r="ALH104" s="19"/>
      <c r="ALI104" s="19"/>
      <c r="ALJ104" s="19"/>
      <c r="ALK104" s="19"/>
      <c r="ALL104" s="19"/>
      <c r="ALM104" s="19"/>
      <c r="ALN104" s="19"/>
      <c r="ALO104" s="19"/>
      <c r="ALP104" s="19"/>
      <c r="ALQ104" s="19"/>
      <c r="ALR104" s="19"/>
      <c r="ALS104" s="19"/>
      <c r="ALT104" s="19"/>
      <c r="ALU104" s="19"/>
      <c r="ALV104" s="19"/>
      <c r="ALW104" s="19"/>
      <c r="ALX104" s="19"/>
      <c r="ALY104" s="19"/>
      <c r="ALZ104" s="19"/>
      <c r="AMA104" s="19"/>
      <c r="AMB104" s="19"/>
      <c r="AMC104" s="19"/>
      <c r="AMD104" s="19"/>
      <c r="AME104" s="19"/>
      <c r="AMF104" s="19"/>
      <c r="AMG104" s="19"/>
      <c r="AMH104" s="19"/>
      <c r="AMI104" s="19"/>
      <c r="AMJ104" s="19"/>
      <c r="AMK104" s="19"/>
      <c r="AML104" s="19"/>
      <c r="AMM104" s="19"/>
      <c r="AMN104" s="19"/>
      <c r="AMO104" s="19"/>
      <c r="AMP104" s="19"/>
      <c r="AMQ104" s="19"/>
      <c r="AMR104" s="19"/>
      <c r="AMS104" s="19"/>
      <c r="AMT104" s="19"/>
      <c r="AMU104" s="19"/>
      <c r="AMV104" s="19"/>
      <c r="AMW104" s="19"/>
      <c r="AMX104" s="19"/>
      <c r="AMY104" s="19"/>
      <c r="AMZ104" s="19"/>
      <c r="ANA104" s="19"/>
      <c r="ANB104" s="19"/>
      <c r="ANC104" s="19"/>
      <c r="AND104" s="19"/>
      <c r="ANE104" s="19"/>
      <c r="ANF104" s="19"/>
      <c r="ANG104" s="19"/>
      <c r="ANH104" s="19"/>
      <c r="ANI104" s="19"/>
      <c r="ANJ104" s="19"/>
      <c r="ANK104" s="19"/>
      <c r="ANL104" s="19"/>
      <c r="ANM104" s="19"/>
      <c r="ANN104" s="19"/>
      <c r="ANO104" s="19"/>
      <c r="ANP104" s="19"/>
      <c r="ANQ104" s="639"/>
      <c r="ANR104" s="639"/>
      <c r="ANS104" s="19"/>
      <c r="ANT104" s="19"/>
      <c r="ANU104" s="19"/>
      <c r="ANV104" s="19"/>
      <c r="ANW104" s="19"/>
      <c r="ANX104" s="19"/>
      <c r="ANY104" s="19"/>
      <c r="ANZ104" s="19"/>
      <c r="AOA104" s="19"/>
      <c r="AOB104" s="19"/>
      <c r="AOC104" s="19"/>
      <c r="AOD104" s="19"/>
      <c r="AOE104" s="19"/>
      <c r="AOF104" s="19"/>
      <c r="AOG104" s="19"/>
      <c r="AOH104" s="19"/>
      <c r="AOI104" s="19"/>
      <c r="AOJ104" s="19"/>
      <c r="AOK104" s="19"/>
      <c r="AOL104" s="19"/>
      <c r="AOM104" s="19"/>
      <c r="AON104" s="19"/>
      <c r="AOO104" s="19"/>
      <c r="AOP104" s="19"/>
      <c r="AOQ104" s="19"/>
      <c r="AOR104" s="19"/>
      <c r="AOS104" s="19"/>
      <c r="AOT104" s="19"/>
      <c r="AOU104" s="19"/>
      <c r="AOV104" s="19"/>
      <c r="AOW104" s="19"/>
      <c r="AOX104" s="19"/>
      <c r="AOY104" s="19"/>
      <c r="AOZ104" s="19"/>
      <c r="APA104" s="19"/>
      <c r="APB104" s="19"/>
      <c r="APC104" s="19"/>
      <c r="APD104" s="19"/>
      <c r="APE104" s="19"/>
      <c r="APF104" s="19"/>
      <c r="APG104" s="19"/>
      <c r="APH104" s="19"/>
      <c r="API104" s="19"/>
      <c r="APJ104" s="19"/>
      <c r="APK104" s="19"/>
      <c r="APL104" s="19"/>
      <c r="APM104" s="19"/>
      <c r="APN104" s="19"/>
      <c r="APO104" s="19"/>
      <c r="APP104" s="19"/>
      <c r="APQ104" s="19"/>
      <c r="APR104" s="19"/>
      <c r="APS104" s="19"/>
      <c r="APT104" s="19"/>
      <c r="APU104" s="19"/>
      <c r="APV104" s="19"/>
      <c r="APW104" s="19"/>
      <c r="APX104" s="19"/>
      <c r="APY104" s="19"/>
      <c r="APZ104" s="19"/>
      <c r="AQA104" s="19"/>
      <c r="AQB104" s="19"/>
      <c r="AQC104" s="19"/>
      <c r="AQD104" s="19"/>
      <c r="AQE104" s="19"/>
      <c r="AQF104" s="19"/>
      <c r="AQG104" s="19"/>
      <c r="AQH104" s="19"/>
      <c r="AQI104" s="19"/>
      <c r="AQJ104" s="19"/>
      <c r="AQK104" s="19"/>
      <c r="AQL104" s="19"/>
      <c r="AQM104" s="19"/>
      <c r="AQN104" s="19"/>
      <c r="AQO104" s="19"/>
      <c r="AQP104" s="19"/>
      <c r="AQQ104" s="19"/>
      <c r="AQR104" s="19"/>
      <c r="AQS104" s="19"/>
      <c r="AQT104" s="19"/>
      <c r="AQU104" s="19"/>
      <c r="AQV104" s="19"/>
      <c r="AQW104" s="19"/>
      <c r="AQX104" s="19"/>
      <c r="AQY104" s="19"/>
      <c r="AQZ104" s="19"/>
      <c r="ARA104" s="19"/>
      <c r="ARB104" s="19"/>
      <c r="ARC104" s="19"/>
      <c r="ARD104" s="19"/>
      <c r="ARE104" s="19"/>
      <c r="ARF104" s="19"/>
      <c r="ARG104" s="19"/>
      <c r="ARH104" s="19"/>
      <c r="ARI104" s="19"/>
      <c r="ARJ104" s="19"/>
      <c r="ARK104" s="19"/>
      <c r="ARL104" s="19"/>
      <c r="ARM104" s="19"/>
      <c r="ARN104" s="19"/>
      <c r="ARO104" s="19"/>
      <c r="ARP104" s="19"/>
      <c r="ARQ104" s="19"/>
      <c r="ARR104" s="19"/>
      <c r="ARS104" s="19"/>
      <c r="ART104" s="19"/>
      <c r="ARU104" s="19"/>
      <c r="ARV104" s="19"/>
      <c r="ARW104" s="19"/>
      <c r="ARX104" s="19"/>
      <c r="ARY104" s="19"/>
      <c r="ARZ104" s="19"/>
      <c r="ASA104" s="19"/>
      <c r="ASB104" s="19"/>
      <c r="ASC104" s="19"/>
      <c r="ASD104" s="19"/>
      <c r="ASE104" s="19"/>
      <c r="ASF104" s="19"/>
      <c r="ASG104" s="19"/>
      <c r="ASH104" s="19"/>
      <c r="ASI104" s="19"/>
      <c r="ASJ104" s="19"/>
      <c r="ASK104" s="19"/>
      <c r="ASL104" s="19"/>
      <c r="ASM104" s="19"/>
      <c r="ASN104" s="19"/>
      <c r="ASO104" s="19"/>
      <c r="ASP104" s="19"/>
      <c r="ASQ104" s="19"/>
      <c r="ASR104" s="19"/>
      <c r="ASS104" s="19"/>
      <c r="AST104" s="19"/>
      <c r="ASU104" s="19"/>
      <c r="ASV104" s="19"/>
      <c r="ASW104" s="19"/>
      <c r="ASX104" s="19"/>
      <c r="ASY104" s="19"/>
      <c r="ASZ104" s="19"/>
      <c r="ATA104" s="19"/>
      <c r="ATB104" s="19"/>
      <c r="ATC104" s="19"/>
      <c r="ATD104" s="19"/>
      <c r="ATE104" s="19"/>
      <c r="ATF104" s="19"/>
      <c r="ATG104" s="19"/>
      <c r="ATH104" s="19"/>
      <c r="ATI104" s="19"/>
      <c r="ATJ104" s="19"/>
      <c r="ATK104" s="19"/>
      <c r="ATL104" s="19"/>
      <c r="ATM104" s="19"/>
      <c r="ATN104" s="19"/>
      <c r="ATO104" s="19"/>
      <c r="ATP104" s="19"/>
      <c r="ATQ104" s="19"/>
      <c r="ATR104" s="19"/>
      <c r="ATS104" s="19"/>
      <c r="ATT104" s="19"/>
      <c r="ATU104" s="19"/>
      <c r="ATV104" s="19"/>
      <c r="ATW104" s="19"/>
      <c r="ATX104" s="19"/>
      <c r="ATY104" s="19"/>
      <c r="ATZ104" s="19"/>
      <c r="AUA104" s="19"/>
      <c r="AUB104" s="19"/>
      <c r="AUC104" s="19"/>
      <c r="AUD104" s="19"/>
      <c r="AUE104" s="19"/>
      <c r="AUF104" s="19"/>
      <c r="AUG104" s="19"/>
      <c r="AUH104" s="19"/>
      <c r="AUI104" s="19"/>
      <c r="AUJ104" s="19"/>
      <c r="AUK104" s="19"/>
      <c r="AUL104" s="19"/>
      <c r="AUM104" s="19"/>
      <c r="AUN104" s="19"/>
      <c r="AUO104" s="19"/>
      <c r="AUP104" s="19"/>
      <c r="AUQ104" s="19"/>
      <c r="AUR104" s="19"/>
      <c r="AUS104" s="19"/>
      <c r="AUT104" s="19"/>
      <c r="AUU104" s="19"/>
      <c r="AUV104" s="19"/>
      <c r="AUW104" s="19"/>
      <c r="AUX104" s="19"/>
      <c r="AUY104" s="19"/>
      <c r="AUZ104" s="19"/>
      <c r="AVA104" s="19"/>
      <c r="AVB104" s="19"/>
      <c r="AVC104" s="19"/>
      <c r="AVD104" s="19"/>
      <c r="AVE104" s="19"/>
      <c r="AVF104" s="19"/>
      <c r="AVG104" s="19"/>
      <c r="AVH104" s="19"/>
      <c r="AVI104" s="19"/>
      <c r="AVJ104" s="19"/>
      <c r="AVK104" s="19"/>
      <c r="AVL104" s="19"/>
      <c r="AVM104" s="19"/>
      <c r="AVN104" s="19"/>
      <c r="AVO104" s="19"/>
      <c r="AVP104" s="19"/>
      <c r="AVQ104" s="19"/>
      <c r="AVR104" s="19"/>
      <c r="AVS104" s="19"/>
      <c r="AVT104" s="19"/>
      <c r="AVU104" s="19"/>
      <c r="AVV104" s="19"/>
      <c r="AVW104" s="19"/>
      <c r="AVX104" s="19"/>
      <c r="AVY104" s="19"/>
      <c r="AVZ104" s="19"/>
      <c r="AWA104" s="19"/>
      <c r="AWB104" s="19"/>
      <c r="AWC104" s="19"/>
      <c r="AWD104" s="19"/>
      <c r="AWE104" s="19"/>
      <c r="AWF104" s="19"/>
      <c r="AWG104" s="19"/>
      <c r="AWH104" s="19"/>
      <c r="AWI104" s="19"/>
      <c r="AWJ104" s="19"/>
      <c r="AWK104" s="19"/>
      <c r="AWL104" s="19"/>
      <c r="AWM104" s="19"/>
      <c r="AWN104" s="19"/>
      <c r="AWO104" s="19"/>
      <c r="AWP104" s="19"/>
      <c r="AWQ104" s="19"/>
      <c r="AWR104" s="19"/>
      <c r="AWS104" s="19"/>
      <c r="AWT104" s="19"/>
      <c r="AWU104" s="19"/>
      <c r="AWV104" s="19"/>
      <c r="AWW104" s="19"/>
      <c r="AWX104" s="19"/>
      <c r="AWY104" s="19"/>
      <c r="AWZ104" s="19"/>
      <c r="AXA104" s="19"/>
      <c r="AXB104" s="19"/>
      <c r="AXC104" s="19"/>
      <c r="AXD104" s="19"/>
      <c r="AXE104" s="19"/>
      <c r="AXF104" s="19"/>
      <c r="AXG104" s="19"/>
      <c r="AXH104" s="19"/>
      <c r="AXI104" s="19"/>
      <c r="AXJ104" s="19"/>
      <c r="AXK104" s="19"/>
      <c r="AXL104" s="19"/>
      <c r="AXM104" s="19"/>
      <c r="AXN104" s="19"/>
      <c r="AXO104" s="19"/>
      <c r="AXP104" s="19"/>
      <c r="AXQ104" s="19"/>
      <c r="AXR104" s="19"/>
      <c r="AXS104" s="19"/>
      <c r="AXT104" s="19"/>
      <c r="AXU104" s="19"/>
      <c r="AXV104" s="19"/>
      <c r="AXW104" s="19"/>
      <c r="AXX104" s="19"/>
      <c r="AXY104" s="19"/>
      <c r="AXZ104" s="19"/>
      <c r="AYA104" s="19"/>
      <c r="AYB104" s="19"/>
      <c r="AYC104" s="19"/>
      <c r="AYD104" s="19"/>
      <c r="AYE104" s="19"/>
      <c r="AYF104" s="19"/>
      <c r="AYG104" s="19"/>
      <c r="AYH104" s="19"/>
      <c r="AYI104" s="19"/>
      <c r="AYJ104" s="19"/>
      <c r="AYK104" s="19"/>
      <c r="AYL104" s="19"/>
      <c r="AYM104" s="19"/>
      <c r="AYN104" s="19"/>
      <c r="AYO104" s="19"/>
      <c r="AYP104" s="19"/>
      <c r="AYQ104" s="19"/>
      <c r="AYR104" s="19"/>
      <c r="AYS104" s="19"/>
      <c r="AYT104" s="19"/>
      <c r="AYU104" s="19"/>
      <c r="AYV104" s="19"/>
      <c r="AYW104" s="19"/>
      <c r="AYX104" s="19"/>
      <c r="AYY104" s="19"/>
      <c r="AYZ104" s="19"/>
      <c r="AZA104" s="19"/>
      <c r="AZB104" s="19"/>
      <c r="AZC104" s="19"/>
      <c r="AZD104" s="19"/>
      <c r="AZE104" s="19"/>
      <c r="AZF104" s="19"/>
      <c r="AZG104" s="19"/>
      <c r="AZH104" s="19"/>
      <c r="AZI104" s="19"/>
      <c r="AZJ104" s="19"/>
      <c r="AZK104" s="19"/>
      <c r="AZL104" s="19"/>
      <c r="AZM104" s="19"/>
      <c r="AZN104" s="19"/>
      <c r="AZO104" s="19"/>
      <c r="AZP104" s="19"/>
      <c r="AZQ104" s="19"/>
      <c r="AZR104" s="19"/>
      <c r="AZS104" s="19"/>
      <c r="AZT104" s="19"/>
      <c r="AZU104" s="19"/>
      <c r="AZV104" s="19"/>
      <c r="AZW104" s="19"/>
      <c r="AZX104" s="19"/>
      <c r="AZY104" s="19"/>
      <c r="AZZ104" s="19"/>
      <c r="BAA104" s="19"/>
      <c r="BAB104" s="19"/>
      <c r="BAC104" s="19"/>
      <c r="BAD104" s="19"/>
      <c r="BAE104" s="19"/>
      <c r="BAF104" s="19"/>
      <c r="BAG104" s="19"/>
      <c r="BAH104" s="19"/>
      <c r="BAI104" s="19"/>
      <c r="BAJ104" s="19"/>
      <c r="BAK104" s="19"/>
      <c r="BAL104" s="19"/>
      <c r="BAM104" s="19"/>
      <c r="BAN104" s="19"/>
      <c r="BAO104" s="19"/>
      <c r="BAP104" s="19"/>
      <c r="BAQ104" s="19"/>
      <c r="BAR104" s="19"/>
      <c r="BAS104" s="19"/>
      <c r="BAT104" s="19"/>
      <c r="BAU104" s="19"/>
      <c r="BAV104" s="19"/>
      <c r="BAW104" s="19"/>
      <c r="BAX104" s="19"/>
      <c r="BAY104" s="19"/>
      <c r="BAZ104" s="19"/>
      <c r="BBA104" s="19"/>
      <c r="BBB104" s="19"/>
      <c r="BBC104" s="19"/>
      <c r="BBD104" s="19"/>
      <c r="BBE104" s="19"/>
      <c r="BBF104" s="19"/>
      <c r="BBG104" s="19"/>
      <c r="BBH104" s="19"/>
      <c r="BBI104" s="19"/>
      <c r="BBJ104" s="19"/>
      <c r="BBK104" s="19"/>
      <c r="BBL104" s="19"/>
      <c r="BBM104" s="19"/>
      <c r="BBN104" s="19"/>
      <c r="BBO104" s="19"/>
      <c r="BBP104" s="19"/>
      <c r="BBQ104" s="19"/>
      <c r="BBR104" s="19"/>
      <c r="BBS104" s="19"/>
      <c r="BBT104" s="19"/>
      <c r="BBU104" s="19"/>
      <c r="BBV104" s="19"/>
      <c r="BBW104" s="19"/>
      <c r="BBX104" s="19"/>
      <c r="BBY104" s="19"/>
      <c r="BBZ104" s="19"/>
      <c r="BCA104" s="19"/>
      <c r="BCB104" s="19"/>
      <c r="BCC104" s="19"/>
      <c r="BCD104" s="19"/>
      <c r="BCE104" s="19"/>
      <c r="BCF104" s="19"/>
      <c r="BCG104" s="19"/>
      <c r="BCH104" s="19"/>
      <c r="BCI104" s="19"/>
      <c r="BCJ104" s="19"/>
      <c r="BCK104" s="19"/>
      <c r="BCL104" s="19"/>
      <c r="BCM104" s="19"/>
      <c r="BCN104" s="19"/>
      <c r="BCO104" s="19"/>
      <c r="BCP104" s="19"/>
      <c r="BCQ104" s="19"/>
      <c r="BCR104" s="19"/>
      <c r="BCS104" s="19"/>
      <c r="BCT104" s="19"/>
      <c r="BCU104" s="19"/>
      <c r="BCV104" s="19"/>
      <c r="BCW104" s="19"/>
      <c r="BCX104" s="19"/>
      <c r="BCY104" s="19"/>
      <c r="BCZ104" s="19"/>
      <c r="BDA104" s="19"/>
      <c r="BDB104" s="19"/>
      <c r="BDC104" s="19"/>
      <c r="BDD104" s="19"/>
      <c r="BDE104" s="19"/>
      <c r="BDF104" s="19"/>
      <c r="BDG104" s="19"/>
      <c r="BDH104" s="19"/>
      <c r="BDI104" s="19"/>
      <c r="BDJ104" s="19"/>
      <c r="BDK104" s="19"/>
      <c r="BDL104" s="19"/>
      <c r="BDM104" s="19"/>
      <c r="BDN104" s="19"/>
      <c r="BDO104" s="19"/>
      <c r="BDP104" s="19"/>
      <c r="BDQ104" s="19"/>
      <c r="BDR104" s="19"/>
      <c r="BDS104" s="19"/>
      <c r="BDT104" s="19"/>
      <c r="BDU104" s="19"/>
      <c r="BDV104" s="19"/>
      <c r="BDW104" s="19"/>
      <c r="BDX104" s="19"/>
      <c r="BDY104" s="19"/>
      <c r="BDZ104" s="19"/>
      <c r="BEA104" s="19"/>
      <c r="BEB104" s="19"/>
      <c r="BEC104" s="19"/>
      <c r="BED104" s="19"/>
      <c r="BEE104" s="19"/>
      <c r="BEF104" s="19"/>
      <c r="BEG104" s="19"/>
      <c r="BEH104" s="19"/>
      <c r="BEI104" s="19"/>
      <c r="BEJ104" s="19"/>
      <c r="BEK104" s="19"/>
      <c r="BEL104" s="19"/>
      <c r="BEM104" s="19"/>
      <c r="BEN104" s="19"/>
      <c r="BEO104" s="19"/>
      <c r="BEP104" s="19"/>
      <c r="BEQ104" s="19"/>
      <c r="BER104" s="19"/>
      <c r="BES104" s="19"/>
      <c r="BET104" s="19"/>
      <c r="BEU104" s="19"/>
      <c r="BEV104" s="19"/>
      <c r="BEW104" s="19"/>
      <c r="BEX104" s="19"/>
      <c r="BEY104" s="19"/>
      <c r="BEZ104" s="19"/>
      <c r="BFA104" s="19"/>
      <c r="BFB104" s="19"/>
      <c r="BFC104" s="19"/>
      <c r="BFD104" s="19"/>
      <c r="BFE104" s="19"/>
      <c r="BFF104" s="19"/>
      <c r="BFG104" s="19"/>
      <c r="BFH104" s="19"/>
      <c r="BFI104" s="19"/>
      <c r="BFJ104" s="19"/>
      <c r="BFK104" s="19"/>
      <c r="BFL104" s="19"/>
      <c r="BFM104" s="19"/>
      <c r="BFN104" s="19"/>
      <c r="BFO104" s="19"/>
      <c r="BFP104" s="19"/>
      <c r="BFQ104" s="19"/>
      <c r="BFR104" s="19"/>
      <c r="BFS104" s="19"/>
      <c r="BFT104" s="19"/>
      <c r="BFU104" s="19"/>
      <c r="BFV104" s="19"/>
      <c r="BFW104" s="19"/>
      <c r="BFX104" s="19"/>
      <c r="BFY104" s="19"/>
      <c r="BFZ104" s="19"/>
      <c r="BGA104" s="19"/>
      <c r="BGB104" s="19"/>
      <c r="BGC104" s="19"/>
      <c r="BGD104" s="19"/>
      <c r="BGE104" s="19"/>
      <c r="BGF104" s="19"/>
      <c r="BGG104" s="19"/>
      <c r="BGH104" s="19"/>
      <c r="BGI104" s="19"/>
      <c r="BGJ104" s="19"/>
      <c r="BGK104" s="19"/>
      <c r="BGL104" s="19"/>
      <c r="BGM104" s="19"/>
      <c r="BGN104" s="19"/>
      <c r="BGO104" s="19"/>
      <c r="BGP104" s="19"/>
      <c r="BGQ104" s="19"/>
      <c r="BGR104" s="19"/>
      <c r="BGS104" s="19"/>
      <c r="BGT104" s="19"/>
      <c r="BGU104" s="19"/>
      <c r="BGV104" s="19"/>
      <c r="BGW104" s="19"/>
      <c r="BGX104" s="19"/>
      <c r="BGY104" s="19"/>
      <c r="BGZ104" s="19"/>
      <c r="BHA104" s="19"/>
      <c r="BHB104" s="19"/>
      <c r="BHC104" s="19"/>
      <c r="BHD104" s="19"/>
      <c r="BHE104" s="19"/>
      <c r="BHF104" s="19"/>
      <c r="BHG104" s="19"/>
      <c r="BHH104" s="19"/>
      <c r="BHI104" s="19"/>
      <c r="BHJ104" s="19"/>
      <c r="BHK104" s="19"/>
      <c r="BHL104" s="19"/>
      <c r="BHM104" s="19"/>
      <c r="BHN104" s="19"/>
      <c r="BHO104" s="19"/>
      <c r="BHP104" s="19"/>
      <c r="BHQ104" s="19"/>
      <c r="BHR104" s="19"/>
      <c r="BHS104" s="19"/>
      <c r="BHT104" s="19"/>
      <c r="BHU104" s="19"/>
      <c r="BHV104" s="19"/>
      <c r="BHW104" s="19"/>
      <c r="BHX104" s="19"/>
      <c r="BHY104" s="19"/>
      <c r="BHZ104" s="19"/>
      <c r="BIA104" s="19"/>
      <c r="BIB104" s="19"/>
      <c r="BIC104" s="19"/>
      <c r="BID104" s="19"/>
      <c r="BIE104" s="19"/>
      <c r="BIF104" s="19"/>
      <c r="BIG104" s="19"/>
      <c r="BIH104" s="19"/>
      <c r="BII104" s="19"/>
      <c r="BIJ104" s="19"/>
      <c r="BIK104" s="19"/>
      <c r="BIL104" s="19"/>
      <c r="BIM104" s="19"/>
      <c r="BIN104" s="19"/>
      <c r="BIO104" s="19"/>
      <c r="BIP104" s="19"/>
      <c r="BIQ104" s="19"/>
      <c r="BIR104" s="19"/>
      <c r="BIS104" s="19"/>
      <c r="BIT104" s="19"/>
      <c r="BIU104" s="19"/>
      <c r="BIV104" s="19"/>
      <c r="BIW104" s="19"/>
      <c r="BIX104" s="19"/>
      <c r="BIY104" s="19"/>
      <c r="BIZ104" s="19"/>
      <c r="BJA104" s="19"/>
      <c r="BJB104" s="19"/>
      <c r="BJC104" s="19"/>
      <c r="BJD104" s="19"/>
      <c r="BJE104" s="19"/>
      <c r="BJF104" s="19"/>
      <c r="BJG104" s="19"/>
      <c r="BJH104" s="19"/>
      <c r="BJI104" s="19"/>
      <c r="BJJ104" s="19"/>
      <c r="BJK104" s="19"/>
      <c r="BJL104" s="19"/>
      <c r="BJM104" s="19"/>
      <c r="BJN104" s="19"/>
      <c r="BJO104" s="19"/>
      <c r="BJP104" s="19"/>
      <c r="BJQ104" s="19"/>
      <c r="BJR104" s="19"/>
      <c r="BJS104" s="19"/>
      <c r="BJT104" s="19"/>
      <c r="BJU104" s="19"/>
      <c r="BJV104" s="19"/>
      <c r="BJW104" s="19"/>
      <c r="BJX104" s="19"/>
      <c r="BJY104" s="19"/>
      <c r="BJZ104" s="19"/>
      <c r="BKA104" s="19"/>
      <c r="BKB104" s="19"/>
      <c r="BKC104" s="19"/>
      <c r="BKD104" s="19"/>
      <c r="BKE104" s="19"/>
      <c r="BKF104" s="19"/>
      <c r="BKG104" s="19"/>
      <c r="BKH104" s="19"/>
      <c r="BKI104" s="19"/>
      <c r="BKJ104" s="19"/>
      <c r="BKK104" s="19"/>
      <c r="BKL104" s="19"/>
      <c r="BKM104" s="19"/>
      <c r="BKN104" s="19"/>
      <c r="BKO104" s="19"/>
      <c r="BKP104" s="19"/>
      <c r="BKQ104" s="19"/>
      <c r="BKR104" s="19"/>
      <c r="BKS104" s="19"/>
      <c r="BKT104" s="19"/>
      <c r="BKU104" s="19"/>
      <c r="BKV104" s="19"/>
      <c r="BKW104" s="19"/>
      <c r="BKX104" s="19"/>
      <c r="BKY104" s="19"/>
      <c r="BKZ104" s="19"/>
      <c r="BLA104" s="19"/>
      <c r="BLB104" s="19"/>
      <c r="BLC104" s="19"/>
      <c r="BLD104" s="19"/>
      <c r="BLE104" s="19"/>
      <c r="BLF104" s="19"/>
      <c r="BLG104" s="19"/>
      <c r="BLH104" s="19"/>
      <c r="BLI104" s="19"/>
      <c r="BLJ104" s="19"/>
      <c r="BLK104" s="19"/>
      <c r="BLL104" s="19"/>
      <c r="BLM104" s="19"/>
      <c r="BLN104" s="19"/>
      <c r="BLO104" s="19"/>
      <c r="BLP104" s="19"/>
      <c r="BLQ104" s="19"/>
      <c r="BLR104" s="19"/>
      <c r="BLS104" s="19"/>
      <c r="BLT104" s="19"/>
      <c r="BLU104" s="19"/>
      <c r="BLV104" s="19"/>
      <c r="BLW104" s="19"/>
      <c r="BLX104" s="19"/>
      <c r="BLY104" s="19"/>
      <c r="BLZ104" s="19"/>
      <c r="BMA104" s="19"/>
      <c r="BMB104" s="19"/>
      <c r="BMC104" s="19"/>
      <c r="BMD104" s="19"/>
      <c r="BME104" s="19"/>
      <c r="BMF104" s="19"/>
      <c r="BMG104" s="19"/>
      <c r="BMH104" s="19"/>
      <c r="BMI104" s="19"/>
      <c r="BMJ104" s="19"/>
      <c r="BMK104" s="19"/>
      <c r="BML104" s="19"/>
      <c r="BMM104" s="19"/>
      <c r="BMN104" s="19"/>
      <c r="BMO104" s="19"/>
      <c r="BMP104" s="19"/>
      <c r="BMQ104" s="19"/>
      <c r="BMR104" s="19"/>
      <c r="BMS104" s="19"/>
      <c r="BMT104" s="19"/>
      <c r="BMU104" s="19"/>
      <c r="BMV104" s="19"/>
      <c r="BMW104" s="19"/>
      <c r="BMX104" s="19"/>
      <c r="BMY104" s="19"/>
      <c r="BMZ104" s="19"/>
      <c r="BNA104" s="19"/>
      <c r="BNB104" s="19"/>
      <c r="BNC104" s="19"/>
      <c r="BND104" s="19"/>
      <c r="BNE104" s="19"/>
      <c r="BNF104" s="19"/>
      <c r="BNG104" s="19"/>
      <c r="BNH104" s="19"/>
      <c r="BNI104" s="19"/>
      <c r="BNJ104" s="19"/>
      <c r="BNK104" s="19"/>
      <c r="BNL104" s="19"/>
      <c r="BNM104" s="19"/>
      <c r="BNN104" s="19"/>
      <c r="BNO104" s="19"/>
      <c r="BNP104" s="19"/>
      <c r="BNQ104" s="19"/>
      <c r="BNR104" s="19"/>
      <c r="BNS104" s="19"/>
      <c r="BNT104" s="19"/>
      <c r="BNU104" s="19"/>
      <c r="BNV104" s="19"/>
      <c r="BNW104" s="19"/>
      <c r="BNX104" s="19"/>
      <c r="BNY104" s="19"/>
      <c r="BNZ104" s="19"/>
      <c r="BOA104" s="19"/>
      <c r="BOB104" s="19"/>
      <c r="BOC104" s="19"/>
      <c r="BOD104" s="19"/>
      <c r="BOE104" s="19"/>
      <c r="BOF104" s="19"/>
      <c r="BOG104" s="19"/>
      <c r="BOH104" s="19"/>
      <c r="BOI104" s="19"/>
      <c r="BOJ104" s="19"/>
      <c r="BOK104" s="19"/>
      <c r="BOL104" s="19"/>
      <c r="BOM104" s="19"/>
      <c r="BON104" s="19"/>
      <c r="BOO104" s="19"/>
      <c r="BOP104" s="19"/>
      <c r="BOQ104" s="19"/>
      <c r="BOR104" s="19"/>
      <c r="BOS104" s="19"/>
      <c r="BOT104" s="19"/>
      <c r="BOU104" s="19"/>
      <c r="BOV104" s="19"/>
      <c r="BOW104" s="19"/>
      <c r="BOX104" s="19"/>
      <c r="BOY104" s="19"/>
      <c r="BOZ104" s="19"/>
      <c r="BPA104" s="19"/>
      <c r="BPB104" s="19"/>
      <c r="BPC104" s="19"/>
      <c r="BPD104" s="19"/>
      <c r="BPE104" s="19"/>
      <c r="BPF104" s="19"/>
      <c r="BPG104" s="19"/>
      <c r="BPH104" s="19"/>
      <c r="BPI104" s="19"/>
      <c r="BPJ104" s="19"/>
      <c r="BPK104" s="19"/>
      <c r="BPL104" s="19"/>
      <c r="BPM104" s="19"/>
      <c r="BPN104" s="19"/>
      <c r="BPO104" s="19"/>
      <c r="BPP104" s="19"/>
      <c r="BPQ104" s="19"/>
      <c r="BPR104" s="19"/>
      <c r="BPS104" s="19"/>
      <c r="BPT104" s="19"/>
      <c r="BPU104" s="19"/>
      <c r="BPV104" s="19"/>
      <c r="BPW104" s="19"/>
      <c r="BPX104" s="19"/>
      <c r="BPY104" s="19"/>
      <c r="BPZ104" s="19"/>
      <c r="BQA104" s="19"/>
      <c r="BQB104" s="19"/>
      <c r="BQC104" s="19"/>
      <c r="BQD104" s="19"/>
      <c r="BQE104" s="19"/>
      <c r="BQF104" s="19"/>
      <c r="BQG104" s="19"/>
      <c r="BQH104" s="19"/>
      <c r="BQI104" s="19"/>
      <c r="BQJ104" s="19"/>
      <c r="BQK104" s="19"/>
      <c r="BQL104" s="19"/>
      <c r="BQM104" s="19"/>
      <c r="BQN104" s="19"/>
      <c r="BQO104" s="19"/>
      <c r="BQP104" s="19"/>
      <c r="BQQ104" s="19"/>
      <c r="BQR104" s="19"/>
      <c r="BQS104" s="19"/>
      <c r="BQT104" s="19"/>
      <c r="BQU104" s="19"/>
      <c r="BQV104" s="19"/>
      <c r="BQW104" s="19"/>
      <c r="BQX104" s="19"/>
      <c r="BQY104" s="19"/>
      <c r="BQZ104" s="19"/>
      <c r="BRA104" s="19"/>
      <c r="BRB104" s="19"/>
      <c r="BRC104" s="19"/>
      <c r="BRD104" s="19"/>
      <c r="BRE104" s="19"/>
      <c r="BRF104" s="19"/>
      <c r="BRG104" s="19"/>
      <c r="BRH104" s="19"/>
      <c r="BRI104" s="19"/>
      <c r="BRJ104" s="19"/>
      <c r="BRK104" s="19"/>
      <c r="BRL104" s="19"/>
      <c r="BRM104" s="19"/>
      <c r="BRN104" s="19"/>
      <c r="BRO104" s="19"/>
      <c r="BRP104" s="19"/>
      <c r="BRQ104" s="19"/>
      <c r="BRR104" s="19"/>
      <c r="BRS104" s="19"/>
      <c r="BRT104" s="19"/>
      <c r="BRU104" s="19"/>
      <c r="BRV104" s="19"/>
      <c r="BRW104" s="19"/>
      <c r="BRX104" s="19"/>
      <c r="BRY104" s="19"/>
      <c r="BRZ104" s="19"/>
      <c r="BSA104" s="19"/>
      <c r="BSB104" s="19"/>
      <c r="BSC104" s="19"/>
      <c r="BSD104" s="19"/>
      <c r="BSE104" s="19"/>
      <c r="BSF104" s="19"/>
      <c r="BSG104" s="19"/>
      <c r="BSH104" s="19"/>
      <c r="BSI104" s="19"/>
      <c r="BSJ104" s="19"/>
      <c r="BSK104" s="19"/>
      <c r="BSL104" s="19"/>
      <c r="BSM104" s="19"/>
      <c r="BSN104" s="19"/>
      <c r="BSO104" s="19"/>
      <c r="BSP104" s="19"/>
      <c r="BSQ104" s="19"/>
      <c r="BSR104" s="19"/>
      <c r="BSS104" s="19"/>
      <c r="BST104" s="19"/>
      <c r="BSU104" s="19"/>
      <c r="BSV104" s="19"/>
      <c r="BSW104" s="19"/>
      <c r="BSX104" s="19"/>
      <c r="BSY104" s="19"/>
      <c r="BSZ104" s="19"/>
      <c r="BTA104" s="19"/>
      <c r="BTB104" s="19"/>
      <c r="BTC104" s="19"/>
      <c r="BTD104" s="19"/>
      <c r="BTE104" s="19"/>
      <c r="BTF104" s="19"/>
      <c r="BTG104" s="19"/>
      <c r="BTH104" s="19"/>
      <c r="BTI104" s="19"/>
      <c r="BTJ104" s="19"/>
      <c r="BTK104" s="19"/>
      <c r="BTL104" s="19"/>
      <c r="BTM104" s="19"/>
      <c r="BTN104" s="19"/>
      <c r="BTO104" s="19"/>
      <c r="BTP104" s="19"/>
      <c r="BTQ104" s="19"/>
      <c r="BTR104" s="19"/>
      <c r="BTS104" s="19"/>
      <c r="BTT104" s="19"/>
      <c r="BTU104" s="19"/>
      <c r="BTV104" s="19"/>
      <c r="BTW104" s="19"/>
      <c r="BTX104" s="19"/>
      <c r="BTY104" s="19"/>
      <c r="BTZ104" s="19"/>
      <c r="BUA104" s="19"/>
      <c r="BUB104" s="19"/>
      <c r="BUC104" s="19"/>
      <c r="BUD104" s="19"/>
      <c r="BUE104" s="19"/>
      <c r="BUF104" s="19"/>
      <c r="BUG104" s="19"/>
      <c r="BUH104" s="19"/>
      <c r="BUI104" s="19"/>
      <c r="BUJ104" s="19"/>
      <c r="BUK104" s="19"/>
      <c r="BUL104" s="19"/>
      <c r="BUM104" s="19"/>
      <c r="BUN104" s="19"/>
      <c r="BUO104" s="19"/>
      <c r="BUP104" s="19"/>
      <c r="BUQ104" s="19"/>
      <c r="BUR104" s="19"/>
      <c r="BUS104" s="19"/>
      <c r="BUT104" s="19"/>
      <c r="BUU104" s="19"/>
      <c r="BUV104" s="19"/>
      <c r="BUW104" s="19"/>
      <c r="BUX104" s="19"/>
      <c r="BUY104" s="19"/>
      <c r="BUZ104" s="19"/>
      <c r="BVA104" s="19"/>
      <c r="BVB104" s="19"/>
      <c r="BVC104" s="19"/>
      <c r="BVD104" s="19"/>
      <c r="BVE104" s="19"/>
      <c r="BVF104" s="19"/>
      <c r="BVG104" s="19"/>
      <c r="BVH104" s="19"/>
      <c r="BVI104" s="19"/>
      <c r="BVJ104" s="19"/>
      <c r="BVK104" s="19"/>
      <c r="BVL104" s="19"/>
      <c r="BVM104" s="19"/>
      <c r="BVN104" s="19"/>
      <c r="BVO104" s="19"/>
      <c r="BVP104" s="19"/>
      <c r="BVQ104" s="19"/>
      <c r="BVR104" s="19"/>
      <c r="BVS104" s="19"/>
      <c r="BVT104" s="19"/>
      <c r="BVU104" s="19"/>
      <c r="BVV104" s="19"/>
      <c r="BVW104" s="19"/>
      <c r="BVX104" s="19"/>
      <c r="BVY104" s="19"/>
      <c r="BVZ104" s="19"/>
      <c r="BWA104" s="19"/>
      <c r="BWB104" s="19"/>
      <c r="BWC104" s="19"/>
      <c r="BWD104" s="19"/>
      <c r="BWE104" s="19"/>
      <c r="BWF104" s="19"/>
      <c r="BWG104" s="19"/>
      <c r="BWH104" s="19"/>
      <c r="BWI104" s="19"/>
      <c r="BWJ104" s="19"/>
      <c r="BWK104" s="19"/>
      <c r="BWL104" s="19"/>
      <c r="BWM104" s="19"/>
      <c r="BWN104" s="19"/>
      <c r="BWO104" s="19"/>
      <c r="BWP104" s="19"/>
      <c r="BWQ104" s="19"/>
      <c r="BWR104" s="19"/>
      <c r="BWS104" s="19"/>
      <c r="BWT104" s="19"/>
      <c r="BWU104" s="19"/>
      <c r="BWV104" s="19"/>
      <c r="BWW104" s="19"/>
      <c r="BWX104" s="19"/>
      <c r="BWY104" s="19"/>
      <c r="BWZ104" s="19"/>
      <c r="BXA104" s="19"/>
      <c r="BXB104" s="19"/>
      <c r="BXC104" s="19"/>
      <c r="BXD104" s="19"/>
      <c r="BXE104" s="19"/>
      <c r="BXF104" s="19"/>
      <c r="BXG104" s="19"/>
      <c r="BXH104" s="19"/>
      <c r="BXI104" s="19"/>
      <c r="BXJ104" s="19"/>
      <c r="BXK104" s="19"/>
      <c r="BXL104" s="19"/>
      <c r="BXM104" s="19"/>
      <c r="BXN104" s="19"/>
      <c r="BXO104" s="19"/>
      <c r="BXP104" s="19"/>
      <c r="BXQ104" s="19"/>
      <c r="BXR104" s="19"/>
      <c r="BXS104" s="19"/>
      <c r="BXT104" s="19"/>
      <c r="BXU104" s="19"/>
      <c r="BXV104" s="19"/>
      <c r="BXW104" s="19"/>
      <c r="BXX104" s="19"/>
      <c r="BXY104" s="19"/>
      <c r="BXZ104" s="19"/>
      <c r="BYA104" s="19"/>
      <c r="BYB104" s="19"/>
      <c r="BYC104" s="19"/>
      <c r="BYD104" s="19"/>
      <c r="BYE104" s="19"/>
      <c r="BYF104" s="19"/>
      <c r="BYG104" s="19"/>
      <c r="BYH104" s="19"/>
      <c r="BYI104" s="19"/>
      <c r="BYJ104" s="19"/>
      <c r="BYK104" s="19"/>
      <c r="BYL104" s="19"/>
      <c r="BYM104" s="19"/>
      <c r="BYN104" s="19"/>
      <c r="BYO104" s="19"/>
      <c r="BYP104" s="19"/>
      <c r="BYQ104" s="19"/>
      <c r="BYR104" s="19"/>
      <c r="BYS104" s="19"/>
      <c r="BYT104" s="19"/>
      <c r="BYU104" s="19"/>
      <c r="BYV104" s="19"/>
      <c r="BYW104" s="19"/>
      <c r="BYX104" s="19"/>
      <c r="BYY104" s="19"/>
      <c r="BYZ104" s="19"/>
      <c r="BZA104" s="19"/>
      <c r="BZB104" s="19"/>
      <c r="BZC104" s="19"/>
      <c r="BZD104" s="19"/>
      <c r="BZE104" s="19"/>
      <c r="BZF104" s="19"/>
      <c r="BZG104" s="19"/>
      <c r="BZH104" s="19"/>
      <c r="BZI104" s="19"/>
      <c r="BZJ104" s="19"/>
      <c r="BZK104" s="19"/>
      <c r="BZL104" s="19"/>
      <c r="BZM104" s="19"/>
      <c r="BZN104" s="19"/>
      <c r="BZO104" s="19"/>
      <c r="BZP104" s="19"/>
      <c r="BZQ104" s="19"/>
      <c r="BZR104" s="19"/>
      <c r="BZS104" s="19"/>
      <c r="BZT104" s="19"/>
      <c r="BZU104" s="19"/>
      <c r="BZV104" s="19"/>
      <c r="BZW104" s="19"/>
      <c r="BZX104" s="19"/>
      <c r="BZY104" s="19"/>
      <c r="BZZ104" s="19"/>
      <c r="CAA104" s="19"/>
      <c r="CAB104" s="19"/>
      <c r="CAC104" s="19"/>
      <c r="CAD104" s="19"/>
      <c r="CAE104" s="19"/>
      <c r="CAF104" s="19"/>
      <c r="CAG104" s="19"/>
      <c r="CAH104" s="19"/>
      <c r="CAI104" s="19"/>
      <c r="CAJ104" s="19"/>
      <c r="CAK104" s="19"/>
      <c r="CAL104" s="19"/>
      <c r="CAM104" s="19"/>
      <c r="CAN104" s="19"/>
      <c r="CAO104" s="19"/>
      <c r="CAP104" s="19"/>
      <c r="CAQ104" s="19"/>
      <c r="CAR104" s="19"/>
      <c r="CAS104" s="19"/>
      <c r="CAT104" s="19"/>
      <c r="CAU104" s="19"/>
      <c r="CAV104" s="19"/>
      <c r="CAW104" s="19"/>
      <c r="CAX104" s="19"/>
      <c r="CAY104" s="19"/>
      <c r="CAZ104" s="19"/>
      <c r="CBF104" s="19"/>
      <c r="CBG104" s="19"/>
      <c r="CBH104" s="19"/>
      <c r="CBI104" s="19"/>
      <c r="CBJ104" s="19"/>
      <c r="CBK104" s="19"/>
      <c r="CBL104" s="19"/>
      <c r="CBM104" s="19"/>
      <c r="CBN104" s="19"/>
      <c r="CBO104" s="19"/>
      <c r="CBP104" s="19"/>
      <c r="CBQ104" s="19"/>
      <c r="CBR104" s="19"/>
      <c r="CBS104" s="19"/>
      <c r="CBT104" s="19"/>
      <c r="CBU104" s="19"/>
      <c r="CBV104" s="19"/>
      <c r="CBW104" s="19"/>
      <c r="CBX104" s="19"/>
      <c r="CBY104" s="19"/>
      <c r="CBZ104" s="19"/>
      <c r="CCA104" s="19"/>
      <c r="CCB104" s="19"/>
      <c r="CCC104" s="19"/>
      <c r="CCD104" s="19"/>
      <c r="CCE104" s="19"/>
      <c r="CCF104" s="19"/>
      <c r="CCG104" s="19"/>
      <c r="CCH104" s="19"/>
      <c r="CCI104" s="19"/>
      <c r="CCJ104" s="19"/>
      <c r="CCK104" s="19"/>
      <c r="CCL104" s="19"/>
      <c r="CCM104" s="19"/>
      <c r="CCN104" s="19"/>
      <c r="CCO104" s="19"/>
      <c r="CCP104" s="19"/>
      <c r="CCQ104" s="19"/>
      <c r="CCR104" s="19"/>
      <c r="CCS104" s="19"/>
      <c r="CCT104" s="19"/>
      <c r="CCU104" s="19"/>
      <c r="CCV104" s="19"/>
      <c r="CCW104" s="19"/>
      <c r="CCX104" s="19"/>
      <c r="CCY104" s="19"/>
      <c r="CCZ104" s="19"/>
      <c r="CDA104" s="19"/>
      <c r="CDB104" s="19"/>
      <c r="CDC104" s="19"/>
      <c r="CDD104" s="19"/>
      <c r="CDE104" s="19"/>
      <c r="CDF104" s="19"/>
      <c r="CDG104" s="19"/>
      <c r="CDH104" s="19"/>
      <c r="CDI104" s="19"/>
      <c r="CDJ104" s="19"/>
      <c r="CDK104" s="19"/>
      <c r="CDL104" s="19"/>
      <c r="CDM104" s="19"/>
      <c r="CDN104" s="19"/>
      <c r="CDO104" s="19"/>
      <c r="CDP104" s="19"/>
      <c r="CDQ104" s="19"/>
      <c r="CDR104" s="19"/>
      <c r="CDS104" s="19"/>
      <c r="CDT104" s="19"/>
      <c r="CDU104" s="19"/>
      <c r="CDV104" s="19"/>
      <c r="CDW104" s="19"/>
      <c r="CDX104" s="19"/>
      <c r="CDY104" s="19"/>
      <c r="CDZ104" s="19"/>
      <c r="CEA104" s="19"/>
      <c r="CEB104" s="19"/>
      <c r="CEC104" s="19"/>
      <c r="CED104" s="19"/>
      <c r="CEE104" s="19"/>
    </row>
    <row r="105" spans="1:2297 10881:10881" ht="16.05" customHeight="1">
      <c r="A105" s="19" t="s">
        <v>692</v>
      </c>
      <c r="B105" s="19" t="s">
        <v>742</v>
      </c>
      <c r="C105" s="643"/>
      <c r="D105" s="428" t="str">
        <f t="shared" ca="1" si="279"/>
        <v>Senegal</v>
      </c>
      <c r="E105" s="643" t="s">
        <v>455</v>
      </c>
      <c r="F105" s="643" t="s">
        <v>740</v>
      </c>
      <c r="G105" s="424" t="s">
        <v>3</v>
      </c>
      <c r="H105" s="624">
        <f t="shared" ca="1" si="280"/>
        <v>12</v>
      </c>
      <c r="I105" s="10"/>
      <c r="J105" s="19">
        <v>77</v>
      </c>
      <c r="K105" s="439">
        <v>46203.75</v>
      </c>
      <c r="L105" s="19" t="s">
        <v>708</v>
      </c>
      <c r="M105" s="19" t="str">
        <f t="shared" ca="1" si="281"/>
        <v>Francia</v>
      </c>
      <c r="N105" s="19"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9"/>
      <c r="P105" s="19"/>
      <c r="Q105" s="19"/>
      <c r="R105" s="19"/>
      <c r="S105" s="19"/>
      <c r="T105" s="19"/>
      <c r="U105" s="19"/>
      <c r="V105" s="20"/>
      <c r="W105" s="671"/>
      <c r="X105" s="27">
        <f ca="1">Horarios!C105</f>
        <v>46203.791666666664</v>
      </c>
      <c r="Y105" s="28">
        <f ca="1">Horarios!C105</f>
        <v>46203.791666666664</v>
      </c>
      <c r="Z105" s="289">
        <f t="shared" si="286"/>
        <v>78</v>
      </c>
      <c r="AA105" s="96" t="str">
        <f t="shared" ca="1" si="282"/>
        <v>Ecuador</v>
      </c>
      <c r="AB105" s="97"/>
      <c r="AC105" s="100">
        <v>0</v>
      </c>
      <c r="AD105" s="100">
        <v>1</v>
      </c>
      <c r="AE105" s="97"/>
      <c r="AF105" s="99" t="str">
        <f t="shared" ca="1" si="283"/>
        <v>Senegal</v>
      </c>
      <c r="AG105" s="339">
        <f t="shared" ca="1" si="284"/>
        <v>1</v>
      </c>
      <c r="AH105" s="204">
        <v>78</v>
      </c>
      <c r="AI105" s="191">
        <v>4</v>
      </c>
      <c r="AJ105" s="46">
        <v>4</v>
      </c>
      <c r="AK105" s="40" t="str">
        <f ca="1">IFERROR(INDEX(Equipos!$L$2:$L$49,MATCH(WORLDCUP!AL105,Equipos!$K$2:$K$49,0)),"")</f>
        <v>🇯🇵</v>
      </c>
      <c r="AL105" s="93" t="str">
        <f t="shared" ca="1" si="287"/>
        <v>Japón</v>
      </c>
      <c r="AM105" s="334">
        <f t="shared" ca="1" si="288"/>
        <v>3</v>
      </c>
      <c r="AN105" s="94">
        <f t="shared" ca="1" si="288"/>
        <v>3</v>
      </c>
      <c r="AO105" s="94">
        <f t="shared" ca="1" si="288"/>
        <v>1</v>
      </c>
      <c r="AP105" s="94">
        <f t="shared" ca="1" si="288"/>
        <v>0</v>
      </c>
      <c r="AQ105" s="94">
        <f t="shared" ca="1" si="288"/>
        <v>2</v>
      </c>
      <c r="AR105" s="94">
        <f t="shared" ca="1" si="288"/>
        <v>1</v>
      </c>
      <c r="AS105" s="94">
        <f t="shared" ca="1" si="288"/>
        <v>2</v>
      </c>
      <c r="AT105" s="95">
        <f t="shared" ca="1" si="288"/>
        <v>-1</v>
      </c>
      <c r="AU105" s="342">
        <f t="shared" ca="1" si="289"/>
        <v>1</v>
      </c>
      <c r="AV105" s="191" t="str">
        <f t="shared" ca="1" si="290"/>
        <v>Japón</v>
      </c>
      <c r="AW105" s="224"/>
      <c r="AX105" s="178"/>
      <c r="AY105" s="285"/>
      <c r="AZ105" s="288" t="str">
        <f t="shared" ca="1" si="291"/>
        <v>1D - 3B</v>
      </c>
      <c r="BA105" s="155"/>
      <c r="BB105" s="19"/>
      <c r="BD105" s="19"/>
      <c r="BE105" s="19"/>
      <c r="BF105" s="19" t="str">
        <f t="shared" ca="1" si="292"/>
        <v>C</v>
      </c>
      <c r="BG105" s="19">
        <f t="shared" ca="1" si="293"/>
        <v>3</v>
      </c>
      <c r="BH105" s="19"/>
      <c r="BI105" s="10">
        <v>3</v>
      </c>
      <c r="BJ105" s="19" t="str">
        <f t="shared" ca="1" si="294"/>
        <v>C</v>
      </c>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19"/>
      <c r="MI105" s="19"/>
      <c r="MJ105" s="19"/>
      <c r="MK105" s="19"/>
      <c r="ML105" s="19"/>
      <c r="MM105" s="19"/>
      <c r="MN105" s="19"/>
      <c r="MO105" s="19"/>
      <c r="MP105" s="19"/>
      <c r="MQ105" s="19"/>
      <c r="MR105" s="19"/>
      <c r="MS105" s="19"/>
      <c r="MT105" s="19"/>
      <c r="MU105" s="19"/>
      <c r="MV105" s="19"/>
      <c r="MW105" s="19"/>
      <c r="MX105" s="19"/>
      <c r="MY105" s="19"/>
      <c r="MZ105" s="19"/>
      <c r="NA105" s="19"/>
      <c r="NB105" s="19"/>
      <c r="NC105" s="19"/>
      <c r="ND105" s="19"/>
      <c r="NE105" s="19"/>
      <c r="NF105" s="19"/>
      <c r="NG105" s="19"/>
      <c r="NH105" s="19"/>
      <c r="NI105" s="19"/>
      <c r="NJ105" s="19"/>
      <c r="NK105" s="19"/>
      <c r="NL105" s="19"/>
      <c r="NM105" s="19"/>
      <c r="NN105" s="19"/>
      <c r="NO105" s="19"/>
      <c r="NP105" s="19"/>
      <c r="NQ105" s="19"/>
      <c r="NR105" s="19"/>
      <c r="NS105" s="19"/>
      <c r="NT105" s="19"/>
      <c r="NU105" s="19"/>
      <c r="NV105" s="19"/>
      <c r="NW105" s="19"/>
      <c r="NX105" s="19"/>
      <c r="NY105" s="19"/>
      <c r="NZ105" s="19"/>
      <c r="OA105" s="19"/>
      <c r="OB105" s="19"/>
      <c r="OC105" s="19"/>
      <c r="OD105" s="19"/>
      <c r="OE105" s="19"/>
      <c r="OF105" s="19"/>
      <c r="OG105" s="19"/>
      <c r="OH105" s="19"/>
      <c r="OI105" s="19"/>
      <c r="OJ105" s="19"/>
      <c r="OK105" s="19"/>
      <c r="OL105" s="19"/>
      <c r="OM105" s="19"/>
      <c r="ON105" s="19"/>
      <c r="OO105" s="19"/>
      <c r="OP105" s="19"/>
      <c r="OQ105" s="19"/>
      <c r="OR105" s="19"/>
      <c r="OS105" s="19"/>
      <c r="OT105" s="19"/>
      <c r="OU105" s="19"/>
      <c r="OV105" s="19"/>
      <c r="OW105" s="19"/>
      <c r="OX105" s="19"/>
      <c r="OY105" s="19"/>
      <c r="OZ105" s="19"/>
      <c r="PA105" s="19"/>
      <c r="PB105" s="19"/>
      <c r="PC105" s="19"/>
      <c r="PD105" s="19"/>
      <c r="PE105" s="19"/>
      <c r="PF105" s="19"/>
      <c r="PG105" s="19"/>
      <c r="PH105" s="19"/>
      <c r="PI105" s="19"/>
      <c r="PJ105" s="19"/>
      <c r="PK105" s="19"/>
      <c r="PL105" s="19"/>
      <c r="PM105" s="19"/>
      <c r="PN105" s="19"/>
      <c r="PO105" s="19"/>
      <c r="PP105" s="19"/>
      <c r="PQ105" s="19"/>
      <c r="PR105" s="19"/>
      <c r="PS105" s="19"/>
      <c r="PT105" s="19"/>
      <c r="PU105" s="19"/>
      <c r="PV105" s="19"/>
      <c r="PW105" s="19"/>
      <c r="PX105" s="19"/>
      <c r="PY105" s="19"/>
      <c r="PZ105" s="19"/>
      <c r="QA105" s="19"/>
      <c r="QB105" s="19"/>
      <c r="QC105" s="19"/>
      <c r="QD105" s="19"/>
      <c r="QE105" s="19"/>
      <c r="QF105" s="19"/>
      <c r="QG105" s="19"/>
      <c r="QH105" s="19"/>
      <c r="QI105" s="19"/>
      <c r="QJ105" s="19"/>
      <c r="QK105" s="19"/>
      <c r="QL105" s="19"/>
      <c r="QM105" s="19"/>
      <c r="QN105" s="19"/>
      <c r="QO105" s="19"/>
      <c r="QP105" s="19"/>
      <c r="QQ105" s="19"/>
      <c r="QR105" s="19"/>
      <c r="QS105" s="19"/>
      <c r="QT105" s="19"/>
      <c r="QU105" s="19"/>
      <c r="QV105" s="19"/>
      <c r="QW105" s="19"/>
      <c r="QX105" s="19"/>
      <c r="QY105" s="19"/>
      <c r="QZ105" s="19"/>
      <c r="RA105" s="19"/>
      <c r="RB105" s="19"/>
      <c r="RC105" s="19"/>
      <c r="RD105" s="19"/>
      <c r="RE105" s="19"/>
      <c r="RF105" s="19"/>
      <c r="RG105" s="19"/>
      <c r="RH105" s="19"/>
      <c r="RI105" s="19"/>
      <c r="RJ105" s="19"/>
      <c r="RK105" s="19"/>
      <c r="RL105" s="19"/>
      <c r="RM105" s="19"/>
      <c r="RN105" s="19"/>
      <c r="RO105" s="19"/>
      <c r="RP105" s="19"/>
      <c r="RQ105" s="19"/>
      <c r="RR105" s="19"/>
      <c r="RS105" s="19"/>
      <c r="RT105" s="19"/>
      <c r="RU105" s="19"/>
      <c r="RV105" s="19"/>
      <c r="RW105" s="19"/>
      <c r="RX105" s="19"/>
      <c r="RY105" s="19"/>
      <c r="RZ105" s="19"/>
      <c r="SA105" s="19"/>
      <c r="SB105" s="19"/>
      <c r="SC105" s="19"/>
      <c r="SD105" s="19"/>
      <c r="SE105" s="19"/>
      <c r="SF105" s="19"/>
      <c r="SG105" s="19"/>
      <c r="SH105" s="19"/>
      <c r="SI105" s="19"/>
      <c r="SJ105" s="19"/>
      <c r="SK105" s="19"/>
      <c r="SL105" s="19"/>
      <c r="SM105" s="19"/>
      <c r="SN105" s="19"/>
      <c r="SO105" s="19"/>
      <c r="SP105" s="19"/>
      <c r="SQ105" s="19"/>
      <c r="SR105" s="19"/>
      <c r="SS105" s="19"/>
      <c r="ST105" s="19"/>
      <c r="SU105" s="19"/>
      <c r="SV105" s="19"/>
      <c r="SW105" s="19"/>
      <c r="SX105" s="19"/>
      <c r="SY105" s="19"/>
      <c r="SZ105" s="19"/>
      <c r="TA105" s="19"/>
      <c r="TB105" s="19"/>
      <c r="TC105" s="19"/>
      <c r="TD105" s="19"/>
      <c r="TE105" s="19"/>
      <c r="TF105" s="19"/>
      <c r="TG105" s="19"/>
      <c r="TH105" s="19"/>
      <c r="TI105" s="19"/>
      <c r="TJ105" s="19"/>
      <c r="TK105" s="19"/>
      <c r="TL105" s="19"/>
      <c r="TM105" s="19"/>
      <c r="TN105" s="19"/>
      <c r="TO105" s="19"/>
      <c r="TP105" s="19"/>
      <c r="TQ105" s="19"/>
      <c r="TR105" s="19"/>
      <c r="TS105" s="19"/>
      <c r="TT105" s="19"/>
      <c r="TU105" s="19"/>
      <c r="TV105" s="19"/>
      <c r="TW105" s="19"/>
      <c r="TX105" s="19"/>
      <c r="TY105" s="19"/>
      <c r="TZ105" s="19"/>
      <c r="UA105" s="19"/>
      <c r="UB105" s="19"/>
      <c r="UC105" s="19"/>
      <c r="UD105" s="19"/>
      <c r="UE105" s="19"/>
      <c r="UF105" s="19"/>
      <c r="UG105" s="19"/>
      <c r="UH105" s="19"/>
      <c r="UI105" s="19"/>
      <c r="UJ105" s="19"/>
      <c r="UK105" s="19"/>
      <c r="UL105" s="19"/>
      <c r="UM105" s="19"/>
      <c r="UN105" s="19"/>
      <c r="UO105" s="19"/>
      <c r="UP105" s="19"/>
      <c r="UQ105" s="19"/>
      <c r="UR105" s="19"/>
      <c r="US105" s="19"/>
      <c r="UT105" s="19"/>
      <c r="UU105" s="19"/>
      <c r="UV105" s="19"/>
      <c r="UW105" s="19"/>
      <c r="UX105" s="19"/>
      <c r="UY105" s="19"/>
      <c r="UZ105" s="19"/>
      <c r="VA105" s="19"/>
      <c r="VB105" s="19"/>
      <c r="VC105" s="19"/>
      <c r="VD105" s="19"/>
      <c r="VE105" s="19"/>
      <c r="VF105" s="19"/>
      <c r="VG105" s="19"/>
      <c r="VH105" s="19"/>
      <c r="VI105" s="19"/>
      <c r="VJ105" s="19"/>
      <c r="VK105" s="19"/>
      <c r="VL105" s="19"/>
      <c r="VM105" s="19"/>
      <c r="VN105" s="19"/>
      <c r="VO105" s="19"/>
      <c r="VP105" s="19"/>
      <c r="VQ105" s="19"/>
      <c r="VR105" s="19"/>
      <c r="VS105" s="19"/>
      <c r="VT105" s="19"/>
      <c r="VU105" s="19"/>
      <c r="VV105" s="19"/>
      <c r="VW105" s="19"/>
      <c r="VX105" s="19"/>
      <c r="VY105" s="19"/>
      <c r="VZ105" s="19"/>
      <c r="WA105" s="19"/>
      <c r="WB105" s="19"/>
      <c r="WC105" s="19"/>
      <c r="WD105" s="19"/>
      <c r="WE105" s="19"/>
      <c r="WF105" s="19"/>
      <c r="WG105" s="19"/>
      <c r="WH105" s="19"/>
      <c r="WI105" s="19"/>
      <c r="WJ105" s="19"/>
      <c r="WK105" s="19"/>
      <c r="WL105" s="19"/>
      <c r="WM105" s="19"/>
      <c r="WN105" s="19"/>
      <c r="WO105" s="19"/>
      <c r="WP105" s="19"/>
      <c r="WQ105" s="19"/>
      <c r="WR105" s="19"/>
      <c r="WS105" s="19"/>
      <c r="WT105" s="19"/>
      <c r="WU105" s="19"/>
      <c r="WV105" s="19"/>
      <c r="WW105" s="19"/>
      <c r="WX105" s="19"/>
      <c r="WY105" s="19"/>
      <c r="WZ105" s="19"/>
      <c r="XA105" s="19"/>
      <c r="XB105" s="19"/>
      <c r="XC105" s="19"/>
      <c r="XD105" s="19"/>
      <c r="XE105" s="19"/>
      <c r="XF105" s="19"/>
      <c r="XG105" s="19"/>
      <c r="XH105" s="19"/>
      <c r="XI105" s="19"/>
      <c r="XJ105" s="19"/>
      <c r="XK105" s="19"/>
      <c r="XL105" s="19"/>
      <c r="XM105" s="19"/>
      <c r="XN105" s="19"/>
      <c r="XO105" s="19"/>
      <c r="XP105" s="19"/>
      <c r="XQ105" s="19"/>
      <c r="XR105" s="19"/>
      <c r="XS105" s="19"/>
      <c r="XT105" s="19"/>
      <c r="XU105" s="19"/>
      <c r="XV105" s="19"/>
      <c r="XW105" s="19"/>
      <c r="XX105" s="19"/>
      <c r="XY105" s="19"/>
      <c r="XZ105" s="19"/>
      <c r="YA105" s="19"/>
      <c r="YB105" s="19"/>
      <c r="YC105" s="19"/>
      <c r="YD105" s="19"/>
      <c r="YE105" s="19"/>
      <c r="YF105" s="19"/>
      <c r="YG105" s="19"/>
      <c r="YH105" s="19"/>
      <c r="YI105" s="19"/>
      <c r="YJ105" s="19"/>
      <c r="YK105" s="19"/>
      <c r="YL105" s="19"/>
      <c r="YM105" s="19"/>
      <c r="YN105" s="19"/>
      <c r="YO105" s="19"/>
      <c r="YP105" s="19"/>
      <c r="YQ105" s="19"/>
      <c r="YR105" s="19"/>
      <c r="YS105" s="19"/>
      <c r="YT105" s="19"/>
      <c r="YU105" s="19"/>
      <c r="YV105" s="19"/>
      <c r="YW105" s="19"/>
      <c r="YX105" s="19"/>
      <c r="YY105" s="19"/>
      <c r="YZ105" s="19"/>
      <c r="ZA105" s="19"/>
      <c r="ZB105" s="19"/>
      <c r="ZC105" s="19"/>
      <c r="ZD105" s="19"/>
      <c r="ZE105" s="19"/>
      <c r="ZF105" s="19"/>
      <c r="ZG105" s="19"/>
      <c r="ZH105" s="19"/>
      <c r="ZI105" s="19"/>
      <c r="ZJ105" s="19"/>
      <c r="ZK105" s="19"/>
      <c r="ZL105" s="19"/>
      <c r="ZM105" s="19"/>
      <c r="ZN105" s="19"/>
      <c r="ZO105" s="19"/>
      <c r="ZP105" s="19"/>
      <c r="ZQ105" s="19"/>
      <c r="ZR105" s="19"/>
      <c r="ZS105" s="19"/>
      <c r="ZT105" s="19"/>
      <c r="ZU105" s="19"/>
      <c r="ZV105" s="19"/>
      <c r="ZW105" s="19"/>
      <c r="ZX105" s="19"/>
      <c r="ZY105" s="19"/>
      <c r="ZZ105" s="19"/>
      <c r="AAA105" s="19"/>
      <c r="AAB105" s="19"/>
      <c r="AAC105" s="19"/>
      <c r="AAD105" s="19"/>
      <c r="AAE105" s="19"/>
      <c r="AAF105" s="19"/>
      <c r="AAG105" s="19"/>
      <c r="AAH105" s="19"/>
      <c r="AAI105" s="19"/>
      <c r="AAJ105" s="19"/>
      <c r="AAK105" s="19"/>
      <c r="AAL105" s="19"/>
      <c r="AAM105" s="19"/>
      <c r="AAN105" s="19"/>
      <c r="AAO105" s="19"/>
      <c r="AAP105" s="19"/>
      <c r="AAQ105" s="19"/>
      <c r="AAR105" s="19"/>
      <c r="AAS105" s="19"/>
      <c r="AAT105" s="19"/>
      <c r="AAU105" s="19"/>
      <c r="AAV105" s="19"/>
      <c r="AAW105" s="19"/>
      <c r="AAX105" s="19"/>
      <c r="AAY105" s="19"/>
      <c r="AAZ105" s="19"/>
      <c r="ABA105" s="19"/>
      <c r="ABB105" s="19"/>
      <c r="ABC105" s="19"/>
      <c r="ABD105" s="19"/>
      <c r="ABE105" s="19"/>
      <c r="ABF105" s="19"/>
      <c r="ABG105" s="19"/>
      <c r="ABH105" s="19"/>
      <c r="ABI105" s="19"/>
      <c r="ABJ105" s="19"/>
      <c r="ABK105" s="19"/>
      <c r="ABL105" s="19"/>
      <c r="ABM105" s="19"/>
      <c r="ABN105" s="19"/>
      <c r="ABO105" s="19"/>
      <c r="ABP105" s="19"/>
      <c r="ABQ105" s="19"/>
      <c r="ABR105" s="19"/>
      <c r="ABS105" s="19"/>
      <c r="ABT105" s="19"/>
      <c r="ABU105" s="19"/>
      <c r="ABV105" s="19"/>
      <c r="ABW105" s="19"/>
      <c r="ABX105" s="19"/>
      <c r="ABY105" s="19"/>
      <c r="ABZ105" s="19"/>
      <c r="ACA105" s="19"/>
      <c r="ACB105" s="19"/>
      <c r="ACC105" s="19"/>
      <c r="ACD105" s="19"/>
      <c r="ACE105" s="19"/>
      <c r="ACF105" s="19"/>
      <c r="ACG105" s="19"/>
      <c r="ACH105" s="19"/>
      <c r="ACI105" s="19"/>
      <c r="ACJ105" s="19"/>
      <c r="ACK105" s="19"/>
      <c r="ACL105" s="19"/>
      <c r="ACM105" s="19"/>
      <c r="ACN105" s="19"/>
      <c r="ACO105" s="19"/>
      <c r="ACP105" s="19"/>
      <c r="ACQ105" s="19"/>
      <c r="ACR105" s="19"/>
      <c r="ACS105" s="19"/>
      <c r="ACT105" s="19"/>
      <c r="ACU105" s="19"/>
      <c r="ACV105" s="19"/>
      <c r="ACW105" s="19"/>
      <c r="ACX105" s="19"/>
      <c r="ACY105" s="19"/>
      <c r="ACZ105" s="19"/>
      <c r="ADA105" s="19"/>
      <c r="ADB105" s="19"/>
      <c r="ADC105" s="19"/>
      <c r="ADD105" s="19"/>
      <c r="ADE105" s="19"/>
      <c r="ADF105" s="19"/>
      <c r="ADG105" s="19"/>
      <c r="ADH105" s="19"/>
      <c r="ADI105" s="19"/>
      <c r="ADJ105" s="19"/>
      <c r="ADK105" s="19"/>
      <c r="ADL105" s="19"/>
      <c r="ADM105" s="19"/>
      <c r="ADN105" s="19"/>
      <c r="ADO105" s="19"/>
      <c r="ADP105" s="19"/>
      <c r="ADQ105" s="19"/>
      <c r="ADR105" s="19"/>
      <c r="ADS105" s="19"/>
      <c r="ADT105" s="19"/>
      <c r="ADU105" s="19"/>
      <c r="ADV105" s="19"/>
      <c r="ADW105" s="19"/>
      <c r="ADX105" s="19"/>
      <c r="ADY105" s="19"/>
      <c r="ADZ105" s="19"/>
      <c r="AEA105" s="19"/>
      <c r="AEB105" s="19"/>
      <c r="AEC105" s="19"/>
      <c r="AED105" s="19"/>
      <c r="AEE105" s="19"/>
      <c r="AEF105" s="19"/>
      <c r="AEG105" s="19"/>
      <c r="AEH105" s="19"/>
      <c r="AEI105" s="19"/>
      <c r="AEJ105" s="19"/>
      <c r="AEK105" s="19"/>
      <c r="AEL105" s="19"/>
      <c r="AEM105" s="19"/>
      <c r="AEN105" s="19"/>
      <c r="AEO105" s="19"/>
      <c r="AEP105" s="19"/>
      <c r="AEQ105" s="19"/>
      <c r="AER105" s="19"/>
      <c r="AES105" s="19"/>
      <c r="AET105" s="19"/>
      <c r="AEU105" s="19"/>
      <c r="AEV105" s="19"/>
      <c r="AEW105" s="19"/>
      <c r="AEX105" s="19"/>
      <c r="AEY105" s="19"/>
      <c r="AEZ105" s="19"/>
      <c r="AFA105" s="19"/>
      <c r="AFB105" s="19"/>
      <c r="AFC105" s="19"/>
      <c r="AFD105" s="19"/>
      <c r="AFE105" s="19"/>
      <c r="AFF105" s="19"/>
      <c r="AFG105" s="19"/>
      <c r="AFH105" s="19"/>
      <c r="AFI105" s="19"/>
      <c r="AFJ105" s="19"/>
      <c r="AFK105" s="19"/>
      <c r="AFL105" s="19"/>
      <c r="AFM105" s="19"/>
      <c r="AFN105" s="19"/>
      <c r="AFO105" s="19"/>
      <c r="AFP105" s="19"/>
      <c r="AFQ105" s="19"/>
      <c r="AFR105" s="19"/>
      <c r="AFS105" s="19"/>
      <c r="AFT105" s="19"/>
      <c r="AFU105" s="19"/>
      <c r="AFV105" s="19"/>
      <c r="AFW105" s="19"/>
      <c r="AFX105" s="19"/>
      <c r="AFY105" s="19"/>
      <c r="AFZ105" s="19"/>
      <c r="AGA105" s="19"/>
      <c r="AGB105" s="19"/>
      <c r="AGC105" s="19"/>
      <c r="AGD105" s="19"/>
      <c r="AGE105" s="19"/>
      <c r="AGF105" s="19"/>
      <c r="AGG105" s="19"/>
      <c r="AGH105" s="19"/>
      <c r="AGI105" s="19"/>
      <c r="AGJ105" s="19"/>
      <c r="AGK105" s="19"/>
      <c r="AGL105" s="19"/>
      <c r="AGM105" s="19"/>
      <c r="AGN105" s="19"/>
      <c r="AGO105" s="19"/>
      <c r="AGP105" s="19"/>
      <c r="AGQ105" s="19"/>
      <c r="AGR105" s="19"/>
      <c r="AGS105" s="19"/>
      <c r="AGT105" s="19"/>
      <c r="AGU105" s="19"/>
      <c r="AGV105" s="19"/>
      <c r="AGW105" s="19"/>
      <c r="AGX105" s="19"/>
      <c r="AGY105" s="19"/>
      <c r="AGZ105" s="19"/>
      <c r="AHA105" s="19"/>
      <c r="AHB105" s="19"/>
      <c r="AHC105" s="19"/>
      <c r="AHD105" s="19"/>
      <c r="AHE105" s="19"/>
      <c r="AHF105" s="19"/>
      <c r="AHG105" s="19"/>
      <c r="AHH105" s="19"/>
      <c r="AHI105" s="19"/>
      <c r="AHJ105" s="19"/>
      <c r="AHK105" s="19"/>
      <c r="AHL105" s="19"/>
      <c r="AHM105" s="19"/>
      <c r="AHN105" s="19"/>
      <c r="AHO105" s="19"/>
      <c r="AHP105" s="19"/>
      <c r="AHQ105" s="19"/>
      <c r="AHR105" s="19"/>
      <c r="AHS105" s="19"/>
      <c r="AHT105" s="19"/>
      <c r="AHU105" s="19"/>
      <c r="AHV105" s="19"/>
      <c r="AHW105" s="19"/>
      <c r="AHX105" s="19"/>
      <c r="AHY105" s="19"/>
      <c r="AHZ105" s="19"/>
      <c r="AIA105" s="19"/>
      <c r="AIB105" s="19"/>
      <c r="AIC105" s="19"/>
      <c r="AID105" s="19"/>
      <c r="AIE105" s="19"/>
      <c r="AIF105" s="19"/>
      <c r="AIG105" s="19"/>
      <c r="AIH105" s="19"/>
      <c r="AII105" s="19"/>
      <c r="AIJ105" s="19"/>
      <c r="AIK105" s="19"/>
      <c r="AIL105" s="19"/>
      <c r="AIM105" s="19"/>
      <c r="AIN105" s="19"/>
      <c r="AIO105" s="19"/>
      <c r="AIP105" s="19"/>
      <c r="AIQ105" s="19"/>
      <c r="AIR105" s="19"/>
      <c r="AIS105" s="19"/>
      <c r="AIT105" s="19"/>
      <c r="AIU105" s="19"/>
      <c r="AIV105" s="19"/>
      <c r="AIW105" s="19"/>
      <c r="AIX105" s="19"/>
      <c r="AIY105" s="19"/>
      <c r="AIZ105" s="19"/>
      <c r="AJA105" s="19"/>
      <c r="AJB105" s="19"/>
      <c r="AJC105" s="19"/>
      <c r="AJD105" s="19"/>
      <c r="AJE105" s="19"/>
      <c r="AJF105" s="19"/>
      <c r="AJG105" s="19"/>
      <c r="AJH105" s="19"/>
      <c r="AJI105" s="19"/>
      <c r="AJJ105" s="19"/>
      <c r="AJK105" s="19"/>
      <c r="AJL105" s="19"/>
      <c r="AJM105" s="19"/>
      <c r="AJN105" s="19"/>
      <c r="AJO105" s="19"/>
      <c r="AJP105" s="19"/>
      <c r="AJQ105" s="19"/>
      <c r="AJR105" s="19"/>
      <c r="AJS105" s="19"/>
      <c r="AJT105" s="19"/>
      <c r="AJU105" s="19"/>
      <c r="AJV105" s="19"/>
      <c r="AJW105" s="19"/>
      <c r="AJX105" s="19"/>
      <c r="AJY105" s="19"/>
      <c r="AJZ105" s="19"/>
      <c r="AKA105" s="19"/>
      <c r="AKB105" s="19"/>
      <c r="AKC105" s="19"/>
      <c r="AKD105" s="19"/>
      <c r="AKE105" s="19"/>
      <c r="AKF105" s="19"/>
      <c r="AKG105" s="19"/>
      <c r="AKH105" s="19"/>
      <c r="AKI105" s="19"/>
      <c r="AKJ105" s="19"/>
      <c r="AKK105" s="19"/>
      <c r="AKL105" s="19"/>
      <c r="AKM105" s="19"/>
      <c r="AKN105" s="19"/>
      <c r="AKO105" s="19"/>
      <c r="AKP105" s="19"/>
      <c r="AKQ105" s="19"/>
      <c r="AKR105" s="19"/>
      <c r="AKS105" s="19"/>
      <c r="AKT105" s="19"/>
      <c r="AKU105" s="19"/>
      <c r="AKV105" s="19"/>
      <c r="AKW105" s="19"/>
      <c r="AKX105" s="19"/>
      <c r="AKY105" s="19"/>
      <c r="AKZ105" s="19"/>
      <c r="ALA105" s="19"/>
      <c r="ALB105" s="19"/>
      <c r="ALC105" s="19"/>
      <c r="ALD105" s="19"/>
      <c r="ALE105" s="19"/>
      <c r="ALF105" s="19"/>
      <c r="ALG105" s="19"/>
      <c r="ALH105" s="19"/>
      <c r="ALI105" s="19"/>
      <c r="ALJ105" s="19"/>
      <c r="ALK105" s="19"/>
      <c r="ALL105" s="19"/>
      <c r="ALM105" s="19"/>
      <c r="ALN105" s="19"/>
      <c r="ALO105" s="19"/>
      <c r="ALP105" s="19"/>
      <c r="ALQ105" s="19"/>
      <c r="ALR105" s="19"/>
      <c r="ALS105" s="19"/>
      <c r="ALT105" s="19"/>
      <c r="ALU105" s="19"/>
      <c r="ALV105" s="19"/>
      <c r="ALW105" s="19"/>
      <c r="ALX105" s="19"/>
      <c r="ALY105" s="19"/>
      <c r="ALZ105" s="19"/>
      <c r="AMA105" s="19"/>
      <c r="AMB105" s="19"/>
      <c r="AMC105" s="19"/>
      <c r="AMD105" s="19"/>
      <c r="AME105" s="19"/>
      <c r="AMF105" s="19"/>
      <c r="AMG105" s="19"/>
      <c r="AMH105" s="19"/>
      <c r="AMI105" s="19"/>
      <c r="AMJ105" s="19"/>
      <c r="AMK105" s="19"/>
      <c r="AML105" s="19"/>
      <c r="AMM105" s="19"/>
      <c r="AMN105" s="19"/>
      <c r="AMO105" s="19"/>
      <c r="AMP105" s="19"/>
      <c r="AMQ105" s="19"/>
      <c r="AMR105" s="19"/>
      <c r="AMS105" s="19"/>
      <c r="AMT105" s="19"/>
      <c r="AMU105" s="19"/>
      <c r="AMV105" s="19"/>
      <c r="AMW105" s="19"/>
      <c r="AMX105" s="19"/>
      <c r="AMY105" s="19"/>
      <c r="AMZ105" s="19"/>
      <c r="ANA105" s="19"/>
      <c r="ANB105" s="19"/>
      <c r="ANC105" s="19"/>
      <c r="AND105" s="19"/>
      <c r="ANE105" s="19"/>
      <c r="ANF105" s="19"/>
      <c r="ANG105" s="19"/>
      <c r="ANH105" s="19"/>
      <c r="ANI105" s="19"/>
      <c r="ANJ105" s="19"/>
      <c r="ANK105" s="19"/>
      <c r="ANL105" s="19"/>
      <c r="ANM105" s="19"/>
      <c r="ANN105" s="19"/>
      <c r="ANO105" s="19"/>
      <c r="ANP105" s="19"/>
      <c r="ANQ105" s="639"/>
      <c r="ANR105" s="639"/>
      <c r="ANS105" s="19"/>
      <c r="ANT105" s="19"/>
      <c r="ANU105" s="19"/>
      <c r="ANV105" s="19"/>
      <c r="ANW105" s="19"/>
      <c r="ANX105" s="19"/>
      <c r="ANY105" s="19"/>
      <c r="ANZ105" s="19"/>
      <c r="AOA105" s="19"/>
      <c r="AOB105" s="19"/>
      <c r="AOC105" s="19"/>
      <c r="AOD105" s="19"/>
      <c r="AOE105" s="19"/>
      <c r="AOF105" s="19"/>
      <c r="AOG105" s="19"/>
      <c r="AOH105" s="19"/>
      <c r="AOI105" s="19"/>
      <c r="AOJ105" s="19"/>
      <c r="AOK105" s="19"/>
      <c r="AOL105" s="19"/>
      <c r="AOM105" s="19"/>
      <c r="AON105" s="19"/>
      <c r="AOO105" s="19"/>
      <c r="AOP105" s="19"/>
      <c r="AOQ105" s="19"/>
      <c r="AOR105" s="19"/>
      <c r="AOS105" s="19"/>
      <c r="AOT105" s="19"/>
      <c r="AOU105" s="19"/>
      <c r="AOV105" s="19"/>
      <c r="AOW105" s="19"/>
      <c r="AOX105" s="19"/>
      <c r="AOY105" s="19"/>
      <c r="AOZ105" s="19"/>
      <c r="APA105" s="19"/>
      <c r="APB105" s="19"/>
      <c r="APC105" s="19"/>
      <c r="APD105" s="19"/>
      <c r="APE105" s="19"/>
      <c r="APF105" s="19"/>
      <c r="APG105" s="19"/>
      <c r="APH105" s="19"/>
      <c r="API105" s="19"/>
      <c r="APJ105" s="19"/>
      <c r="APK105" s="19"/>
      <c r="APL105" s="19"/>
      <c r="APM105" s="19"/>
      <c r="APN105" s="19"/>
      <c r="APO105" s="19"/>
      <c r="APP105" s="19"/>
      <c r="APQ105" s="19"/>
      <c r="APR105" s="19"/>
      <c r="APS105" s="19"/>
      <c r="APT105" s="19"/>
      <c r="APU105" s="19"/>
      <c r="APV105" s="19"/>
      <c r="APW105" s="19"/>
      <c r="APX105" s="19"/>
      <c r="APY105" s="19"/>
      <c r="APZ105" s="19"/>
      <c r="AQA105" s="19"/>
      <c r="AQB105" s="19"/>
      <c r="AQC105" s="19"/>
      <c r="AQD105" s="19"/>
      <c r="AQE105" s="19"/>
      <c r="AQF105" s="19"/>
      <c r="AQG105" s="19"/>
      <c r="AQH105" s="19"/>
      <c r="AQI105" s="19"/>
      <c r="AQJ105" s="19"/>
      <c r="AQK105" s="19"/>
      <c r="AQL105" s="19"/>
      <c r="AQM105" s="19"/>
      <c r="AQN105" s="19"/>
      <c r="AQO105" s="19"/>
      <c r="AQP105" s="19"/>
      <c r="AQQ105" s="19"/>
      <c r="AQR105" s="19"/>
      <c r="AQS105" s="19"/>
      <c r="AQT105" s="19"/>
      <c r="AQU105" s="19"/>
      <c r="AQV105" s="19"/>
      <c r="AQW105" s="19"/>
      <c r="AQX105" s="19"/>
      <c r="AQY105" s="19"/>
      <c r="AQZ105" s="19"/>
      <c r="ARA105" s="19"/>
      <c r="ARB105" s="19"/>
      <c r="ARC105" s="19"/>
      <c r="ARD105" s="19"/>
      <c r="ARE105" s="19"/>
      <c r="ARF105" s="19"/>
      <c r="ARG105" s="19"/>
      <c r="ARH105" s="19"/>
      <c r="ARI105" s="19"/>
      <c r="ARJ105" s="19"/>
      <c r="ARK105" s="19"/>
      <c r="ARL105" s="19"/>
      <c r="ARM105" s="19"/>
      <c r="ARN105" s="19"/>
      <c r="ARO105" s="19"/>
      <c r="ARP105" s="19"/>
      <c r="ARQ105" s="19"/>
      <c r="ARR105" s="19"/>
      <c r="ARS105" s="19"/>
      <c r="ART105" s="19"/>
      <c r="ARU105" s="19"/>
      <c r="ARV105" s="19"/>
      <c r="ARW105" s="19"/>
      <c r="ARX105" s="19"/>
      <c r="ARY105" s="19"/>
      <c r="ARZ105" s="19"/>
      <c r="ASA105" s="19"/>
      <c r="ASB105" s="19"/>
      <c r="ASC105" s="19"/>
      <c r="ASD105" s="19"/>
      <c r="ASE105" s="19"/>
      <c r="ASF105" s="19"/>
      <c r="ASG105" s="19"/>
      <c r="ASH105" s="19"/>
      <c r="ASI105" s="19"/>
      <c r="ASJ105" s="19"/>
      <c r="ASK105" s="19"/>
      <c r="ASL105" s="19"/>
      <c r="ASM105" s="19"/>
      <c r="ASN105" s="19"/>
      <c r="ASO105" s="19"/>
      <c r="ASP105" s="19"/>
      <c r="ASQ105" s="19"/>
      <c r="ASR105" s="19"/>
      <c r="ASS105" s="19"/>
      <c r="AST105" s="19"/>
      <c r="ASU105" s="19"/>
      <c r="ASV105" s="19"/>
      <c r="ASW105" s="19"/>
      <c r="ASX105" s="19"/>
      <c r="ASY105" s="19"/>
      <c r="ASZ105" s="19"/>
      <c r="ATA105" s="19"/>
      <c r="ATB105" s="19"/>
      <c r="ATC105" s="19"/>
      <c r="ATD105" s="19"/>
      <c r="ATE105" s="19"/>
      <c r="ATF105" s="19"/>
      <c r="ATG105" s="19"/>
      <c r="ATH105" s="19"/>
      <c r="ATI105" s="19"/>
      <c r="ATJ105" s="19"/>
      <c r="ATK105" s="19"/>
      <c r="ATL105" s="19"/>
      <c r="ATM105" s="19"/>
      <c r="ATN105" s="19"/>
      <c r="ATO105" s="19"/>
      <c r="ATP105" s="19"/>
      <c r="ATQ105" s="19"/>
      <c r="ATR105" s="19"/>
      <c r="ATS105" s="19"/>
      <c r="ATT105" s="19"/>
      <c r="ATU105" s="19"/>
      <c r="ATV105" s="19"/>
      <c r="ATW105" s="19"/>
      <c r="ATX105" s="19"/>
      <c r="ATY105" s="19"/>
      <c r="ATZ105" s="19"/>
      <c r="AUA105" s="19"/>
      <c r="AUB105" s="19"/>
      <c r="AUC105" s="19"/>
      <c r="AUD105" s="19"/>
      <c r="AUE105" s="19"/>
      <c r="AUF105" s="19"/>
      <c r="AUG105" s="19"/>
      <c r="AUH105" s="19"/>
      <c r="AUI105" s="19"/>
      <c r="AUJ105" s="19"/>
      <c r="AUK105" s="19"/>
      <c r="AUL105" s="19"/>
      <c r="AUM105" s="19"/>
      <c r="AUN105" s="19"/>
      <c r="AUO105" s="19"/>
      <c r="AUP105" s="19"/>
      <c r="AUQ105" s="19"/>
      <c r="AUR105" s="19"/>
      <c r="AUS105" s="19"/>
      <c r="AUT105" s="19"/>
      <c r="AUU105" s="19"/>
      <c r="AUV105" s="19"/>
      <c r="AUW105" s="19"/>
      <c r="AUX105" s="19"/>
      <c r="AUY105" s="19"/>
      <c r="AUZ105" s="19"/>
      <c r="AVA105" s="19"/>
      <c r="AVB105" s="19"/>
      <c r="AVC105" s="19"/>
      <c r="AVD105" s="19"/>
      <c r="AVE105" s="19"/>
      <c r="AVF105" s="19"/>
      <c r="AVG105" s="19"/>
      <c r="AVH105" s="19"/>
      <c r="AVI105" s="19"/>
      <c r="AVJ105" s="19"/>
      <c r="AVK105" s="19"/>
      <c r="AVL105" s="19"/>
      <c r="AVM105" s="19"/>
      <c r="AVN105" s="19"/>
      <c r="AVO105" s="19"/>
      <c r="AVP105" s="19"/>
      <c r="AVQ105" s="19"/>
      <c r="AVR105" s="19"/>
      <c r="AVS105" s="19"/>
      <c r="AVT105" s="19"/>
      <c r="AVU105" s="19"/>
      <c r="AVV105" s="19"/>
      <c r="AVW105" s="19"/>
      <c r="AVX105" s="19"/>
      <c r="AVY105" s="19"/>
      <c r="AVZ105" s="19"/>
      <c r="AWA105" s="19"/>
      <c r="AWB105" s="19"/>
      <c r="AWC105" s="19"/>
      <c r="AWD105" s="19"/>
      <c r="AWE105" s="19"/>
      <c r="AWF105" s="19"/>
      <c r="AWG105" s="19"/>
      <c r="AWH105" s="19"/>
      <c r="AWI105" s="19"/>
      <c r="AWJ105" s="19"/>
      <c r="AWK105" s="19"/>
      <c r="AWL105" s="19"/>
      <c r="AWM105" s="19"/>
      <c r="AWN105" s="19"/>
      <c r="AWO105" s="19"/>
      <c r="AWP105" s="19"/>
      <c r="AWQ105" s="19"/>
      <c r="AWR105" s="19"/>
      <c r="AWS105" s="19"/>
      <c r="AWT105" s="19"/>
      <c r="AWU105" s="19"/>
      <c r="AWV105" s="19"/>
      <c r="AWW105" s="19"/>
      <c r="AWX105" s="19"/>
      <c r="AWY105" s="19"/>
      <c r="AWZ105" s="19"/>
      <c r="AXA105" s="19"/>
      <c r="AXB105" s="19"/>
      <c r="AXC105" s="19"/>
      <c r="AXD105" s="19"/>
      <c r="AXE105" s="19"/>
      <c r="AXF105" s="19"/>
      <c r="AXG105" s="19"/>
      <c r="AXH105" s="19"/>
      <c r="AXI105" s="19"/>
      <c r="AXJ105" s="19"/>
      <c r="AXK105" s="19"/>
      <c r="AXL105" s="19"/>
      <c r="AXM105" s="19"/>
      <c r="AXN105" s="19"/>
      <c r="AXO105" s="19"/>
      <c r="AXP105" s="19"/>
      <c r="AXQ105" s="19"/>
      <c r="AXR105" s="19"/>
      <c r="AXS105" s="19"/>
      <c r="AXT105" s="19"/>
      <c r="AXU105" s="19"/>
      <c r="AXV105" s="19"/>
      <c r="AXW105" s="19"/>
      <c r="AXX105" s="19"/>
      <c r="AXY105" s="19"/>
      <c r="AXZ105" s="19"/>
      <c r="AYA105" s="19"/>
      <c r="AYB105" s="19"/>
      <c r="AYC105" s="19"/>
      <c r="AYD105" s="19"/>
      <c r="AYE105" s="19"/>
      <c r="AYF105" s="19"/>
      <c r="AYG105" s="19"/>
      <c r="AYH105" s="19"/>
      <c r="AYI105" s="19"/>
      <c r="AYJ105" s="19"/>
      <c r="AYK105" s="19"/>
      <c r="AYL105" s="19"/>
      <c r="AYM105" s="19"/>
      <c r="AYN105" s="19"/>
      <c r="AYO105" s="19"/>
      <c r="AYP105" s="19"/>
      <c r="AYQ105" s="19"/>
      <c r="AYR105" s="19"/>
      <c r="AYS105" s="19"/>
      <c r="AYT105" s="19"/>
      <c r="AYU105" s="19"/>
      <c r="AYV105" s="19"/>
      <c r="AYW105" s="19"/>
      <c r="AYX105" s="19"/>
      <c r="AYY105" s="19"/>
      <c r="AYZ105" s="19"/>
      <c r="AZA105" s="19"/>
      <c r="AZB105" s="19"/>
      <c r="AZC105" s="19"/>
      <c r="AZD105" s="19"/>
      <c r="AZE105" s="19"/>
      <c r="AZF105" s="19"/>
      <c r="AZG105" s="19"/>
      <c r="AZH105" s="19"/>
      <c r="AZI105" s="19"/>
      <c r="AZJ105" s="19"/>
      <c r="AZK105" s="19"/>
      <c r="AZL105" s="19"/>
      <c r="AZM105" s="19"/>
      <c r="AZN105" s="19"/>
      <c r="AZO105" s="19"/>
      <c r="AZP105" s="19"/>
      <c r="AZQ105" s="19"/>
      <c r="AZR105" s="19"/>
      <c r="AZS105" s="19"/>
      <c r="AZT105" s="19"/>
      <c r="AZU105" s="19"/>
      <c r="AZV105" s="19"/>
      <c r="AZW105" s="19"/>
      <c r="AZX105" s="19"/>
      <c r="AZY105" s="19"/>
      <c r="AZZ105" s="19"/>
      <c r="BAA105" s="19"/>
      <c r="BAB105" s="19"/>
      <c r="BAC105" s="19"/>
      <c r="BAD105" s="19"/>
      <c r="BAE105" s="19"/>
      <c r="BAF105" s="19"/>
      <c r="BAG105" s="19"/>
      <c r="BAH105" s="19"/>
      <c r="BAI105" s="19"/>
      <c r="BAJ105" s="19"/>
      <c r="BAK105" s="19"/>
      <c r="BAL105" s="19"/>
      <c r="BAM105" s="19"/>
      <c r="BAN105" s="19"/>
      <c r="BAO105" s="19"/>
      <c r="BAP105" s="19"/>
      <c r="BAQ105" s="19"/>
      <c r="BAR105" s="19"/>
      <c r="BAS105" s="19"/>
      <c r="BAT105" s="19"/>
      <c r="BAU105" s="19"/>
      <c r="BAV105" s="19"/>
      <c r="BAW105" s="19"/>
      <c r="BAX105" s="19"/>
      <c r="BAY105" s="19"/>
      <c r="BAZ105" s="19"/>
      <c r="BBA105" s="19"/>
      <c r="BBB105" s="19"/>
      <c r="BBC105" s="19"/>
      <c r="BBD105" s="19"/>
      <c r="BBE105" s="19"/>
      <c r="BBF105" s="19"/>
      <c r="BBG105" s="19"/>
      <c r="BBH105" s="19"/>
      <c r="BBI105" s="19"/>
      <c r="BBJ105" s="19"/>
      <c r="BBK105" s="19"/>
      <c r="BBL105" s="19"/>
      <c r="BBM105" s="19"/>
      <c r="BBN105" s="19"/>
      <c r="BBO105" s="19"/>
      <c r="BBP105" s="19"/>
      <c r="BBQ105" s="19"/>
      <c r="BBR105" s="19"/>
      <c r="BBS105" s="19"/>
      <c r="BBT105" s="19"/>
      <c r="BBU105" s="19"/>
      <c r="BBV105" s="19"/>
      <c r="BBW105" s="19"/>
      <c r="BBX105" s="19"/>
      <c r="BBY105" s="19"/>
      <c r="BBZ105" s="19"/>
      <c r="BCA105" s="19"/>
      <c r="BCB105" s="19"/>
      <c r="BCC105" s="19"/>
      <c r="BCD105" s="19"/>
      <c r="BCE105" s="19"/>
      <c r="BCF105" s="19"/>
      <c r="BCG105" s="19"/>
      <c r="BCH105" s="19"/>
      <c r="BCI105" s="19"/>
      <c r="BCJ105" s="19"/>
      <c r="BCK105" s="19"/>
      <c r="BCL105" s="19"/>
      <c r="BCM105" s="19"/>
      <c r="BCN105" s="19"/>
      <c r="BCO105" s="19"/>
      <c r="BCP105" s="19"/>
      <c r="BCQ105" s="19"/>
      <c r="BCR105" s="19"/>
      <c r="BCS105" s="19"/>
      <c r="BCT105" s="19"/>
      <c r="BCU105" s="19"/>
      <c r="BCV105" s="19"/>
      <c r="BCW105" s="19"/>
      <c r="BCX105" s="19"/>
      <c r="BCY105" s="19"/>
      <c r="BCZ105" s="19"/>
      <c r="BDA105" s="19"/>
      <c r="BDB105" s="19"/>
      <c r="BDC105" s="19"/>
      <c r="BDD105" s="19"/>
      <c r="BDE105" s="19"/>
      <c r="BDF105" s="19"/>
      <c r="BDG105" s="19"/>
      <c r="BDH105" s="19"/>
      <c r="BDI105" s="19"/>
      <c r="BDJ105" s="19"/>
      <c r="BDK105" s="19"/>
      <c r="BDL105" s="19"/>
      <c r="BDM105" s="19"/>
      <c r="BDN105" s="19"/>
      <c r="BDO105" s="19"/>
      <c r="BDP105" s="19"/>
      <c r="BDQ105" s="19"/>
      <c r="BDR105" s="19"/>
      <c r="BDS105" s="19"/>
      <c r="BDT105" s="19"/>
      <c r="BDU105" s="19"/>
      <c r="BDV105" s="19"/>
      <c r="BDW105" s="19"/>
      <c r="BDX105" s="19"/>
      <c r="BDY105" s="19"/>
      <c r="BDZ105" s="19"/>
      <c r="BEA105" s="19"/>
      <c r="BEB105" s="19"/>
      <c r="BEC105" s="19"/>
      <c r="BED105" s="19"/>
      <c r="BEE105" s="19"/>
      <c r="BEF105" s="19"/>
      <c r="BEG105" s="19"/>
      <c r="BEH105" s="19"/>
      <c r="BEI105" s="19"/>
      <c r="BEJ105" s="19"/>
      <c r="BEK105" s="19"/>
      <c r="BEL105" s="19"/>
      <c r="BEM105" s="19"/>
      <c r="BEN105" s="19"/>
      <c r="BEO105" s="19"/>
      <c r="BEP105" s="19"/>
      <c r="BEQ105" s="19"/>
      <c r="BER105" s="19"/>
      <c r="BES105" s="19"/>
      <c r="BET105" s="19"/>
      <c r="BEU105" s="19"/>
      <c r="BEV105" s="19"/>
      <c r="BEW105" s="19"/>
      <c r="BEX105" s="19"/>
      <c r="BEY105" s="19"/>
      <c r="BEZ105" s="19"/>
      <c r="BFA105" s="19"/>
      <c r="BFB105" s="19"/>
      <c r="BFC105" s="19"/>
      <c r="BFD105" s="19"/>
      <c r="BFE105" s="19"/>
      <c r="BFF105" s="19"/>
      <c r="BFG105" s="19"/>
      <c r="BFH105" s="19"/>
      <c r="BFI105" s="19"/>
      <c r="BFJ105" s="19"/>
      <c r="BFK105" s="19"/>
      <c r="BFL105" s="19"/>
      <c r="BFM105" s="19"/>
      <c r="BFN105" s="19"/>
      <c r="BFO105" s="19"/>
      <c r="BFP105" s="19"/>
      <c r="BFQ105" s="19"/>
      <c r="BFR105" s="19"/>
      <c r="BFS105" s="19"/>
      <c r="BFT105" s="19"/>
      <c r="BFU105" s="19"/>
      <c r="BFV105" s="19"/>
      <c r="BFW105" s="19"/>
      <c r="BFX105" s="19"/>
      <c r="BFY105" s="19"/>
      <c r="BFZ105" s="19"/>
      <c r="BGA105" s="19"/>
      <c r="BGB105" s="19"/>
      <c r="BGC105" s="19"/>
      <c r="BGD105" s="19"/>
      <c r="BGE105" s="19"/>
      <c r="BGF105" s="19"/>
      <c r="BGG105" s="19"/>
      <c r="BGH105" s="19"/>
      <c r="BGI105" s="19"/>
      <c r="BGJ105" s="19"/>
      <c r="BGK105" s="19"/>
      <c r="BGL105" s="19"/>
      <c r="BGM105" s="19"/>
      <c r="BGN105" s="19"/>
      <c r="BGO105" s="19"/>
      <c r="BGP105" s="19"/>
      <c r="BGQ105" s="19"/>
      <c r="BGR105" s="19"/>
      <c r="BGS105" s="19"/>
      <c r="BGT105" s="19"/>
      <c r="BGU105" s="19"/>
      <c r="BGV105" s="19"/>
      <c r="BGW105" s="19"/>
      <c r="BGX105" s="19"/>
      <c r="BGY105" s="19"/>
      <c r="BGZ105" s="19"/>
      <c r="BHA105" s="19"/>
      <c r="BHB105" s="19"/>
      <c r="BHC105" s="19"/>
      <c r="BHD105" s="19"/>
      <c r="BHE105" s="19"/>
      <c r="BHF105" s="19"/>
      <c r="BHG105" s="19"/>
      <c r="BHH105" s="19"/>
      <c r="BHI105" s="19"/>
      <c r="BHJ105" s="19"/>
      <c r="BHK105" s="19"/>
      <c r="BHL105" s="19"/>
      <c r="BHM105" s="19"/>
      <c r="BHN105" s="19"/>
      <c r="BHO105" s="19"/>
      <c r="BHP105" s="19"/>
      <c r="BHQ105" s="19"/>
      <c r="BHR105" s="19"/>
      <c r="BHS105" s="19"/>
      <c r="BHT105" s="19"/>
      <c r="BHU105" s="19"/>
      <c r="BHV105" s="19"/>
      <c r="BHW105" s="19"/>
      <c r="BHX105" s="19"/>
      <c r="BHY105" s="19"/>
      <c r="BHZ105" s="19"/>
      <c r="BIA105" s="19"/>
      <c r="BIB105" s="19"/>
      <c r="BIC105" s="19"/>
      <c r="BID105" s="19"/>
      <c r="BIE105" s="19"/>
      <c r="BIF105" s="19"/>
      <c r="BIG105" s="19"/>
      <c r="BIH105" s="19"/>
      <c r="BII105" s="19"/>
      <c r="BIJ105" s="19"/>
      <c r="BIK105" s="19"/>
      <c r="BIL105" s="19"/>
      <c r="BIM105" s="19"/>
      <c r="BIN105" s="19"/>
      <c r="BIO105" s="19"/>
      <c r="BIP105" s="19"/>
      <c r="BIQ105" s="19"/>
      <c r="BIR105" s="19"/>
      <c r="BIS105" s="19"/>
      <c r="BIT105" s="19"/>
      <c r="BIU105" s="19"/>
      <c r="BIV105" s="19"/>
      <c r="BIW105" s="19"/>
      <c r="BIX105" s="19"/>
      <c r="BIY105" s="19"/>
      <c r="BIZ105" s="19"/>
      <c r="BJA105" s="19"/>
      <c r="BJB105" s="19"/>
      <c r="BJC105" s="19"/>
      <c r="BJD105" s="19"/>
      <c r="BJE105" s="19"/>
      <c r="BJF105" s="19"/>
      <c r="BJG105" s="19"/>
      <c r="BJH105" s="19"/>
      <c r="BJI105" s="19"/>
      <c r="BJJ105" s="19"/>
      <c r="BJK105" s="19"/>
      <c r="BJL105" s="19"/>
      <c r="BJM105" s="19"/>
      <c r="BJN105" s="19"/>
      <c r="BJO105" s="19"/>
      <c r="BJP105" s="19"/>
      <c r="BJQ105" s="19"/>
      <c r="BJR105" s="19"/>
      <c r="BJS105" s="19"/>
      <c r="BJT105" s="19"/>
      <c r="BJU105" s="19"/>
      <c r="BJV105" s="19"/>
      <c r="BJW105" s="19"/>
      <c r="BJX105" s="19"/>
      <c r="BJY105" s="19"/>
      <c r="BJZ105" s="19"/>
      <c r="BKA105" s="19"/>
      <c r="BKB105" s="19"/>
      <c r="BKC105" s="19"/>
      <c r="BKD105" s="19"/>
      <c r="BKE105" s="19"/>
      <c r="BKF105" s="19"/>
      <c r="BKG105" s="19"/>
      <c r="BKH105" s="19"/>
      <c r="BKI105" s="19"/>
      <c r="BKJ105" s="19"/>
      <c r="BKK105" s="19"/>
      <c r="BKL105" s="19"/>
      <c r="BKM105" s="19"/>
      <c r="BKN105" s="19"/>
      <c r="BKO105" s="19"/>
      <c r="BKP105" s="19"/>
      <c r="BKQ105" s="19"/>
      <c r="BKR105" s="19"/>
      <c r="BKS105" s="19"/>
      <c r="BKT105" s="19"/>
      <c r="BKU105" s="19"/>
      <c r="BKV105" s="19"/>
      <c r="BKW105" s="19"/>
      <c r="BKX105" s="19"/>
      <c r="BKY105" s="19"/>
      <c r="BKZ105" s="19"/>
      <c r="BLA105" s="19"/>
      <c r="BLB105" s="19"/>
      <c r="BLC105" s="19"/>
      <c r="BLD105" s="19"/>
      <c r="BLE105" s="19"/>
      <c r="BLF105" s="19"/>
      <c r="BLG105" s="19"/>
      <c r="BLH105" s="19"/>
      <c r="BLI105" s="19"/>
      <c r="BLJ105" s="19"/>
      <c r="BLK105" s="19"/>
      <c r="BLL105" s="19"/>
      <c r="BLM105" s="19"/>
      <c r="BLN105" s="19"/>
      <c r="BLO105" s="19"/>
      <c r="BLP105" s="19"/>
      <c r="BLQ105" s="19"/>
      <c r="BLR105" s="19"/>
      <c r="BLS105" s="19"/>
      <c r="BLT105" s="19"/>
      <c r="BLU105" s="19"/>
      <c r="BLV105" s="19"/>
      <c r="BLW105" s="19"/>
      <c r="BLX105" s="19"/>
      <c r="BLY105" s="19"/>
      <c r="BLZ105" s="19"/>
      <c r="BMA105" s="19"/>
      <c r="BMB105" s="19"/>
      <c r="BMC105" s="19"/>
      <c r="BMD105" s="19"/>
      <c r="BME105" s="19"/>
      <c r="BMF105" s="19"/>
      <c r="BMG105" s="19"/>
      <c r="BMH105" s="19"/>
      <c r="BMI105" s="19"/>
      <c r="BMJ105" s="19"/>
      <c r="BMK105" s="19"/>
      <c r="BML105" s="19"/>
      <c r="BMM105" s="19"/>
      <c r="BMN105" s="19"/>
      <c r="BMO105" s="19"/>
      <c r="BMP105" s="19"/>
      <c r="BMQ105" s="19"/>
      <c r="BMR105" s="19"/>
      <c r="BMS105" s="19"/>
      <c r="BMT105" s="19"/>
      <c r="BMU105" s="19"/>
      <c r="BMV105" s="19"/>
      <c r="BMW105" s="19"/>
      <c r="BMX105" s="19"/>
      <c r="BMY105" s="19"/>
      <c r="BMZ105" s="19"/>
      <c r="BNA105" s="19"/>
      <c r="BNB105" s="19"/>
      <c r="BNC105" s="19"/>
      <c r="BND105" s="19"/>
      <c r="BNE105" s="19"/>
      <c r="BNF105" s="19"/>
      <c r="BNG105" s="19"/>
      <c r="BNH105" s="19"/>
      <c r="BNI105" s="19"/>
      <c r="BNJ105" s="19"/>
      <c r="BNK105" s="19"/>
      <c r="BNL105" s="19"/>
      <c r="BNM105" s="19"/>
      <c r="BNN105" s="19"/>
      <c r="BNO105" s="19"/>
      <c r="BNP105" s="19"/>
      <c r="BNQ105" s="19"/>
      <c r="BNR105" s="19"/>
      <c r="BNS105" s="19"/>
      <c r="BNT105" s="19"/>
      <c r="BNU105" s="19"/>
      <c r="BNV105" s="19"/>
      <c r="BNW105" s="19"/>
      <c r="BNX105" s="19"/>
      <c r="BNY105" s="19"/>
      <c r="BNZ105" s="19"/>
      <c r="BOA105" s="19"/>
      <c r="BOB105" s="19"/>
      <c r="BOC105" s="19"/>
      <c r="BOD105" s="19"/>
      <c r="BOE105" s="19"/>
      <c r="BOF105" s="19"/>
      <c r="BOG105" s="19"/>
      <c r="BOH105" s="19"/>
      <c r="BOI105" s="19"/>
      <c r="BOJ105" s="19"/>
      <c r="BOK105" s="19"/>
      <c r="BOL105" s="19"/>
      <c r="BOM105" s="19"/>
      <c r="BON105" s="19"/>
      <c r="BOO105" s="19"/>
      <c r="BOP105" s="19"/>
      <c r="BOQ105" s="19"/>
      <c r="BOR105" s="19"/>
      <c r="BOS105" s="19"/>
      <c r="BOT105" s="19"/>
      <c r="BOU105" s="19"/>
      <c r="BOV105" s="19"/>
      <c r="BOW105" s="19"/>
      <c r="BOX105" s="19"/>
      <c r="BOY105" s="19"/>
      <c r="BOZ105" s="19"/>
      <c r="BPA105" s="19"/>
      <c r="BPB105" s="19"/>
      <c r="BPC105" s="19"/>
      <c r="BPD105" s="19"/>
      <c r="BPE105" s="19"/>
      <c r="BPF105" s="19"/>
      <c r="BPG105" s="19"/>
      <c r="BPH105" s="19"/>
      <c r="BPI105" s="19"/>
      <c r="BPJ105" s="19"/>
      <c r="BPK105" s="19"/>
      <c r="BPL105" s="19"/>
      <c r="BPM105" s="19"/>
      <c r="BPN105" s="19"/>
      <c r="BPO105" s="19"/>
      <c r="BPP105" s="19"/>
      <c r="BPQ105" s="19"/>
      <c r="BPR105" s="19"/>
      <c r="BPS105" s="19"/>
      <c r="BPT105" s="19"/>
      <c r="BPU105" s="19"/>
      <c r="BPV105" s="19"/>
      <c r="BPW105" s="19"/>
      <c r="BPX105" s="19"/>
      <c r="BPY105" s="19"/>
      <c r="BPZ105" s="19"/>
      <c r="BQA105" s="19"/>
      <c r="BQB105" s="19"/>
      <c r="BQC105" s="19"/>
      <c r="BQD105" s="19"/>
      <c r="BQE105" s="19"/>
      <c r="BQF105" s="19"/>
      <c r="BQG105" s="19"/>
      <c r="BQH105" s="19"/>
      <c r="BQI105" s="19"/>
      <c r="BQJ105" s="19"/>
      <c r="BQK105" s="19"/>
      <c r="BQL105" s="19"/>
      <c r="BQM105" s="19"/>
      <c r="BQN105" s="19"/>
      <c r="BQO105" s="19"/>
      <c r="BQP105" s="19"/>
      <c r="BQQ105" s="19"/>
      <c r="BQR105" s="19"/>
      <c r="BQS105" s="19"/>
      <c r="BQT105" s="19"/>
      <c r="BQU105" s="19"/>
      <c r="BQV105" s="19"/>
      <c r="BQW105" s="19"/>
      <c r="BQX105" s="19"/>
      <c r="BQY105" s="19"/>
      <c r="BQZ105" s="19"/>
      <c r="BRA105" s="19"/>
      <c r="BRB105" s="19"/>
      <c r="BRC105" s="19"/>
      <c r="BRD105" s="19"/>
      <c r="BRE105" s="19"/>
      <c r="BRF105" s="19"/>
      <c r="BRG105" s="19"/>
      <c r="BRH105" s="19"/>
      <c r="BRI105" s="19"/>
      <c r="BRJ105" s="19"/>
      <c r="BRK105" s="19"/>
      <c r="BRL105" s="19"/>
      <c r="BRM105" s="19"/>
      <c r="BRN105" s="19"/>
      <c r="BRO105" s="19"/>
      <c r="BRP105" s="19"/>
      <c r="BRQ105" s="19"/>
      <c r="BRR105" s="19"/>
      <c r="BRS105" s="19"/>
      <c r="BRT105" s="19"/>
      <c r="BRU105" s="19"/>
      <c r="BRV105" s="19"/>
      <c r="BRW105" s="19"/>
      <c r="BRX105" s="19"/>
      <c r="BRY105" s="19"/>
      <c r="BRZ105" s="19"/>
      <c r="BSA105" s="19"/>
      <c r="BSB105" s="19"/>
      <c r="BSC105" s="19"/>
      <c r="BSD105" s="19"/>
      <c r="BSE105" s="19"/>
      <c r="BSF105" s="19"/>
      <c r="BSG105" s="19"/>
      <c r="BSH105" s="19"/>
      <c r="BSI105" s="19"/>
      <c r="BSJ105" s="19"/>
      <c r="BSK105" s="19"/>
      <c r="BSL105" s="19"/>
      <c r="BSM105" s="19"/>
      <c r="BSN105" s="19"/>
      <c r="BSO105" s="19"/>
      <c r="BSP105" s="19"/>
      <c r="BSQ105" s="19"/>
      <c r="BSR105" s="19"/>
      <c r="BSS105" s="19"/>
      <c r="BST105" s="19"/>
      <c r="BSU105" s="19"/>
      <c r="BSV105" s="19"/>
      <c r="BSW105" s="19"/>
      <c r="BSX105" s="19"/>
      <c r="BSY105" s="19"/>
      <c r="BSZ105" s="19"/>
      <c r="BTA105" s="19"/>
      <c r="BTB105" s="19"/>
      <c r="BTC105" s="19"/>
      <c r="BTD105" s="19"/>
      <c r="BTE105" s="19"/>
      <c r="BTF105" s="19"/>
      <c r="BTG105" s="19"/>
      <c r="BTH105" s="19"/>
      <c r="BTI105" s="19"/>
      <c r="BTJ105" s="19"/>
      <c r="BTK105" s="19"/>
      <c r="BTL105" s="19"/>
      <c r="BTM105" s="19"/>
      <c r="BTN105" s="19"/>
      <c r="BTO105" s="19"/>
      <c r="BTP105" s="19"/>
      <c r="BTQ105" s="19"/>
      <c r="BTR105" s="19"/>
      <c r="BTS105" s="19"/>
      <c r="BTT105" s="19"/>
      <c r="BTU105" s="19"/>
      <c r="BTV105" s="19"/>
      <c r="BTW105" s="19"/>
      <c r="BTX105" s="19"/>
      <c r="BTY105" s="19"/>
      <c r="BTZ105" s="19"/>
      <c r="BUA105" s="19"/>
      <c r="BUB105" s="19"/>
      <c r="BUC105" s="19"/>
      <c r="BUD105" s="19"/>
      <c r="BUE105" s="19"/>
      <c r="BUF105" s="19"/>
      <c r="BUG105" s="19"/>
      <c r="BUH105" s="19"/>
      <c r="BUI105" s="19"/>
      <c r="BUJ105" s="19"/>
      <c r="BUK105" s="19"/>
      <c r="BUL105" s="19"/>
      <c r="BUM105" s="19"/>
      <c r="BUN105" s="19"/>
      <c r="BUO105" s="19"/>
      <c r="BUP105" s="19"/>
      <c r="BUQ105" s="19"/>
      <c r="BUR105" s="19"/>
      <c r="BUS105" s="19"/>
      <c r="BUT105" s="19"/>
      <c r="BUU105" s="19"/>
      <c r="BUV105" s="19"/>
      <c r="BUW105" s="19"/>
      <c r="BUX105" s="19"/>
      <c r="BUY105" s="19"/>
      <c r="BUZ105" s="19"/>
      <c r="BVA105" s="19"/>
      <c r="BVB105" s="19"/>
      <c r="BVC105" s="19"/>
      <c r="BVD105" s="19"/>
      <c r="BVE105" s="19"/>
      <c r="BVF105" s="19"/>
      <c r="BVG105" s="19"/>
      <c r="BVH105" s="19"/>
      <c r="BVI105" s="19"/>
      <c r="BVJ105" s="19"/>
      <c r="BVK105" s="19"/>
      <c r="BVL105" s="19"/>
      <c r="BVM105" s="19"/>
      <c r="BVN105" s="19"/>
      <c r="BVO105" s="19"/>
      <c r="BVP105" s="19"/>
      <c r="BVQ105" s="19"/>
      <c r="BVR105" s="19"/>
      <c r="BVS105" s="19"/>
      <c r="BVT105" s="19"/>
      <c r="BVU105" s="19"/>
      <c r="BVV105" s="19"/>
      <c r="BVW105" s="19"/>
      <c r="BVX105" s="19"/>
      <c r="BVY105" s="19"/>
      <c r="BVZ105" s="19"/>
      <c r="BWA105" s="19"/>
      <c r="BWB105" s="19"/>
      <c r="BWC105" s="19"/>
      <c r="BWD105" s="19"/>
      <c r="BWE105" s="19"/>
      <c r="BWF105" s="19"/>
      <c r="BWG105" s="19"/>
      <c r="BWH105" s="19"/>
      <c r="BWI105" s="19"/>
      <c r="BWJ105" s="19"/>
      <c r="BWK105" s="19"/>
      <c r="BWL105" s="19"/>
      <c r="BWM105" s="19"/>
      <c r="BWN105" s="19"/>
      <c r="BWO105" s="19"/>
      <c r="BWP105" s="19"/>
      <c r="BWQ105" s="19"/>
      <c r="BWR105" s="19"/>
      <c r="BWS105" s="19"/>
      <c r="BWT105" s="19"/>
      <c r="BWU105" s="19"/>
      <c r="BWV105" s="19"/>
      <c r="BWW105" s="19"/>
      <c r="BWX105" s="19"/>
      <c r="BWY105" s="19"/>
      <c r="BWZ105" s="19"/>
      <c r="BXA105" s="19"/>
      <c r="BXB105" s="19"/>
      <c r="BXC105" s="19"/>
      <c r="BXD105" s="19"/>
      <c r="BXE105" s="19"/>
      <c r="BXF105" s="19"/>
      <c r="BXG105" s="19"/>
      <c r="BXH105" s="19"/>
      <c r="BXI105" s="19"/>
      <c r="BXJ105" s="19"/>
      <c r="BXK105" s="19"/>
      <c r="BXL105" s="19"/>
      <c r="BXM105" s="19"/>
      <c r="BXN105" s="19"/>
      <c r="BXO105" s="19"/>
      <c r="BXP105" s="19"/>
      <c r="BXQ105" s="19"/>
      <c r="BXR105" s="19"/>
      <c r="BXS105" s="19"/>
      <c r="BXT105" s="19"/>
      <c r="BXU105" s="19"/>
      <c r="BXV105" s="19"/>
      <c r="BXW105" s="19"/>
      <c r="BXX105" s="19"/>
      <c r="BXY105" s="19"/>
      <c r="BXZ105" s="19"/>
      <c r="BYA105" s="19"/>
      <c r="BYB105" s="19"/>
      <c r="BYC105" s="19"/>
      <c r="BYD105" s="19"/>
      <c r="BYE105" s="19"/>
      <c r="BYF105" s="19"/>
      <c r="BYG105" s="19"/>
      <c r="BYH105" s="19"/>
      <c r="BYI105" s="19"/>
      <c r="BYJ105" s="19"/>
      <c r="BYK105" s="19"/>
      <c r="BYL105" s="19"/>
      <c r="BYM105" s="19"/>
      <c r="BYN105" s="19"/>
      <c r="BYO105" s="19"/>
      <c r="BYP105" s="19"/>
      <c r="BYQ105" s="19"/>
      <c r="BYR105" s="19"/>
      <c r="BYS105" s="19"/>
      <c r="BYT105" s="19"/>
      <c r="BYU105" s="19"/>
      <c r="BYV105" s="19"/>
      <c r="BYW105" s="19"/>
      <c r="BYX105" s="19"/>
      <c r="BYY105" s="19"/>
      <c r="BYZ105" s="19"/>
      <c r="BZA105" s="19"/>
      <c r="BZB105" s="19"/>
      <c r="BZC105" s="19"/>
      <c r="BZD105" s="19"/>
      <c r="BZE105" s="19"/>
      <c r="BZF105" s="19"/>
      <c r="BZG105" s="19"/>
      <c r="BZH105" s="19"/>
      <c r="BZI105" s="19"/>
      <c r="BZJ105" s="19"/>
      <c r="BZK105" s="19"/>
      <c r="BZL105" s="19"/>
      <c r="BZM105" s="19"/>
      <c r="BZN105" s="19"/>
      <c r="BZO105" s="19"/>
      <c r="BZP105" s="19"/>
      <c r="BZQ105" s="19"/>
      <c r="BZR105" s="19"/>
      <c r="BZS105" s="19"/>
      <c r="BZT105" s="19"/>
      <c r="BZU105" s="19"/>
      <c r="BZV105" s="19"/>
      <c r="BZW105" s="19"/>
      <c r="BZX105" s="19"/>
      <c r="BZY105" s="19"/>
      <c r="BZZ105" s="19"/>
      <c r="CAA105" s="19"/>
      <c r="CAB105" s="19"/>
      <c r="CAC105" s="19"/>
      <c r="CAD105" s="19"/>
      <c r="CAE105" s="19"/>
      <c r="CAF105" s="19"/>
      <c r="CAG105" s="19"/>
      <c r="CAH105" s="19"/>
      <c r="CAI105" s="19"/>
      <c r="CAJ105" s="19"/>
      <c r="CAK105" s="19"/>
      <c r="CAL105" s="19"/>
      <c r="CAM105" s="19"/>
      <c r="CAN105" s="19"/>
      <c r="CAO105" s="19"/>
      <c r="CAP105" s="19"/>
      <c r="CAQ105" s="19"/>
      <c r="CAR105" s="19"/>
      <c r="CAS105" s="19"/>
      <c r="CAT105" s="19"/>
      <c r="CAU105" s="19"/>
      <c r="CAV105" s="19"/>
      <c r="CAW105" s="19"/>
      <c r="CAX105" s="19"/>
      <c r="CAY105" s="19"/>
      <c r="CAZ105" s="19"/>
      <c r="CBF105" s="19"/>
      <c r="CBG105" s="19"/>
      <c r="CBH105" s="19"/>
      <c r="CBI105" s="19"/>
      <c r="CBJ105" s="19"/>
      <c r="CBK105" s="19"/>
      <c r="CBL105" s="19"/>
      <c r="CBM105" s="19"/>
      <c r="CBN105" s="19"/>
      <c r="CBO105" s="19"/>
      <c r="CBP105" s="19"/>
      <c r="CBQ105" s="19"/>
      <c r="CBR105" s="19"/>
      <c r="CBS105" s="19"/>
      <c r="CBT105" s="19"/>
      <c r="CBU105" s="19"/>
      <c r="CBV105" s="19"/>
      <c r="CBW105" s="19"/>
      <c r="CBX105" s="19"/>
      <c r="CBY105" s="19"/>
      <c r="CBZ105" s="19"/>
      <c r="CCA105" s="19"/>
      <c r="CCB105" s="19"/>
      <c r="CCC105" s="19"/>
      <c r="CCD105" s="19"/>
      <c r="CCE105" s="19"/>
      <c r="CCF105" s="19"/>
      <c r="CCG105" s="19"/>
      <c r="CCH105" s="19"/>
      <c r="CCI105" s="19"/>
      <c r="CCJ105" s="19"/>
      <c r="CCK105" s="19"/>
      <c r="CCL105" s="19"/>
      <c r="CCM105" s="19"/>
      <c r="CCN105" s="19"/>
      <c r="CCO105" s="19"/>
      <c r="CCP105" s="19"/>
      <c r="CCQ105" s="19"/>
      <c r="CCR105" s="19"/>
      <c r="CCS105" s="19"/>
      <c r="CCT105" s="19"/>
      <c r="CCU105" s="19"/>
      <c r="CCV105" s="19"/>
      <c r="CCW105" s="19"/>
      <c r="CCX105" s="19"/>
      <c r="CCY105" s="19"/>
      <c r="CCZ105" s="19"/>
      <c r="CDA105" s="19"/>
      <c r="CDB105" s="19"/>
      <c r="CDC105" s="19"/>
      <c r="CDD105" s="19"/>
      <c r="CDE105" s="19"/>
      <c r="CDF105" s="19"/>
      <c r="CDG105" s="19"/>
      <c r="CDH105" s="19"/>
      <c r="CDI105" s="19"/>
      <c r="CDJ105" s="19"/>
      <c r="CDK105" s="19"/>
      <c r="CDL105" s="19"/>
      <c r="CDM105" s="19"/>
      <c r="CDN105" s="19"/>
      <c r="CDO105" s="19"/>
      <c r="CDP105" s="19"/>
      <c r="CDQ105" s="19"/>
      <c r="CDR105" s="19"/>
      <c r="CDS105" s="19"/>
      <c r="CDT105" s="19"/>
      <c r="CDU105" s="19"/>
      <c r="CDV105" s="19"/>
      <c r="CDW105" s="19"/>
      <c r="CDX105" s="19"/>
      <c r="CDY105" s="19"/>
      <c r="CDZ105" s="19"/>
      <c r="CEA105" s="19"/>
      <c r="CEB105" s="19"/>
      <c r="CEC105" s="19"/>
      <c r="CED105" s="19"/>
      <c r="CEE105" s="19"/>
    </row>
    <row r="106" spans="1:2297 10881:10881" ht="16.05" customHeight="1">
      <c r="A106" s="19" t="s">
        <v>681</v>
      </c>
      <c r="B106" s="19" t="s">
        <v>693</v>
      </c>
      <c r="C106" s="643"/>
      <c r="D106" s="428" t="str">
        <f t="shared" ca="1" si="279"/>
        <v>Japón</v>
      </c>
      <c r="E106" s="643" t="s">
        <v>3</v>
      </c>
      <c r="F106" s="643" t="s">
        <v>455</v>
      </c>
      <c r="G106" s="424" t="s">
        <v>4</v>
      </c>
      <c r="H106" s="624">
        <f t="shared" ca="1" si="280"/>
        <v>12</v>
      </c>
      <c r="I106" s="10"/>
      <c r="J106" s="19">
        <v>78</v>
      </c>
      <c r="K106" s="439">
        <v>46203.75</v>
      </c>
      <c r="L106" s="19" t="s">
        <v>709</v>
      </c>
      <c r="M106" s="19" t="str">
        <f t="shared" ca="1" si="281"/>
        <v>Ecuador</v>
      </c>
      <c r="N106" s="19"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9"/>
      <c r="P106" s="19"/>
      <c r="Q106" s="19"/>
      <c r="R106" s="19"/>
      <c r="S106" s="19"/>
      <c r="T106" s="19"/>
      <c r="U106" s="19"/>
      <c r="V106" s="20"/>
      <c r="W106" s="671"/>
      <c r="X106" s="27">
        <f ca="1">Horarios!C106</f>
        <v>46203.958333333336</v>
      </c>
      <c r="Y106" s="28">
        <f ca="1">Horarios!C106</f>
        <v>46203.958333333336</v>
      </c>
      <c r="Z106" s="289">
        <f t="shared" si="286"/>
        <v>77</v>
      </c>
      <c r="AA106" s="96" t="str">
        <f t="shared" ca="1" si="282"/>
        <v>Francia</v>
      </c>
      <c r="AB106" s="97"/>
      <c r="AC106" s="100">
        <v>0</v>
      </c>
      <c r="AD106" s="100">
        <v>1</v>
      </c>
      <c r="AE106" s="97"/>
      <c r="AF106" s="99" t="str">
        <f t="shared" ca="1" si="283"/>
        <v>Japón</v>
      </c>
      <c r="AG106" s="339">
        <f t="shared" ca="1" si="284"/>
        <v>1</v>
      </c>
      <c r="AH106" s="204">
        <v>77</v>
      </c>
      <c r="AI106" s="191">
        <v>5</v>
      </c>
      <c r="AJ106" s="46">
        <v>5</v>
      </c>
      <c r="AK106" s="40" t="str">
        <f ca="1">IFERROR(INDEX(Equipos!$L$2:$L$49,MATCH(WORLDCUP!AL106,Equipos!$K$2:$K$49,0)),"")</f>
        <v>🇶🇦</v>
      </c>
      <c r="AL106" s="93" t="str">
        <f t="shared" ca="1" si="287"/>
        <v>Catar</v>
      </c>
      <c r="AM106" s="334">
        <f t="shared" ca="1" si="288"/>
        <v>3</v>
      </c>
      <c r="AN106" s="94">
        <f t="shared" ca="1" si="288"/>
        <v>3</v>
      </c>
      <c r="AO106" s="94">
        <f t="shared" ca="1" si="288"/>
        <v>1</v>
      </c>
      <c r="AP106" s="94">
        <f t="shared" ca="1" si="288"/>
        <v>0</v>
      </c>
      <c r="AQ106" s="94">
        <f t="shared" ca="1" si="288"/>
        <v>2</v>
      </c>
      <c r="AR106" s="94">
        <f t="shared" ca="1" si="288"/>
        <v>1</v>
      </c>
      <c r="AS106" s="94">
        <f t="shared" ca="1" si="288"/>
        <v>3</v>
      </c>
      <c r="AT106" s="95">
        <f t="shared" ca="1" si="288"/>
        <v>-2</v>
      </c>
      <c r="AU106" s="342">
        <f t="shared" ca="1" si="289"/>
        <v>1</v>
      </c>
      <c r="AV106" s="191" t="str">
        <f t="shared" ca="1" si="290"/>
        <v>Catar</v>
      </c>
      <c r="AW106" s="224"/>
      <c r="AX106" s="178"/>
      <c r="AY106" s="285"/>
      <c r="AZ106" s="288" t="str">
        <f t="shared" ca="1" si="291"/>
        <v>1E - 3C</v>
      </c>
      <c r="BA106" s="155"/>
      <c r="BB106" s="19"/>
      <c r="BD106" s="19"/>
      <c r="BE106" s="19"/>
      <c r="BF106" s="19" t="str">
        <f t="shared" ca="1" si="292"/>
        <v>F</v>
      </c>
      <c r="BG106" s="19">
        <f t="shared" ca="1" si="293"/>
        <v>4</v>
      </c>
      <c r="BH106" s="19"/>
      <c r="BI106" s="10">
        <v>4</v>
      </c>
      <c r="BJ106" s="19" t="str">
        <f t="shared" ca="1" si="294"/>
        <v>F</v>
      </c>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19"/>
      <c r="MI106" s="19"/>
      <c r="MJ106" s="19"/>
      <c r="MK106" s="19"/>
      <c r="ML106" s="19"/>
      <c r="MM106" s="19"/>
      <c r="MN106" s="19"/>
      <c r="MO106" s="19"/>
      <c r="MP106" s="19"/>
      <c r="MQ106" s="19"/>
      <c r="MR106" s="19"/>
      <c r="MS106" s="19"/>
      <c r="MT106" s="19"/>
      <c r="MU106" s="19"/>
      <c r="MV106" s="19"/>
      <c r="MW106" s="19"/>
      <c r="MX106" s="19"/>
      <c r="MY106" s="19"/>
      <c r="MZ106" s="19"/>
      <c r="NA106" s="19"/>
      <c r="NB106" s="19"/>
      <c r="NC106" s="19"/>
      <c r="ND106" s="19"/>
      <c r="NE106" s="19"/>
      <c r="NF106" s="19"/>
      <c r="NG106" s="19"/>
      <c r="NH106" s="19"/>
      <c r="NI106" s="19"/>
      <c r="NJ106" s="19"/>
      <c r="NK106" s="19"/>
      <c r="NL106" s="19"/>
      <c r="NM106" s="19"/>
      <c r="NN106" s="19"/>
      <c r="NO106" s="19"/>
      <c r="NP106" s="19"/>
      <c r="NQ106" s="19"/>
      <c r="NR106" s="19"/>
      <c r="NS106" s="19"/>
      <c r="NT106" s="19"/>
      <c r="NU106" s="19"/>
      <c r="NV106" s="19"/>
      <c r="NW106" s="19"/>
      <c r="NX106" s="19"/>
      <c r="NY106" s="19"/>
      <c r="NZ106" s="19"/>
      <c r="OA106" s="19"/>
      <c r="OB106" s="19"/>
      <c r="OC106" s="19"/>
      <c r="OD106" s="19"/>
      <c r="OE106" s="19"/>
      <c r="OF106" s="19"/>
      <c r="OG106" s="19"/>
      <c r="OH106" s="19"/>
      <c r="OI106" s="19"/>
      <c r="OJ106" s="19"/>
      <c r="OK106" s="19"/>
      <c r="OL106" s="19"/>
      <c r="OM106" s="19"/>
      <c r="ON106" s="19"/>
      <c r="OO106" s="19"/>
      <c r="OP106" s="19"/>
      <c r="OQ106" s="19"/>
      <c r="OR106" s="19"/>
      <c r="OS106" s="19"/>
      <c r="OT106" s="19"/>
      <c r="OU106" s="19"/>
      <c r="OV106" s="19"/>
      <c r="OW106" s="19"/>
      <c r="OX106" s="19"/>
      <c r="OY106" s="19"/>
      <c r="OZ106" s="19"/>
      <c r="PA106" s="19"/>
      <c r="PB106" s="19"/>
      <c r="PC106" s="19"/>
      <c r="PD106" s="19"/>
      <c r="PE106" s="19"/>
      <c r="PF106" s="19"/>
      <c r="PG106" s="19"/>
      <c r="PH106" s="19"/>
      <c r="PI106" s="19"/>
      <c r="PJ106" s="19"/>
      <c r="PK106" s="19"/>
      <c r="PL106" s="19"/>
      <c r="PM106" s="19"/>
      <c r="PN106" s="19"/>
      <c r="PO106" s="19"/>
      <c r="PP106" s="19"/>
      <c r="PQ106" s="19"/>
      <c r="PR106" s="19"/>
      <c r="PS106" s="19"/>
      <c r="PT106" s="19"/>
      <c r="PU106" s="19"/>
      <c r="PV106" s="19"/>
      <c r="PW106" s="19"/>
      <c r="PX106" s="19"/>
      <c r="PY106" s="19"/>
      <c r="PZ106" s="19"/>
      <c r="QA106" s="19"/>
      <c r="QB106" s="19"/>
      <c r="QC106" s="19"/>
      <c r="QD106" s="19"/>
      <c r="QE106" s="19"/>
      <c r="QF106" s="19"/>
      <c r="QG106" s="19"/>
      <c r="QH106" s="19"/>
      <c r="QI106" s="19"/>
      <c r="QJ106" s="19"/>
      <c r="QK106" s="19"/>
      <c r="QL106" s="19"/>
      <c r="QM106" s="19"/>
      <c r="QN106" s="19"/>
      <c r="QO106" s="19"/>
      <c r="QP106" s="19"/>
      <c r="QQ106" s="19"/>
      <c r="QR106" s="19"/>
      <c r="QS106" s="19"/>
      <c r="QT106" s="19"/>
      <c r="QU106" s="19"/>
      <c r="QV106" s="19"/>
      <c r="QW106" s="19"/>
      <c r="QX106" s="19"/>
      <c r="QY106" s="19"/>
      <c r="QZ106" s="19"/>
      <c r="RA106" s="19"/>
      <c r="RB106" s="19"/>
      <c r="RC106" s="19"/>
      <c r="RD106" s="19"/>
      <c r="RE106" s="19"/>
      <c r="RF106" s="19"/>
      <c r="RG106" s="19"/>
      <c r="RH106" s="19"/>
      <c r="RI106" s="19"/>
      <c r="RJ106" s="19"/>
      <c r="RK106" s="19"/>
      <c r="RL106" s="19"/>
      <c r="RM106" s="19"/>
      <c r="RN106" s="19"/>
      <c r="RO106" s="19"/>
      <c r="RP106" s="19"/>
      <c r="RQ106" s="19"/>
      <c r="RR106" s="19"/>
      <c r="RS106" s="19"/>
      <c r="RT106" s="19"/>
      <c r="RU106" s="19"/>
      <c r="RV106" s="19"/>
      <c r="RW106" s="19"/>
      <c r="RX106" s="19"/>
      <c r="RY106" s="19"/>
      <c r="RZ106" s="19"/>
      <c r="SA106" s="19"/>
      <c r="SB106" s="19"/>
      <c r="SC106" s="19"/>
      <c r="SD106" s="19"/>
      <c r="SE106" s="19"/>
      <c r="SF106" s="19"/>
      <c r="SG106" s="19"/>
      <c r="SH106" s="19"/>
      <c r="SI106" s="19"/>
      <c r="SJ106" s="19"/>
      <c r="SK106" s="19"/>
      <c r="SL106" s="19"/>
      <c r="SM106" s="19"/>
      <c r="SN106" s="19"/>
      <c r="SO106" s="19"/>
      <c r="SP106" s="19"/>
      <c r="SQ106" s="19"/>
      <c r="SR106" s="19"/>
      <c r="SS106" s="19"/>
      <c r="ST106" s="19"/>
      <c r="SU106" s="19"/>
      <c r="SV106" s="19"/>
      <c r="SW106" s="19"/>
      <c r="SX106" s="19"/>
      <c r="SY106" s="19"/>
      <c r="SZ106" s="19"/>
      <c r="TA106" s="19"/>
      <c r="TB106" s="19"/>
      <c r="TC106" s="19"/>
      <c r="TD106" s="19"/>
      <c r="TE106" s="19"/>
      <c r="TF106" s="19"/>
      <c r="TG106" s="19"/>
      <c r="TH106" s="19"/>
      <c r="TI106" s="19"/>
      <c r="TJ106" s="19"/>
      <c r="TK106" s="19"/>
      <c r="TL106" s="19"/>
      <c r="TM106" s="19"/>
      <c r="TN106" s="19"/>
      <c r="TO106" s="19"/>
      <c r="TP106" s="19"/>
      <c r="TQ106" s="19"/>
      <c r="TR106" s="19"/>
      <c r="TS106" s="19"/>
      <c r="TT106" s="19"/>
      <c r="TU106" s="19"/>
      <c r="TV106" s="19"/>
      <c r="TW106" s="19"/>
      <c r="TX106" s="19"/>
      <c r="TY106" s="19"/>
      <c r="TZ106" s="19"/>
      <c r="UA106" s="19"/>
      <c r="UB106" s="19"/>
      <c r="UC106" s="19"/>
      <c r="UD106" s="19"/>
      <c r="UE106" s="19"/>
      <c r="UF106" s="19"/>
      <c r="UG106" s="19"/>
      <c r="UH106" s="19"/>
      <c r="UI106" s="19"/>
      <c r="UJ106" s="19"/>
      <c r="UK106" s="19"/>
      <c r="UL106" s="19"/>
      <c r="UM106" s="19"/>
      <c r="UN106" s="19"/>
      <c r="UO106" s="19"/>
      <c r="UP106" s="19"/>
      <c r="UQ106" s="19"/>
      <c r="UR106" s="19"/>
      <c r="US106" s="19"/>
      <c r="UT106" s="19"/>
      <c r="UU106" s="19"/>
      <c r="UV106" s="19"/>
      <c r="UW106" s="19"/>
      <c r="UX106" s="19"/>
      <c r="UY106" s="19"/>
      <c r="UZ106" s="19"/>
      <c r="VA106" s="19"/>
      <c r="VB106" s="19"/>
      <c r="VC106" s="19"/>
      <c r="VD106" s="19"/>
      <c r="VE106" s="19"/>
      <c r="VF106" s="19"/>
      <c r="VG106" s="19"/>
      <c r="VH106" s="19"/>
      <c r="VI106" s="19"/>
      <c r="VJ106" s="19"/>
      <c r="VK106" s="19"/>
      <c r="VL106" s="19"/>
      <c r="VM106" s="19"/>
      <c r="VN106" s="19"/>
      <c r="VO106" s="19"/>
      <c r="VP106" s="19"/>
      <c r="VQ106" s="19"/>
      <c r="VR106" s="19"/>
      <c r="VS106" s="19"/>
      <c r="VT106" s="19"/>
      <c r="VU106" s="19"/>
      <c r="VV106" s="19"/>
      <c r="VW106" s="19"/>
      <c r="VX106" s="19"/>
      <c r="VY106" s="19"/>
      <c r="VZ106" s="19"/>
      <c r="WA106" s="19"/>
      <c r="WB106" s="19"/>
      <c r="WC106" s="19"/>
      <c r="WD106" s="19"/>
      <c r="WE106" s="19"/>
      <c r="WF106" s="19"/>
      <c r="WG106" s="19"/>
      <c r="WH106" s="19"/>
      <c r="WI106" s="19"/>
      <c r="WJ106" s="19"/>
      <c r="WK106" s="19"/>
      <c r="WL106" s="19"/>
      <c r="WM106" s="19"/>
      <c r="WN106" s="19"/>
      <c r="WO106" s="19"/>
      <c r="WP106" s="19"/>
      <c r="WQ106" s="19"/>
      <c r="WR106" s="19"/>
      <c r="WS106" s="19"/>
      <c r="WT106" s="19"/>
      <c r="WU106" s="19"/>
      <c r="WV106" s="19"/>
      <c r="WW106" s="19"/>
      <c r="WX106" s="19"/>
      <c r="WY106" s="19"/>
      <c r="WZ106" s="19"/>
      <c r="XA106" s="19"/>
      <c r="XB106" s="19"/>
      <c r="XC106" s="19"/>
      <c r="XD106" s="19"/>
      <c r="XE106" s="19"/>
      <c r="XF106" s="19"/>
      <c r="XG106" s="19"/>
      <c r="XH106" s="19"/>
      <c r="XI106" s="19"/>
      <c r="XJ106" s="19"/>
      <c r="XK106" s="19"/>
      <c r="XL106" s="19"/>
      <c r="XM106" s="19"/>
      <c r="XN106" s="19"/>
      <c r="XO106" s="19"/>
      <c r="XP106" s="19"/>
      <c r="XQ106" s="19"/>
      <c r="XR106" s="19"/>
      <c r="XS106" s="19"/>
      <c r="XT106" s="19"/>
      <c r="XU106" s="19"/>
      <c r="XV106" s="19"/>
      <c r="XW106" s="19"/>
      <c r="XX106" s="19"/>
      <c r="XY106" s="19"/>
      <c r="XZ106" s="19"/>
      <c r="YA106" s="19"/>
      <c r="YB106" s="19"/>
      <c r="YC106" s="19"/>
      <c r="YD106" s="19"/>
      <c r="YE106" s="19"/>
      <c r="YF106" s="19"/>
      <c r="YG106" s="19"/>
      <c r="YH106" s="19"/>
      <c r="YI106" s="19"/>
      <c r="YJ106" s="19"/>
      <c r="YK106" s="19"/>
      <c r="YL106" s="19"/>
      <c r="YM106" s="19"/>
      <c r="YN106" s="19"/>
      <c r="YO106" s="19"/>
      <c r="YP106" s="19"/>
      <c r="YQ106" s="19"/>
      <c r="YR106" s="19"/>
      <c r="YS106" s="19"/>
      <c r="YT106" s="19"/>
      <c r="YU106" s="19"/>
      <c r="YV106" s="19"/>
      <c r="YW106" s="19"/>
      <c r="YX106" s="19"/>
      <c r="YY106" s="19"/>
      <c r="YZ106" s="19"/>
      <c r="ZA106" s="19"/>
      <c r="ZB106" s="19"/>
      <c r="ZC106" s="19"/>
      <c r="ZD106" s="19"/>
      <c r="ZE106" s="19"/>
      <c r="ZF106" s="19"/>
      <c r="ZG106" s="19"/>
      <c r="ZH106" s="19"/>
      <c r="ZI106" s="19"/>
      <c r="ZJ106" s="19"/>
      <c r="ZK106" s="19"/>
      <c r="ZL106" s="19"/>
      <c r="ZM106" s="19"/>
      <c r="ZN106" s="19"/>
      <c r="ZO106" s="19"/>
      <c r="ZP106" s="19"/>
      <c r="ZQ106" s="19"/>
      <c r="ZR106" s="19"/>
      <c r="ZS106" s="19"/>
      <c r="ZT106" s="19"/>
      <c r="ZU106" s="19"/>
      <c r="ZV106" s="19"/>
      <c r="ZW106" s="19"/>
      <c r="ZX106" s="19"/>
      <c r="ZY106" s="19"/>
      <c r="ZZ106" s="19"/>
      <c r="AAA106" s="19"/>
      <c r="AAB106" s="19"/>
      <c r="AAC106" s="19"/>
      <c r="AAD106" s="19"/>
      <c r="AAE106" s="19"/>
      <c r="AAF106" s="19"/>
      <c r="AAG106" s="19"/>
      <c r="AAH106" s="19"/>
      <c r="AAI106" s="19"/>
      <c r="AAJ106" s="19"/>
      <c r="AAK106" s="19"/>
      <c r="AAL106" s="19"/>
      <c r="AAM106" s="19"/>
      <c r="AAN106" s="19"/>
      <c r="AAO106" s="19"/>
      <c r="AAP106" s="19"/>
      <c r="AAQ106" s="19"/>
      <c r="AAR106" s="19"/>
      <c r="AAS106" s="19"/>
      <c r="AAT106" s="19"/>
      <c r="AAU106" s="19"/>
      <c r="AAV106" s="19"/>
      <c r="AAW106" s="19"/>
      <c r="AAX106" s="19"/>
      <c r="AAY106" s="19"/>
      <c r="AAZ106" s="19"/>
      <c r="ABA106" s="19"/>
      <c r="ABB106" s="19"/>
      <c r="ABC106" s="19"/>
      <c r="ABD106" s="19"/>
      <c r="ABE106" s="19"/>
      <c r="ABF106" s="19"/>
      <c r="ABG106" s="19"/>
      <c r="ABH106" s="19"/>
      <c r="ABI106" s="19"/>
      <c r="ABJ106" s="19"/>
      <c r="ABK106" s="19"/>
      <c r="ABL106" s="19"/>
      <c r="ABM106" s="19"/>
      <c r="ABN106" s="19"/>
      <c r="ABO106" s="19"/>
      <c r="ABP106" s="19"/>
      <c r="ABQ106" s="19"/>
      <c r="ABR106" s="19"/>
      <c r="ABS106" s="19"/>
      <c r="ABT106" s="19"/>
      <c r="ABU106" s="19"/>
      <c r="ABV106" s="19"/>
      <c r="ABW106" s="19"/>
      <c r="ABX106" s="19"/>
      <c r="ABY106" s="19"/>
      <c r="ABZ106" s="19"/>
      <c r="ACA106" s="19"/>
      <c r="ACB106" s="19"/>
      <c r="ACC106" s="19"/>
      <c r="ACD106" s="19"/>
      <c r="ACE106" s="19"/>
      <c r="ACF106" s="19"/>
      <c r="ACG106" s="19"/>
      <c r="ACH106" s="19"/>
      <c r="ACI106" s="19"/>
      <c r="ACJ106" s="19"/>
      <c r="ACK106" s="19"/>
      <c r="ACL106" s="19"/>
      <c r="ACM106" s="19"/>
      <c r="ACN106" s="19"/>
      <c r="ACO106" s="19"/>
      <c r="ACP106" s="19"/>
      <c r="ACQ106" s="19"/>
      <c r="ACR106" s="19"/>
      <c r="ACS106" s="19"/>
      <c r="ACT106" s="19"/>
      <c r="ACU106" s="19"/>
      <c r="ACV106" s="19"/>
      <c r="ACW106" s="19"/>
      <c r="ACX106" s="19"/>
      <c r="ACY106" s="19"/>
      <c r="ACZ106" s="19"/>
      <c r="ADA106" s="19"/>
      <c r="ADB106" s="19"/>
      <c r="ADC106" s="19"/>
      <c r="ADD106" s="19"/>
      <c r="ADE106" s="19"/>
      <c r="ADF106" s="19"/>
      <c r="ADG106" s="19"/>
      <c r="ADH106" s="19"/>
      <c r="ADI106" s="19"/>
      <c r="ADJ106" s="19"/>
      <c r="ADK106" s="19"/>
      <c r="ADL106" s="19"/>
      <c r="ADM106" s="19"/>
      <c r="ADN106" s="19"/>
      <c r="ADO106" s="19"/>
      <c r="ADP106" s="19"/>
      <c r="ADQ106" s="19"/>
      <c r="ADR106" s="19"/>
      <c r="ADS106" s="19"/>
      <c r="ADT106" s="19"/>
      <c r="ADU106" s="19"/>
      <c r="ADV106" s="19"/>
      <c r="ADW106" s="19"/>
      <c r="ADX106" s="19"/>
      <c r="ADY106" s="19"/>
      <c r="ADZ106" s="19"/>
      <c r="AEA106" s="19"/>
      <c r="AEB106" s="19"/>
      <c r="AEC106" s="19"/>
      <c r="AED106" s="19"/>
      <c r="AEE106" s="19"/>
      <c r="AEF106" s="19"/>
      <c r="AEG106" s="19"/>
      <c r="AEH106" s="19"/>
      <c r="AEI106" s="19"/>
      <c r="AEJ106" s="19"/>
      <c r="AEK106" s="19"/>
      <c r="AEL106" s="19"/>
      <c r="AEM106" s="19"/>
      <c r="AEN106" s="19"/>
      <c r="AEO106" s="19"/>
      <c r="AEP106" s="19"/>
      <c r="AEQ106" s="19"/>
      <c r="AER106" s="19"/>
      <c r="AES106" s="19"/>
      <c r="AET106" s="19"/>
      <c r="AEU106" s="19"/>
      <c r="AEV106" s="19"/>
      <c r="AEW106" s="19"/>
      <c r="AEX106" s="19"/>
      <c r="AEY106" s="19"/>
      <c r="AEZ106" s="19"/>
      <c r="AFA106" s="19"/>
      <c r="AFB106" s="19"/>
      <c r="AFC106" s="19"/>
      <c r="AFD106" s="19"/>
      <c r="AFE106" s="19"/>
      <c r="AFF106" s="19"/>
      <c r="AFG106" s="19"/>
      <c r="AFH106" s="19"/>
      <c r="AFI106" s="19"/>
      <c r="AFJ106" s="19"/>
      <c r="AFK106" s="19"/>
      <c r="AFL106" s="19"/>
      <c r="AFM106" s="19"/>
      <c r="AFN106" s="19"/>
      <c r="AFO106" s="19"/>
      <c r="AFP106" s="19"/>
      <c r="AFQ106" s="19"/>
      <c r="AFR106" s="19"/>
      <c r="AFS106" s="19"/>
      <c r="AFT106" s="19"/>
      <c r="AFU106" s="19"/>
      <c r="AFV106" s="19"/>
      <c r="AFW106" s="19"/>
      <c r="AFX106" s="19"/>
      <c r="AFY106" s="19"/>
      <c r="AFZ106" s="19"/>
      <c r="AGA106" s="19"/>
      <c r="AGB106" s="19"/>
      <c r="AGC106" s="19"/>
      <c r="AGD106" s="19"/>
      <c r="AGE106" s="19"/>
      <c r="AGF106" s="19"/>
      <c r="AGG106" s="19"/>
      <c r="AGH106" s="19"/>
      <c r="AGI106" s="19"/>
      <c r="AGJ106" s="19"/>
      <c r="AGK106" s="19"/>
      <c r="AGL106" s="19"/>
      <c r="AGM106" s="19"/>
      <c r="AGN106" s="19"/>
      <c r="AGO106" s="19"/>
      <c r="AGP106" s="19"/>
      <c r="AGQ106" s="19"/>
      <c r="AGR106" s="19"/>
      <c r="AGS106" s="19"/>
      <c r="AGT106" s="19"/>
      <c r="AGU106" s="19"/>
      <c r="AGV106" s="19"/>
      <c r="AGW106" s="19"/>
      <c r="AGX106" s="19"/>
      <c r="AGY106" s="19"/>
      <c r="AGZ106" s="19"/>
      <c r="AHA106" s="19"/>
      <c r="AHB106" s="19"/>
      <c r="AHC106" s="19"/>
      <c r="AHD106" s="19"/>
      <c r="AHE106" s="19"/>
      <c r="AHF106" s="19"/>
      <c r="AHG106" s="19"/>
      <c r="AHH106" s="19"/>
      <c r="AHI106" s="19"/>
      <c r="AHJ106" s="19"/>
      <c r="AHK106" s="19"/>
      <c r="AHL106" s="19"/>
      <c r="AHM106" s="19"/>
      <c r="AHN106" s="19"/>
      <c r="AHO106" s="19"/>
      <c r="AHP106" s="19"/>
      <c r="AHQ106" s="19"/>
      <c r="AHR106" s="19"/>
      <c r="AHS106" s="19"/>
      <c r="AHT106" s="19"/>
      <c r="AHU106" s="19"/>
      <c r="AHV106" s="19"/>
      <c r="AHW106" s="19"/>
      <c r="AHX106" s="19"/>
      <c r="AHY106" s="19"/>
      <c r="AHZ106" s="19"/>
      <c r="AIA106" s="19"/>
      <c r="AIB106" s="19"/>
      <c r="AIC106" s="19"/>
      <c r="AID106" s="19"/>
      <c r="AIE106" s="19"/>
      <c r="AIF106" s="19"/>
      <c r="AIG106" s="19"/>
      <c r="AIH106" s="19"/>
      <c r="AII106" s="19"/>
      <c r="AIJ106" s="19"/>
      <c r="AIK106" s="19"/>
      <c r="AIL106" s="19"/>
      <c r="AIM106" s="19"/>
      <c r="AIN106" s="19"/>
      <c r="AIO106" s="19"/>
      <c r="AIP106" s="19"/>
      <c r="AIQ106" s="19"/>
      <c r="AIR106" s="19"/>
      <c r="AIS106" s="19"/>
      <c r="AIT106" s="19"/>
      <c r="AIU106" s="19"/>
      <c r="AIV106" s="19"/>
      <c r="AIW106" s="19"/>
      <c r="AIX106" s="19"/>
      <c r="AIY106" s="19"/>
      <c r="AIZ106" s="19"/>
      <c r="AJA106" s="19"/>
      <c r="AJB106" s="19"/>
      <c r="AJC106" s="19"/>
      <c r="AJD106" s="19"/>
      <c r="AJE106" s="19"/>
      <c r="AJF106" s="19"/>
      <c r="AJG106" s="19"/>
      <c r="AJH106" s="19"/>
      <c r="AJI106" s="19"/>
      <c r="AJJ106" s="19"/>
      <c r="AJK106" s="19"/>
      <c r="AJL106" s="19"/>
      <c r="AJM106" s="19"/>
      <c r="AJN106" s="19"/>
      <c r="AJO106" s="19"/>
      <c r="AJP106" s="19"/>
      <c r="AJQ106" s="19"/>
      <c r="AJR106" s="19"/>
      <c r="AJS106" s="19"/>
      <c r="AJT106" s="19"/>
      <c r="AJU106" s="19"/>
      <c r="AJV106" s="19"/>
      <c r="AJW106" s="19"/>
      <c r="AJX106" s="19"/>
      <c r="AJY106" s="19"/>
      <c r="AJZ106" s="19"/>
      <c r="AKA106" s="19"/>
      <c r="AKB106" s="19"/>
      <c r="AKC106" s="19"/>
      <c r="AKD106" s="19"/>
      <c r="AKE106" s="19"/>
      <c r="AKF106" s="19"/>
      <c r="AKG106" s="19"/>
      <c r="AKH106" s="19"/>
      <c r="AKI106" s="19"/>
      <c r="AKJ106" s="19"/>
      <c r="AKK106" s="19"/>
      <c r="AKL106" s="19"/>
      <c r="AKM106" s="19"/>
      <c r="AKN106" s="19"/>
      <c r="AKO106" s="19"/>
      <c r="AKP106" s="19"/>
      <c r="AKQ106" s="19"/>
      <c r="AKR106" s="19"/>
      <c r="AKS106" s="19"/>
      <c r="AKT106" s="19"/>
      <c r="AKU106" s="19"/>
      <c r="AKV106" s="19"/>
      <c r="AKW106" s="19"/>
      <c r="AKX106" s="19"/>
      <c r="AKY106" s="19"/>
      <c r="AKZ106" s="19"/>
      <c r="ALA106" s="19"/>
      <c r="ALB106" s="19"/>
      <c r="ALC106" s="19"/>
      <c r="ALD106" s="19"/>
      <c r="ALE106" s="19"/>
      <c r="ALF106" s="19"/>
      <c r="ALG106" s="19"/>
      <c r="ALH106" s="19"/>
      <c r="ALI106" s="19"/>
      <c r="ALJ106" s="19"/>
      <c r="ALK106" s="19"/>
      <c r="ALL106" s="19"/>
      <c r="ALM106" s="19"/>
      <c r="ALN106" s="19"/>
      <c r="ALO106" s="19"/>
      <c r="ALP106" s="19"/>
      <c r="ALQ106" s="19"/>
      <c r="ALR106" s="19"/>
      <c r="ALS106" s="19"/>
      <c r="ALT106" s="19"/>
      <c r="ALU106" s="19"/>
      <c r="ALV106" s="19"/>
      <c r="ALW106" s="19"/>
      <c r="ALX106" s="19"/>
      <c r="ALY106" s="19"/>
      <c r="ALZ106" s="19"/>
      <c r="AMA106" s="19"/>
      <c r="AMB106" s="19"/>
      <c r="AMC106" s="19"/>
      <c r="AMD106" s="19"/>
      <c r="AME106" s="19"/>
      <c r="AMF106" s="19"/>
      <c r="AMG106" s="19"/>
      <c r="AMH106" s="19"/>
      <c r="AMI106" s="19"/>
      <c r="AMJ106" s="19"/>
      <c r="AMK106" s="19"/>
      <c r="AML106" s="19"/>
      <c r="AMM106" s="19"/>
      <c r="AMN106" s="19"/>
      <c r="AMO106" s="19"/>
      <c r="AMP106" s="19"/>
      <c r="AMQ106" s="19"/>
      <c r="AMR106" s="19"/>
      <c r="AMS106" s="19"/>
      <c r="AMT106" s="19"/>
      <c r="AMU106" s="19"/>
      <c r="AMV106" s="19"/>
      <c r="AMW106" s="19"/>
      <c r="AMX106" s="19"/>
      <c r="AMY106" s="19"/>
      <c r="AMZ106" s="19"/>
      <c r="ANA106" s="19"/>
      <c r="ANB106" s="19"/>
      <c r="ANC106" s="19"/>
      <c r="AND106" s="19"/>
      <c r="ANE106" s="19"/>
      <c r="ANF106" s="19"/>
      <c r="ANG106" s="19"/>
      <c r="ANH106" s="19"/>
      <c r="ANI106" s="19"/>
      <c r="ANJ106" s="19"/>
      <c r="ANK106" s="19"/>
      <c r="ANL106" s="19"/>
      <c r="ANM106" s="19"/>
      <c r="ANN106" s="19"/>
      <c r="ANO106" s="19"/>
      <c r="ANP106" s="19"/>
      <c r="ANQ106" s="639"/>
      <c r="ANR106" s="639"/>
      <c r="ANS106" s="19"/>
      <c r="ANT106" s="19"/>
      <c r="ANU106" s="19"/>
      <c r="ANV106" s="19"/>
      <c r="ANW106" s="19"/>
      <c r="ANX106" s="19"/>
      <c r="ANY106" s="19"/>
      <c r="ANZ106" s="19"/>
      <c r="AOA106" s="19"/>
      <c r="AOB106" s="19"/>
      <c r="AOC106" s="19"/>
      <c r="AOD106" s="19"/>
      <c r="AOE106" s="19"/>
      <c r="AOF106" s="19"/>
      <c r="AOG106" s="19"/>
      <c r="AOH106" s="19"/>
      <c r="AOI106" s="19"/>
      <c r="AOJ106" s="19"/>
      <c r="AOK106" s="19"/>
      <c r="AOL106" s="19"/>
      <c r="AOM106" s="19"/>
      <c r="AON106" s="19"/>
      <c r="AOO106" s="19"/>
      <c r="AOP106" s="19"/>
      <c r="AOQ106" s="19"/>
      <c r="AOR106" s="19"/>
      <c r="AOS106" s="19"/>
      <c r="AOT106" s="19"/>
      <c r="AOU106" s="19"/>
      <c r="AOV106" s="19"/>
      <c r="AOW106" s="19"/>
      <c r="AOX106" s="19"/>
      <c r="AOY106" s="19"/>
      <c r="AOZ106" s="19"/>
      <c r="APA106" s="19"/>
      <c r="APB106" s="19"/>
      <c r="APC106" s="19"/>
      <c r="APD106" s="19"/>
      <c r="APE106" s="19"/>
      <c r="APF106" s="19"/>
      <c r="APG106" s="19"/>
      <c r="APH106" s="19"/>
      <c r="API106" s="19"/>
      <c r="APJ106" s="19"/>
      <c r="APK106" s="19"/>
      <c r="APL106" s="19"/>
      <c r="APM106" s="19"/>
      <c r="APN106" s="19"/>
      <c r="APO106" s="19"/>
      <c r="APP106" s="19"/>
      <c r="APQ106" s="19"/>
      <c r="APR106" s="19"/>
      <c r="APS106" s="19"/>
      <c r="APT106" s="19"/>
      <c r="APU106" s="19"/>
      <c r="APV106" s="19"/>
      <c r="APW106" s="19"/>
      <c r="APX106" s="19"/>
      <c r="APY106" s="19"/>
      <c r="APZ106" s="19"/>
      <c r="AQA106" s="19"/>
      <c r="AQB106" s="19"/>
      <c r="AQC106" s="19"/>
      <c r="AQD106" s="19"/>
      <c r="AQE106" s="19"/>
      <c r="AQF106" s="19"/>
      <c r="AQG106" s="19"/>
      <c r="AQH106" s="19"/>
      <c r="AQI106" s="19"/>
      <c r="AQJ106" s="19"/>
      <c r="AQK106" s="19"/>
      <c r="AQL106" s="19"/>
      <c r="AQM106" s="19"/>
      <c r="AQN106" s="19"/>
      <c r="AQO106" s="19"/>
      <c r="AQP106" s="19"/>
      <c r="AQQ106" s="19"/>
      <c r="AQR106" s="19"/>
      <c r="AQS106" s="19"/>
      <c r="AQT106" s="19"/>
      <c r="AQU106" s="19"/>
      <c r="AQV106" s="19"/>
      <c r="AQW106" s="19"/>
      <c r="AQX106" s="19"/>
      <c r="AQY106" s="19"/>
      <c r="AQZ106" s="19"/>
      <c r="ARA106" s="19"/>
      <c r="ARB106" s="19"/>
      <c r="ARC106" s="19"/>
      <c r="ARD106" s="19"/>
      <c r="ARE106" s="19"/>
      <c r="ARF106" s="19"/>
      <c r="ARG106" s="19"/>
      <c r="ARH106" s="19"/>
      <c r="ARI106" s="19"/>
      <c r="ARJ106" s="19"/>
      <c r="ARK106" s="19"/>
      <c r="ARL106" s="19"/>
      <c r="ARM106" s="19"/>
      <c r="ARN106" s="19"/>
      <c r="ARO106" s="19"/>
      <c r="ARP106" s="19"/>
      <c r="ARQ106" s="19"/>
      <c r="ARR106" s="19"/>
      <c r="ARS106" s="19"/>
      <c r="ART106" s="19"/>
      <c r="ARU106" s="19"/>
      <c r="ARV106" s="19"/>
      <c r="ARW106" s="19"/>
      <c r="ARX106" s="19"/>
      <c r="ARY106" s="19"/>
      <c r="ARZ106" s="19"/>
      <c r="ASA106" s="19"/>
      <c r="ASB106" s="19"/>
      <c r="ASC106" s="19"/>
      <c r="ASD106" s="19"/>
      <c r="ASE106" s="19"/>
      <c r="ASF106" s="19"/>
      <c r="ASG106" s="19"/>
      <c r="ASH106" s="19"/>
      <c r="ASI106" s="19"/>
      <c r="ASJ106" s="19"/>
      <c r="ASK106" s="19"/>
      <c r="ASL106" s="19"/>
      <c r="ASM106" s="19"/>
      <c r="ASN106" s="19"/>
      <c r="ASO106" s="19"/>
      <c r="ASP106" s="19"/>
      <c r="ASQ106" s="19"/>
      <c r="ASR106" s="19"/>
      <c r="ASS106" s="19"/>
      <c r="AST106" s="19"/>
      <c r="ASU106" s="19"/>
      <c r="ASV106" s="19"/>
      <c r="ASW106" s="19"/>
      <c r="ASX106" s="19"/>
      <c r="ASY106" s="19"/>
      <c r="ASZ106" s="19"/>
      <c r="ATA106" s="19"/>
      <c r="ATB106" s="19"/>
      <c r="ATC106" s="19"/>
      <c r="ATD106" s="19"/>
      <c r="ATE106" s="19"/>
      <c r="ATF106" s="19"/>
      <c r="ATG106" s="19"/>
      <c r="ATH106" s="19"/>
      <c r="ATI106" s="19"/>
      <c r="ATJ106" s="19"/>
      <c r="ATK106" s="19"/>
      <c r="ATL106" s="19"/>
      <c r="ATM106" s="19"/>
      <c r="ATN106" s="19"/>
      <c r="ATO106" s="19"/>
      <c r="ATP106" s="19"/>
      <c r="ATQ106" s="19"/>
      <c r="ATR106" s="19"/>
      <c r="ATS106" s="19"/>
      <c r="ATT106" s="19"/>
      <c r="ATU106" s="19"/>
      <c r="ATV106" s="19"/>
      <c r="ATW106" s="19"/>
      <c r="ATX106" s="19"/>
      <c r="ATY106" s="19"/>
      <c r="ATZ106" s="19"/>
      <c r="AUA106" s="19"/>
      <c r="AUB106" s="19"/>
      <c r="AUC106" s="19"/>
      <c r="AUD106" s="19"/>
      <c r="AUE106" s="19"/>
      <c r="AUF106" s="19"/>
      <c r="AUG106" s="19"/>
      <c r="AUH106" s="19"/>
      <c r="AUI106" s="19"/>
      <c r="AUJ106" s="19"/>
      <c r="AUK106" s="19"/>
      <c r="AUL106" s="19"/>
      <c r="AUM106" s="19"/>
      <c r="AUN106" s="19"/>
      <c r="AUO106" s="19"/>
      <c r="AUP106" s="19"/>
      <c r="AUQ106" s="19"/>
      <c r="AUR106" s="19"/>
      <c r="AUS106" s="19"/>
      <c r="AUT106" s="19"/>
      <c r="AUU106" s="19"/>
      <c r="AUV106" s="19"/>
      <c r="AUW106" s="19"/>
      <c r="AUX106" s="19"/>
      <c r="AUY106" s="19"/>
      <c r="AUZ106" s="19"/>
      <c r="AVA106" s="19"/>
      <c r="AVB106" s="19"/>
      <c r="AVC106" s="19"/>
      <c r="AVD106" s="19"/>
      <c r="AVE106" s="19"/>
      <c r="AVF106" s="19"/>
      <c r="AVG106" s="19"/>
      <c r="AVH106" s="19"/>
      <c r="AVI106" s="19"/>
      <c r="AVJ106" s="19"/>
      <c r="AVK106" s="19"/>
      <c r="AVL106" s="19"/>
      <c r="AVM106" s="19"/>
      <c r="AVN106" s="19"/>
      <c r="AVO106" s="19"/>
      <c r="AVP106" s="19"/>
      <c r="AVQ106" s="19"/>
      <c r="AVR106" s="19"/>
      <c r="AVS106" s="19"/>
      <c r="AVT106" s="19"/>
      <c r="AVU106" s="19"/>
      <c r="AVV106" s="19"/>
      <c r="AVW106" s="19"/>
      <c r="AVX106" s="19"/>
      <c r="AVY106" s="19"/>
      <c r="AVZ106" s="19"/>
      <c r="AWA106" s="19"/>
      <c r="AWB106" s="19"/>
      <c r="AWC106" s="19"/>
      <c r="AWD106" s="19"/>
      <c r="AWE106" s="19"/>
      <c r="AWF106" s="19"/>
      <c r="AWG106" s="19"/>
      <c r="AWH106" s="19"/>
      <c r="AWI106" s="19"/>
      <c r="AWJ106" s="19"/>
      <c r="AWK106" s="19"/>
      <c r="AWL106" s="19"/>
      <c r="AWM106" s="19"/>
      <c r="AWN106" s="19"/>
      <c r="AWO106" s="19"/>
      <c r="AWP106" s="19"/>
      <c r="AWQ106" s="19"/>
      <c r="AWR106" s="19"/>
      <c r="AWS106" s="19"/>
      <c r="AWT106" s="19"/>
      <c r="AWU106" s="19"/>
      <c r="AWV106" s="19"/>
      <c r="AWW106" s="19"/>
      <c r="AWX106" s="19"/>
      <c r="AWY106" s="19"/>
      <c r="AWZ106" s="19"/>
      <c r="AXA106" s="19"/>
      <c r="AXB106" s="19"/>
      <c r="AXC106" s="19"/>
      <c r="AXD106" s="19"/>
      <c r="AXE106" s="19"/>
      <c r="AXF106" s="19"/>
      <c r="AXG106" s="19"/>
      <c r="AXH106" s="19"/>
      <c r="AXI106" s="19"/>
      <c r="AXJ106" s="19"/>
      <c r="AXK106" s="19"/>
      <c r="AXL106" s="19"/>
      <c r="AXM106" s="19"/>
      <c r="AXN106" s="19"/>
      <c r="AXO106" s="19"/>
      <c r="AXP106" s="19"/>
      <c r="AXQ106" s="19"/>
      <c r="AXR106" s="19"/>
      <c r="AXS106" s="19"/>
      <c r="AXT106" s="19"/>
      <c r="AXU106" s="19"/>
      <c r="AXV106" s="19"/>
      <c r="AXW106" s="19"/>
      <c r="AXX106" s="19"/>
      <c r="AXY106" s="19"/>
      <c r="AXZ106" s="19"/>
      <c r="AYA106" s="19"/>
      <c r="AYB106" s="19"/>
      <c r="AYC106" s="19"/>
      <c r="AYD106" s="19"/>
      <c r="AYE106" s="19"/>
      <c r="AYF106" s="19"/>
      <c r="AYG106" s="19"/>
      <c r="AYH106" s="19"/>
      <c r="AYI106" s="19"/>
      <c r="AYJ106" s="19"/>
      <c r="AYK106" s="19"/>
      <c r="AYL106" s="19"/>
      <c r="AYM106" s="19"/>
      <c r="AYN106" s="19"/>
      <c r="AYO106" s="19"/>
      <c r="AYP106" s="19"/>
      <c r="AYQ106" s="19"/>
      <c r="AYR106" s="19"/>
      <c r="AYS106" s="19"/>
      <c r="AYT106" s="19"/>
      <c r="AYU106" s="19"/>
      <c r="AYV106" s="19"/>
      <c r="AYW106" s="19"/>
      <c r="AYX106" s="19"/>
      <c r="AYY106" s="19"/>
      <c r="AYZ106" s="19"/>
      <c r="AZA106" s="19"/>
      <c r="AZB106" s="19"/>
      <c r="AZC106" s="19"/>
      <c r="AZD106" s="19"/>
      <c r="AZE106" s="19"/>
      <c r="AZF106" s="19"/>
      <c r="AZG106" s="19"/>
      <c r="AZH106" s="19"/>
      <c r="AZI106" s="19"/>
      <c r="AZJ106" s="19"/>
      <c r="AZK106" s="19"/>
      <c r="AZL106" s="19"/>
      <c r="AZM106" s="19"/>
      <c r="AZN106" s="19"/>
      <c r="AZO106" s="19"/>
      <c r="AZP106" s="19"/>
      <c r="AZQ106" s="19"/>
      <c r="AZR106" s="19"/>
      <c r="AZS106" s="19"/>
      <c r="AZT106" s="19"/>
      <c r="AZU106" s="19"/>
      <c r="AZV106" s="19"/>
      <c r="AZW106" s="19"/>
      <c r="AZX106" s="19"/>
      <c r="AZY106" s="19"/>
      <c r="AZZ106" s="19"/>
      <c r="BAA106" s="19"/>
      <c r="BAB106" s="19"/>
      <c r="BAC106" s="19"/>
      <c r="BAD106" s="19"/>
      <c r="BAE106" s="19"/>
      <c r="BAF106" s="19"/>
      <c r="BAG106" s="19"/>
      <c r="BAH106" s="19"/>
      <c r="BAI106" s="19"/>
      <c r="BAJ106" s="19"/>
      <c r="BAK106" s="19"/>
      <c r="BAL106" s="19"/>
      <c r="BAM106" s="19"/>
      <c r="BAN106" s="19"/>
      <c r="BAO106" s="19"/>
      <c r="BAP106" s="19"/>
      <c r="BAQ106" s="19"/>
      <c r="BAR106" s="19"/>
      <c r="BAS106" s="19"/>
      <c r="BAT106" s="19"/>
      <c r="BAU106" s="19"/>
      <c r="BAV106" s="19"/>
      <c r="BAW106" s="19"/>
      <c r="BAX106" s="19"/>
      <c r="BAY106" s="19"/>
      <c r="BAZ106" s="19"/>
      <c r="BBA106" s="19"/>
      <c r="BBB106" s="19"/>
      <c r="BBC106" s="19"/>
      <c r="BBD106" s="19"/>
      <c r="BBE106" s="19"/>
      <c r="BBF106" s="19"/>
      <c r="BBG106" s="19"/>
      <c r="BBH106" s="19"/>
      <c r="BBI106" s="19"/>
      <c r="BBJ106" s="19"/>
      <c r="BBK106" s="19"/>
      <c r="BBL106" s="19"/>
      <c r="BBM106" s="19"/>
      <c r="BBN106" s="19"/>
      <c r="BBO106" s="19"/>
      <c r="BBP106" s="19"/>
      <c r="BBQ106" s="19"/>
      <c r="BBR106" s="19"/>
      <c r="BBS106" s="19"/>
      <c r="BBT106" s="19"/>
      <c r="BBU106" s="19"/>
      <c r="BBV106" s="19"/>
      <c r="BBW106" s="19"/>
      <c r="BBX106" s="19"/>
      <c r="BBY106" s="19"/>
      <c r="BBZ106" s="19"/>
      <c r="BCA106" s="19"/>
      <c r="BCB106" s="19"/>
      <c r="BCC106" s="19"/>
      <c r="BCD106" s="19"/>
      <c r="BCE106" s="19"/>
      <c r="BCF106" s="19"/>
      <c r="BCG106" s="19"/>
      <c r="BCH106" s="19"/>
      <c r="BCI106" s="19"/>
      <c r="BCJ106" s="19"/>
      <c r="BCK106" s="19"/>
      <c r="BCL106" s="19"/>
      <c r="BCM106" s="19"/>
      <c r="BCN106" s="19"/>
      <c r="BCO106" s="19"/>
      <c r="BCP106" s="19"/>
      <c r="BCQ106" s="19"/>
      <c r="BCR106" s="19"/>
      <c r="BCS106" s="19"/>
      <c r="BCT106" s="19"/>
      <c r="BCU106" s="19"/>
      <c r="BCV106" s="19"/>
      <c r="BCW106" s="19"/>
      <c r="BCX106" s="19"/>
      <c r="BCY106" s="19"/>
      <c r="BCZ106" s="19"/>
      <c r="BDA106" s="19"/>
      <c r="BDB106" s="19"/>
      <c r="BDC106" s="19"/>
      <c r="BDD106" s="19"/>
      <c r="BDE106" s="19"/>
      <c r="BDF106" s="19"/>
      <c r="BDG106" s="19"/>
      <c r="BDH106" s="19"/>
      <c r="BDI106" s="19"/>
      <c r="BDJ106" s="19"/>
      <c r="BDK106" s="19"/>
      <c r="BDL106" s="19"/>
      <c r="BDM106" s="19"/>
      <c r="BDN106" s="19"/>
      <c r="BDO106" s="19"/>
      <c r="BDP106" s="19"/>
      <c r="BDQ106" s="19"/>
      <c r="BDR106" s="19"/>
      <c r="BDS106" s="19"/>
      <c r="BDT106" s="19"/>
      <c r="BDU106" s="19"/>
      <c r="BDV106" s="19"/>
      <c r="BDW106" s="19"/>
      <c r="BDX106" s="19"/>
      <c r="BDY106" s="19"/>
      <c r="BDZ106" s="19"/>
      <c r="BEA106" s="19"/>
      <c r="BEB106" s="19"/>
      <c r="BEC106" s="19"/>
      <c r="BED106" s="19"/>
      <c r="BEE106" s="19"/>
      <c r="BEF106" s="19"/>
      <c r="BEG106" s="19"/>
      <c r="BEH106" s="19"/>
      <c r="BEI106" s="19"/>
      <c r="BEJ106" s="19"/>
      <c r="BEK106" s="19"/>
      <c r="BEL106" s="19"/>
      <c r="BEM106" s="19"/>
      <c r="BEN106" s="19"/>
      <c r="BEO106" s="19"/>
      <c r="BEP106" s="19"/>
      <c r="BEQ106" s="19"/>
      <c r="BER106" s="19"/>
      <c r="BES106" s="19"/>
      <c r="BET106" s="19"/>
      <c r="BEU106" s="19"/>
      <c r="BEV106" s="19"/>
      <c r="BEW106" s="19"/>
      <c r="BEX106" s="19"/>
      <c r="BEY106" s="19"/>
      <c r="BEZ106" s="19"/>
      <c r="BFA106" s="19"/>
      <c r="BFB106" s="19"/>
      <c r="BFC106" s="19"/>
      <c r="BFD106" s="19"/>
      <c r="BFE106" s="19"/>
      <c r="BFF106" s="19"/>
      <c r="BFG106" s="19"/>
      <c r="BFH106" s="19"/>
      <c r="BFI106" s="19"/>
      <c r="BFJ106" s="19"/>
      <c r="BFK106" s="19"/>
      <c r="BFL106" s="19"/>
      <c r="BFM106" s="19"/>
      <c r="BFN106" s="19"/>
      <c r="BFO106" s="19"/>
      <c r="BFP106" s="19"/>
      <c r="BFQ106" s="19"/>
      <c r="BFR106" s="19"/>
      <c r="BFS106" s="19"/>
      <c r="BFT106" s="19"/>
      <c r="BFU106" s="19"/>
      <c r="BFV106" s="19"/>
      <c r="BFW106" s="19"/>
      <c r="BFX106" s="19"/>
      <c r="BFY106" s="19"/>
      <c r="BFZ106" s="19"/>
      <c r="BGA106" s="19"/>
      <c r="BGB106" s="19"/>
      <c r="BGC106" s="19"/>
      <c r="BGD106" s="19"/>
      <c r="BGE106" s="19"/>
      <c r="BGF106" s="19"/>
      <c r="BGG106" s="19"/>
      <c r="BGH106" s="19"/>
      <c r="BGI106" s="19"/>
      <c r="BGJ106" s="19"/>
      <c r="BGK106" s="19"/>
      <c r="BGL106" s="19"/>
      <c r="BGM106" s="19"/>
      <c r="BGN106" s="19"/>
      <c r="BGO106" s="19"/>
      <c r="BGP106" s="19"/>
      <c r="BGQ106" s="19"/>
      <c r="BGR106" s="19"/>
      <c r="BGS106" s="19"/>
      <c r="BGT106" s="19"/>
      <c r="BGU106" s="19"/>
      <c r="BGV106" s="19"/>
      <c r="BGW106" s="19"/>
      <c r="BGX106" s="19"/>
      <c r="BGY106" s="19"/>
      <c r="BGZ106" s="19"/>
      <c r="BHA106" s="19"/>
      <c r="BHB106" s="19"/>
      <c r="BHC106" s="19"/>
      <c r="BHD106" s="19"/>
      <c r="BHE106" s="19"/>
      <c r="BHF106" s="19"/>
      <c r="BHG106" s="19"/>
      <c r="BHH106" s="19"/>
      <c r="BHI106" s="19"/>
      <c r="BHJ106" s="19"/>
      <c r="BHK106" s="19"/>
      <c r="BHL106" s="19"/>
      <c r="BHM106" s="19"/>
      <c r="BHN106" s="19"/>
      <c r="BHO106" s="19"/>
      <c r="BHP106" s="19"/>
      <c r="BHQ106" s="19"/>
      <c r="BHR106" s="19"/>
      <c r="BHS106" s="19"/>
      <c r="BHT106" s="19"/>
      <c r="BHU106" s="19"/>
      <c r="BHV106" s="19"/>
      <c r="BHW106" s="19"/>
      <c r="BHX106" s="19"/>
      <c r="BHY106" s="19"/>
      <c r="BHZ106" s="19"/>
      <c r="BIA106" s="19"/>
      <c r="BIB106" s="19"/>
      <c r="BIC106" s="19"/>
      <c r="BID106" s="19"/>
      <c r="BIE106" s="19"/>
      <c r="BIF106" s="19"/>
      <c r="BIG106" s="19"/>
      <c r="BIH106" s="19"/>
      <c r="BII106" s="19"/>
      <c r="BIJ106" s="19"/>
      <c r="BIK106" s="19"/>
      <c r="BIL106" s="19"/>
      <c r="BIM106" s="19"/>
      <c r="BIN106" s="19"/>
      <c r="BIO106" s="19"/>
      <c r="BIP106" s="19"/>
      <c r="BIQ106" s="19"/>
      <c r="BIR106" s="19"/>
      <c r="BIS106" s="19"/>
      <c r="BIT106" s="19"/>
      <c r="BIU106" s="19"/>
      <c r="BIV106" s="19"/>
      <c r="BIW106" s="19"/>
      <c r="BIX106" s="19"/>
      <c r="BIY106" s="19"/>
      <c r="BIZ106" s="19"/>
      <c r="BJA106" s="19"/>
      <c r="BJB106" s="19"/>
      <c r="BJC106" s="19"/>
      <c r="BJD106" s="19"/>
      <c r="BJE106" s="19"/>
      <c r="BJF106" s="19"/>
      <c r="BJG106" s="19"/>
      <c r="BJH106" s="19"/>
      <c r="BJI106" s="19"/>
      <c r="BJJ106" s="19"/>
      <c r="BJK106" s="19"/>
      <c r="BJL106" s="19"/>
      <c r="BJM106" s="19"/>
      <c r="BJN106" s="19"/>
      <c r="BJO106" s="19"/>
      <c r="BJP106" s="19"/>
      <c r="BJQ106" s="19"/>
      <c r="BJR106" s="19"/>
      <c r="BJS106" s="19"/>
      <c r="BJT106" s="19"/>
      <c r="BJU106" s="19"/>
      <c r="BJV106" s="19"/>
      <c r="BJW106" s="19"/>
      <c r="BJX106" s="19"/>
      <c r="BJY106" s="19"/>
      <c r="BJZ106" s="19"/>
      <c r="BKA106" s="19"/>
      <c r="BKB106" s="19"/>
      <c r="BKC106" s="19"/>
      <c r="BKD106" s="19"/>
      <c r="BKE106" s="19"/>
      <c r="BKF106" s="19"/>
      <c r="BKG106" s="19"/>
      <c r="BKH106" s="19"/>
      <c r="BKI106" s="19"/>
      <c r="BKJ106" s="19"/>
      <c r="BKK106" s="19"/>
      <c r="BKL106" s="19"/>
      <c r="BKM106" s="19"/>
      <c r="BKN106" s="19"/>
      <c r="BKO106" s="19"/>
      <c r="BKP106" s="19"/>
      <c r="BKQ106" s="19"/>
      <c r="BKR106" s="19"/>
      <c r="BKS106" s="19"/>
      <c r="BKT106" s="19"/>
      <c r="BKU106" s="19"/>
      <c r="BKV106" s="19"/>
      <c r="BKW106" s="19"/>
      <c r="BKX106" s="19"/>
      <c r="BKY106" s="19"/>
      <c r="BKZ106" s="19"/>
      <c r="BLA106" s="19"/>
      <c r="BLB106" s="19"/>
      <c r="BLC106" s="19"/>
      <c r="BLD106" s="19"/>
      <c r="BLE106" s="19"/>
      <c r="BLF106" s="19"/>
      <c r="BLG106" s="19"/>
      <c r="BLH106" s="19"/>
      <c r="BLI106" s="19"/>
      <c r="BLJ106" s="19"/>
      <c r="BLK106" s="19"/>
      <c r="BLL106" s="19"/>
      <c r="BLM106" s="19"/>
      <c r="BLN106" s="19"/>
      <c r="BLO106" s="19"/>
      <c r="BLP106" s="19"/>
      <c r="BLQ106" s="19"/>
      <c r="BLR106" s="19"/>
      <c r="BLS106" s="19"/>
      <c r="BLT106" s="19"/>
      <c r="BLU106" s="19"/>
      <c r="BLV106" s="19"/>
      <c r="BLW106" s="19"/>
      <c r="BLX106" s="19"/>
      <c r="BLY106" s="19"/>
      <c r="BLZ106" s="19"/>
      <c r="BMA106" s="19"/>
      <c r="BMB106" s="19"/>
      <c r="BMC106" s="19"/>
      <c r="BMD106" s="19"/>
      <c r="BME106" s="19"/>
      <c r="BMF106" s="19"/>
      <c r="BMG106" s="19"/>
      <c r="BMH106" s="19"/>
      <c r="BMI106" s="19"/>
      <c r="BMJ106" s="19"/>
      <c r="BMK106" s="19"/>
      <c r="BML106" s="19"/>
      <c r="BMM106" s="19"/>
      <c r="BMN106" s="19"/>
      <c r="BMO106" s="19"/>
      <c r="BMP106" s="19"/>
      <c r="BMQ106" s="19"/>
      <c r="BMR106" s="19"/>
      <c r="BMS106" s="19"/>
      <c r="BMT106" s="19"/>
      <c r="BMU106" s="19"/>
      <c r="BMV106" s="19"/>
      <c r="BMW106" s="19"/>
      <c r="BMX106" s="19"/>
      <c r="BMY106" s="19"/>
      <c r="BMZ106" s="19"/>
      <c r="BNA106" s="19"/>
      <c r="BNB106" s="19"/>
      <c r="BNC106" s="19"/>
      <c r="BND106" s="19"/>
      <c r="BNE106" s="19"/>
      <c r="BNF106" s="19"/>
      <c r="BNG106" s="19"/>
      <c r="BNH106" s="19"/>
      <c r="BNI106" s="19"/>
      <c r="BNJ106" s="19"/>
      <c r="BNK106" s="19"/>
      <c r="BNL106" s="19"/>
      <c r="BNM106" s="19"/>
      <c r="BNN106" s="19"/>
      <c r="BNO106" s="19"/>
      <c r="BNP106" s="19"/>
      <c r="BNQ106" s="19"/>
      <c r="BNR106" s="19"/>
      <c r="BNS106" s="19"/>
      <c r="BNT106" s="19"/>
      <c r="BNU106" s="19"/>
      <c r="BNV106" s="19"/>
      <c r="BNW106" s="19"/>
      <c r="BNX106" s="19"/>
      <c r="BNY106" s="19"/>
      <c r="BNZ106" s="19"/>
      <c r="BOA106" s="19"/>
      <c r="BOB106" s="19"/>
      <c r="BOC106" s="19"/>
      <c r="BOD106" s="19"/>
      <c r="BOE106" s="19"/>
      <c r="BOF106" s="19"/>
      <c r="BOG106" s="19"/>
      <c r="BOH106" s="19"/>
      <c r="BOI106" s="19"/>
      <c r="BOJ106" s="19"/>
      <c r="BOK106" s="19"/>
      <c r="BOL106" s="19"/>
      <c r="BOM106" s="19"/>
      <c r="BON106" s="19"/>
      <c r="BOO106" s="19"/>
      <c r="BOP106" s="19"/>
      <c r="BOQ106" s="19"/>
      <c r="BOR106" s="19"/>
      <c r="BOS106" s="19"/>
      <c r="BOT106" s="19"/>
      <c r="BOU106" s="19"/>
      <c r="BOV106" s="19"/>
      <c r="BOW106" s="19"/>
      <c r="BOX106" s="19"/>
      <c r="BOY106" s="19"/>
      <c r="BOZ106" s="19"/>
      <c r="BPA106" s="19"/>
      <c r="BPB106" s="19"/>
      <c r="BPC106" s="19"/>
      <c r="BPD106" s="19"/>
      <c r="BPE106" s="19"/>
      <c r="BPF106" s="19"/>
      <c r="BPG106" s="19"/>
      <c r="BPH106" s="19"/>
      <c r="BPI106" s="19"/>
      <c r="BPJ106" s="19"/>
      <c r="BPK106" s="19"/>
      <c r="BPL106" s="19"/>
      <c r="BPM106" s="19"/>
      <c r="BPN106" s="19"/>
      <c r="BPO106" s="19"/>
      <c r="BPP106" s="19"/>
      <c r="BPQ106" s="19"/>
      <c r="BPR106" s="19"/>
      <c r="BPS106" s="19"/>
      <c r="BPT106" s="19"/>
      <c r="BPU106" s="19"/>
      <c r="BPV106" s="19"/>
      <c r="BPW106" s="19"/>
      <c r="BPX106" s="19"/>
      <c r="BPY106" s="19"/>
      <c r="BPZ106" s="19"/>
      <c r="BQA106" s="19"/>
      <c r="BQB106" s="19"/>
      <c r="BQC106" s="19"/>
      <c r="BQD106" s="19"/>
      <c r="BQE106" s="19"/>
      <c r="BQF106" s="19"/>
      <c r="BQG106" s="19"/>
      <c r="BQH106" s="19"/>
      <c r="BQI106" s="19"/>
      <c r="BQJ106" s="19"/>
      <c r="BQK106" s="19"/>
      <c r="BQL106" s="19"/>
      <c r="BQM106" s="19"/>
      <c r="BQN106" s="19"/>
      <c r="BQO106" s="19"/>
      <c r="BQP106" s="19"/>
      <c r="BQQ106" s="19"/>
      <c r="BQR106" s="19"/>
      <c r="BQS106" s="19"/>
      <c r="BQT106" s="19"/>
      <c r="BQU106" s="19"/>
      <c r="BQV106" s="19"/>
      <c r="BQW106" s="19"/>
      <c r="BQX106" s="19"/>
      <c r="BQY106" s="19"/>
      <c r="BQZ106" s="19"/>
      <c r="BRA106" s="19"/>
      <c r="BRB106" s="19"/>
      <c r="BRC106" s="19"/>
      <c r="BRD106" s="19"/>
      <c r="BRE106" s="19"/>
      <c r="BRF106" s="19"/>
      <c r="BRG106" s="19"/>
      <c r="BRH106" s="19"/>
      <c r="BRI106" s="19"/>
      <c r="BRJ106" s="19"/>
      <c r="BRK106" s="19"/>
      <c r="BRL106" s="19"/>
      <c r="BRM106" s="19"/>
      <c r="BRN106" s="19"/>
      <c r="BRO106" s="19"/>
      <c r="BRP106" s="19"/>
      <c r="BRQ106" s="19"/>
      <c r="BRR106" s="19"/>
      <c r="BRS106" s="19"/>
      <c r="BRT106" s="19"/>
      <c r="BRU106" s="19"/>
      <c r="BRV106" s="19"/>
      <c r="BRW106" s="19"/>
      <c r="BRX106" s="19"/>
      <c r="BRY106" s="19"/>
      <c r="BRZ106" s="19"/>
      <c r="BSA106" s="19"/>
      <c r="BSB106" s="19"/>
      <c r="BSC106" s="19"/>
      <c r="BSD106" s="19"/>
      <c r="BSE106" s="19"/>
      <c r="BSF106" s="19"/>
      <c r="BSG106" s="19"/>
      <c r="BSH106" s="19"/>
      <c r="BSI106" s="19"/>
      <c r="BSJ106" s="19"/>
      <c r="BSK106" s="19"/>
      <c r="BSL106" s="19"/>
      <c r="BSM106" s="19"/>
      <c r="BSN106" s="19"/>
      <c r="BSO106" s="19"/>
      <c r="BSP106" s="19"/>
      <c r="BSQ106" s="19"/>
      <c r="BSR106" s="19"/>
      <c r="BSS106" s="19"/>
      <c r="BST106" s="19"/>
      <c r="BSU106" s="19"/>
      <c r="BSV106" s="19"/>
      <c r="BSW106" s="19"/>
      <c r="BSX106" s="19"/>
      <c r="BSY106" s="19"/>
      <c r="BSZ106" s="19"/>
      <c r="BTA106" s="19"/>
      <c r="BTB106" s="19"/>
      <c r="BTC106" s="19"/>
      <c r="BTD106" s="19"/>
      <c r="BTE106" s="19"/>
      <c r="BTF106" s="19"/>
      <c r="BTG106" s="19"/>
      <c r="BTH106" s="19"/>
      <c r="BTI106" s="19"/>
      <c r="BTJ106" s="19"/>
      <c r="BTK106" s="19"/>
      <c r="BTL106" s="19"/>
      <c r="BTM106" s="19"/>
      <c r="BTN106" s="19"/>
      <c r="BTO106" s="19"/>
      <c r="BTP106" s="19"/>
      <c r="BTQ106" s="19"/>
      <c r="BTR106" s="19"/>
      <c r="BTS106" s="19"/>
      <c r="BTT106" s="19"/>
      <c r="BTU106" s="19"/>
      <c r="BTV106" s="19"/>
      <c r="BTW106" s="19"/>
      <c r="BTX106" s="19"/>
      <c r="BTY106" s="19"/>
      <c r="BTZ106" s="19"/>
      <c r="BUA106" s="19"/>
      <c r="BUB106" s="19"/>
      <c r="BUC106" s="19"/>
      <c r="BUD106" s="19"/>
      <c r="BUE106" s="19"/>
      <c r="BUF106" s="19"/>
      <c r="BUG106" s="19"/>
      <c r="BUH106" s="19"/>
      <c r="BUI106" s="19"/>
      <c r="BUJ106" s="19"/>
      <c r="BUK106" s="19"/>
      <c r="BUL106" s="19"/>
      <c r="BUM106" s="19"/>
      <c r="BUN106" s="19"/>
      <c r="BUO106" s="19"/>
      <c r="BUP106" s="19"/>
      <c r="BUQ106" s="19"/>
      <c r="BUR106" s="19"/>
      <c r="BUS106" s="19"/>
      <c r="BUT106" s="19"/>
      <c r="BUU106" s="19"/>
      <c r="BUV106" s="19"/>
      <c r="BUW106" s="19"/>
      <c r="BUX106" s="19"/>
      <c r="BUY106" s="19"/>
      <c r="BUZ106" s="19"/>
      <c r="BVA106" s="19"/>
      <c r="BVB106" s="19"/>
      <c r="BVC106" s="19"/>
      <c r="BVD106" s="19"/>
      <c r="BVE106" s="19"/>
      <c r="BVF106" s="19"/>
      <c r="BVG106" s="19"/>
      <c r="BVH106" s="19"/>
      <c r="BVI106" s="19"/>
      <c r="BVJ106" s="19"/>
      <c r="BVK106" s="19"/>
      <c r="BVL106" s="19"/>
      <c r="BVM106" s="19"/>
      <c r="BVN106" s="19"/>
      <c r="BVO106" s="19"/>
      <c r="BVP106" s="19"/>
      <c r="BVQ106" s="19"/>
      <c r="BVR106" s="19"/>
      <c r="BVS106" s="19"/>
      <c r="BVT106" s="19"/>
      <c r="BVU106" s="19"/>
      <c r="BVV106" s="19"/>
      <c r="BVW106" s="19"/>
      <c r="BVX106" s="19"/>
      <c r="BVY106" s="19"/>
      <c r="BVZ106" s="19"/>
      <c r="BWA106" s="19"/>
      <c r="BWB106" s="19"/>
      <c r="BWC106" s="19"/>
      <c r="BWD106" s="19"/>
      <c r="BWE106" s="19"/>
      <c r="BWF106" s="19"/>
      <c r="BWG106" s="19"/>
      <c r="BWH106" s="19"/>
      <c r="BWI106" s="19"/>
      <c r="BWJ106" s="19"/>
      <c r="BWK106" s="19"/>
      <c r="BWL106" s="19"/>
      <c r="BWM106" s="19"/>
      <c r="BWN106" s="19"/>
      <c r="BWO106" s="19"/>
      <c r="BWP106" s="19"/>
      <c r="BWQ106" s="19"/>
      <c r="BWR106" s="19"/>
      <c r="BWS106" s="19"/>
      <c r="BWT106" s="19"/>
      <c r="BWU106" s="19"/>
      <c r="BWV106" s="19"/>
      <c r="BWW106" s="19"/>
      <c r="BWX106" s="19"/>
      <c r="BWY106" s="19"/>
      <c r="BWZ106" s="19"/>
      <c r="BXA106" s="19"/>
      <c r="BXB106" s="19"/>
      <c r="BXC106" s="19"/>
      <c r="BXD106" s="19"/>
      <c r="BXE106" s="19"/>
      <c r="BXF106" s="19"/>
      <c r="BXG106" s="19"/>
      <c r="BXH106" s="19"/>
      <c r="BXI106" s="19"/>
      <c r="BXJ106" s="19"/>
      <c r="BXK106" s="19"/>
      <c r="BXL106" s="19"/>
      <c r="BXM106" s="19"/>
      <c r="BXN106" s="19"/>
      <c r="BXO106" s="19"/>
      <c r="BXP106" s="19"/>
      <c r="BXQ106" s="19"/>
      <c r="BXR106" s="19"/>
      <c r="BXS106" s="19"/>
      <c r="BXT106" s="19"/>
      <c r="BXU106" s="19"/>
      <c r="BXV106" s="19"/>
      <c r="BXW106" s="19"/>
      <c r="BXX106" s="19"/>
      <c r="BXY106" s="19"/>
      <c r="BXZ106" s="19"/>
      <c r="BYA106" s="19"/>
      <c r="BYB106" s="19"/>
      <c r="BYC106" s="19"/>
      <c r="BYD106" s="19"/>
      <c r="BYE106" s="19"/>
      <c r="BYF106" s="19"/>
      <c r="BYG106" s="19"/>
      <c r="BYH106" s="19"/>
      <c r="BYI106" s="19"/>
      <c r="BYJ106" s="19"/>
      <c r="BYK106" s="19"/>
      <c r="BYL106" s="19"/>
      <c r="BYM106" s="19"/>
      <c r="BYN106" s="19"/>
      <c r="BYO106" s="19"/>
      <c r="BYP106" s="19"/>
      <c r="BYQ106" s="19"/>
      <c r="BYR106" s="19"/>
      <c r="BYS106" s="19"/>
      <c r="BYT106" s="19"/>
      <c r="BYU106" s="19"/>
      <c r="BYV106" s="19"/>
      <c r="BYW106" s="19"/>
      <c r="BYX106" s="19"/>
      <c r="BYY106" s="19"/>
      <c r="BYZ106" s="19"/>
      <c r="BZA106" s="19"/>
      <c r="BZB106" s="19"/>
      <c r="BZC106" s="19"/>
      <c r="BZD106" s="19"/>
      <c r="BZE106" s="19"/>
      <c r="BZF106" s="19"/>
      <c r="BZG106" s="19"/>
      <c r="BZH106" s="19"/>
      <c r="BZI106" s="19"/>
      <c r="BZJ106" s="19"/>
      <c r="BZK106" s="19"/>
      <c r="BZL106" s="19"/>
      <c r="BZM106" s="19"/>
      <c r="BZN106" s="19"/>
      <c r="BZO106" s="19"/>
      <c r="BZP106" s="19"/>
      <c r="BZQ106" s="19"/>
      <c r="BZR106" s="19"/>
      <c r="BZS106" s="19"/>
      <c r="BZT106" s="19"/>
      <c r="BZU106" s="19"/>
      <c r="BZV106" s="19"/>
      <c r="BZW106" s="19"/>
      <c r="BZX106" s="19"/>
      <c r="BZY106" s="19"/>
      <c r="BZZ106" s="19"/>
      <c r="CAA106" s="19"/>
      <c r="CAB106" s="19"/>
      <c r="CAC106" s="19"/>
      <c r="CAD106" s="19"/>
      <c r="CAE106" s="19"/>
      <c r="CAF106" s="19"/>
      <c r="CAG106" s="19"/>
      <c r="CAH106" s="19"/>
      <c r="CAI106" s="19"/>
      <c r="CAJ106" s="19"/>
      <c r="CAK106" s="19"/>
      <c r="CAL106" s="19"/>
      <c r="CAM106" s="19"/>
      <c r="CAN106" s="19"/>
      <c r="CAO106" s="19"/>
      <c r="CAP106" s="19"/>
      <c r="CAQ106" s="19"/>
      <c r="CAR106" s="19"/>
      <c r="CAS106" s="19"/>
      <c r="CAT106" s="19"/>
      <c r="CAU106" s="19"/>
      <c r="CAV106" s="19"/>
      <c r="CAW106" s="19"/>
      <c r="CAX106" s="19"/>
      <c r="CAY106" s="19"/>
      <c r="CAZ106" s="19"/>
      <c r="CBF106" s="19"/>
      <c r="CBG106" s="19"/>
      <c r="CBH106" s="19"/>
      <c r="CBI106" s="19"/>
      <c r="CBJ106" s="19"/>
      <c r="CBK106" s="19"/>
      <c r="CBL106" s="19"/>
      <c r="CBM106" s="19"/>
      <c r="CBN106" s="19"/>
      <c r="CBO106" s="19"/>
      <c r="CBP106" s="19"/>
      <c r="CBQ106" s="19"/>
      <c r="CBR106" s="19"/>
      <c r="CBS106" s="19"/>
      <c r="CBT106" s="19"/>
      <c r="CBU106" s="19"/>
      <c r="CBV106" s="19"/>
      <c r="CBW106" s="19"/>
      <c r="CBX106" s="19"/>
      <c r="CBY106" s="19"/>
      <c r="CBZ106" s="19"/>
      <c r="CCA106" s="19"/>
      <c r="CCB106" s="19"/>
      <c r="CCC106" s="19"/>
      <c r="CCD106" s="19"/>
      <c r="CCE106" s="19"/>
      <c r="CCF106" s="19"/>
      <c r="CCG106" s="19"/>
      <c r="CCH106" s="19"/>
      <c r="CCI106" s="19"/>
      <c r="CCJ106" s="19"/>
      <c r="CCK106" s="19"/>
      <c r="CCL106" s="19"/>
      <c r="CCM106" s="19"/>
      <c r="CCN106" s="19"/>
      <c r="CCO106" s="19"/>
      <c r="CCP106" s="19"/>
      <c r="CCQ106" s="19"/>
      <c r="CCR106" s="19"/>
      <c r="CCS106" s="19"/>
      <c r="CCT106" s="19"/>
      <c r="CCU106" s="19"/>
      <c r="CCV106" s="19"/>
      <c r="CCW106" s="19"/>
      <c r="CCX106" s="19"/>
      <c r="CCY106" s="19"/>
      <c r="CCZ106" s="19"/>
      <c r="CDA106" s="19"/>
      <c r="CDB106" s="19"/>
      <c r="CDC106" s="19"/>
      <c r="CDD106" s="19"/>
      <c r="CDE106" s="19"/>
      <c r="CDF106" s="19"/>
      <c r="CDG106" s="19"/>
      <c r="CDH106" s="19"/>
      <c r="CDI106" s="19"/>
      <c r="CDJ106" s="19"/>
      <c r="CDK106" s="19"/>
      <c r="CDL106" s="19"/>
      <c r="CDM106" s="19"/>
      <c r="CDN106" s="19"/>
      <c r="CDO106" s="19"/>
      <c r="CDP106" s="19"/>
      <c r="CDQ106" s="19"/>
      <c r="CDR106" s="19"/>
      <c r="CDS106" s="19"/>
      <c r="CDT106" s="19"/>
      <c r="CDU106" s="19"/>
      <c r="CDV106" s="19"/>
      <c r="CDW106" s="19"/>
      <c r="CDX106" s="19"/>
      <c r="CDY106" s="19"/>
      <c r="CDZ106" s="19"/>
      <c r="CEA106" s="19"/>
      <c r="CEB106" s="19"/>
      <c r="CEC106" s="19"/>
      <c r="CED106" s="19"/>
      <c r="CEE106" s="19"/>
    </row>
    <row r="107" spans="1:2297 10881:10881" ht="16.05" customHeight="1">
      <c r="A107" s="19" t="s">
        <v>664</v>
      </c>
      <c r="B107" s="19" t="s">
        <v>743</v>
      </c>
      <c r="C107" s="643"/>
      <c r="D107" s="428" t="str">
        <f t="shared" ca="1" si="279"/>
        <v>Arabia Saudita</v>
      </c>
      <c r="E107" s="643" t="s">
        <v>0</v>
      </c>
      <c r="F107" s="643" t="s">
        <v>740</v>
      </c>
      <c r="G107" s="424" t="s">
        <v>6</v>
      </c>
      <c r="H107" s="624">
        <f t="shared" ca="1" si="280"/>
        <v>12</v>
      </c>
      <c r="I107" s="10"/>
      <c r="J107" s="19">
        <v>79</v>
      </c>
      <c r="K107" s="439">
        <v>46203.75</v>
      </c>
      <c r="L107" s="19" t="s">
        <v>710</v>
      </c>
      <c r="M107" s="19" t="str">
        <f t="shared" ca="1" si="281"/>
        <v>México</v>
      </c>
      <c r="N107" s="19"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9"/>
      <c r="P107" s="19"/>
      <c r="Q107" s="19"/>
      <c r="R107" s="19"/>
      <c r="S107" s="19"/>
      <c r="T107" s="19"/>
      <c r="U107" s="19"/>
      <c r="V107" s="20"/>
      <c r="W107" s="671"/>
      <c r="X107" s="27">
        <f ca="1">Horarios!C107</f>
        <v>46204.125</v>
      </c>
      <c r="Y107" s="28">
        <f ca="1">Horarios!C107</f>
        <v>46204.125</v>
      </c>
      <c r="Z107" s="289">
        <f t="shared" si="286"/>
        <v>79</v>
      </c>
      <c r="AA107" s="96" t="str">
        <f t="shared" ca="1" si="282"/>
        <v>México</v>
      </c>
      <c r="AB107" s="97"/>
      <c r="AC107" s="100">
        <v>0</v>
      </c>
      <c r="AD107" s="100">
        <v>1</v>
      </c>
      <c r="AE107" s="97"/>
      <c r="AF107" s="99" t="str">
        <f t="shared" ca="1" si="283"/>
        <v>Arabia Saudita</v>
      </c>
      <c r="AG107" s="339">
        <f t="shared" ca="1" si="284"/>
        <v>1</v>
      </c>
      <c r="AH107" s="204">
        <v>79</v>
      </c>
      <c r="AI107" s="191">
        <v>6</v>
      </c>
      <c r="AJ107" s="46">
        <v>6</v>
      </c>
      <c r="AK107" s="40" t="str">
        <f ca="1">IFERROR(INDEX(Equipos!$L$2:$L$49,MATCH(WORLDCUP!AL107,Equipos!$K$2:$K$49,0)),"")</f>
        <v xml:space="preserve"> </v>
      </c>
      <c r="AL107" s="93" t="str">
        <f t="shared" ca="1" si="287"/>
        <v>PO D: DEN/MKD/CZE/IRL</v>
      </c>
      <c r="AM107" s="334">
        <f t="shared" ca="1" si="288"/>
        <v>2</v>
      </c>
      <c r="AN107" s="94">
        <f t="shared" ca="1" si="288"/>
        <v>3</v>
      </c>
      <c r="AO107" s="94">
        <f t="shared" ca="1" si="288"/>
        <v>0</v>
      </c>
      <c r="AP107" s="94">
        <f t="shared" ca="1" si="288"/>
        <v>2</v>
      </c>
      <c r="AQ107" s="94">
        <f t="shared" ca="1" si="288"/>
        <v>1</v>
      </c>
      <c r="AR107" s="94">
        <f t="shared" ca="1" si="288"/>
        <v>2</v>
      </c>
      <c r="AS107" s="94">
        <f t="shared" ca="1" si="288"/>
        <v>3</v>
      </c>
      <c r="AT107" s="95">
        <f t="shared" ca="1" si="288"/>
        <v>-1</v>
      </c>
      <c r="AU107" s="342">
        <f t="shared" ca="1" si="289"/>
        <v>1</v>
      </c>
      <c r="AV107" s="191" t="str">
        <f ca="1">INDEX($BD$58:$BD$69,MATCH(AI107,$BM$58:$BM$69,0))</f>
        <v>PO D: DEN/MKD/CZE/IRL</v>
      </c>
      <c r="AW107" s="224"/>
      <c r="AX107" s="178"/>
      <c r="AY107" s="285"/>
      <c r="AZ107" s="288" t="str">
        <f t="shared" ca="1" si="291"/>
        <v>1G - 3A</v>
      </c>
      <c r="BA107" s="155"/>
      <c r="BB107" s="19"/>
      <c r="BD107" s="19"/>
      <c r="BF107" s="19" t="str">
        <f t="shared" ca="1" si="292"/>
        <v>B</v>
      </c>
      <c r="BG107" s="19">
        <f t="shared" ca="1" si="293"/>
        <v>2</v>
      </c>
      <c r="BH107" s="19"/>
      <c r="BI107" s="19">
        <v>5</v>
      </c>
      <c r="BJ107" s="19" t="str">
        <f t="shared" ca="1" si="294"/>
        <v>G</v>
      </c>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c r="NR107" s="19"/>
      <c r="NS107" s="19"/>
      <c r="NT107" s="19"/>
      <c r="NU107" s="19"/>
      <c r="NV107" s="19"/>
      <c r="NW107" s="19"/>
      <c r="NX107" s="19"/>
      <c r="NY107" s="19"/>
      <c r="NZ107" s="19"/>
      <c r="OA107" s="19"/>
      <c r="OB107" s="19"/>
      <c r="OC107" s="19"/>
      <c r="OD107" s="19"/>
      <c r="OE107" s="19"/>
      <c r="OF107" s="19"/>
      <c r="OG107" s="19"/>
      <c r="OH107" s="19"/>
      <c r="OI107" s="19"/>
      <c r="OJ107" s="19"/>
      <c r="OK107" s="19"/>
      <c r="OL107" s="19"/>
      <c r="OM107" s="19"/>
      <c r="ON107" s="19"/>
      <c r="OO107" s="19"/>
      <c r="OP107" s="19"/>
      <c r="OQ107" s="19"/>
      <c r="OR107" s="19"/>
      <c r="OS107" s="19"/>
      <c r="OT107" s="19"/>
      <c r="OU107" s="19"/>
      <c r="OV107" s="19"/>
      <c r="OW107" s="19"/>
      <c r="OX107" s="19"/>
      <c r="OY107" s="19"/>
      <c r="OZ107" s="19"/>
      <c r="PA107" s="19"/>
      <c r="PB107" s="19"/>
      <c r="PC107" s="19"/>
      <c r="PD107" s="19"/>
      <c r="PE107" s="19"/>
      <c r="PF107" s="19"/>
      <c r="PG107" s="19"/>
      <c r="PH107" s="19"/>
      <c r="PI107" s="19"/>
      <c r="PJ107" s="19"/>
      <c r="PK107" s="19"/>
      <c r="PL107" s="19"/>
      <c r="PM107" s="19"/>
      <c r="PN107" s="19"/>
      <c r="PO107" s="19"/>
      <c r="PP107" s="19"/>
      <c r="PQ107" s="19"/>
      <c r="PR107" s="19"/>
      <c r="PS107" s="19"/>
      <c r="PT107" s="19"/>
      <c r="PU107" s="19"/>
      <c r="PV107" s="19"/>
      <c r="PW107" s="19"/>
      <c r="PX107" s="19"/>
      <c r="PY107" s="19"/>
      <c r="PZ107" s="19"/>
      <c r="QA107" s="19"/>
      <c r="QB107" s="19"/>
      <c r="QC107" s="19"/>
      <c r="QD107" s="19"/>
      <c r="QE107" s="19"/>
      <c r="QF107" s="19"/>
      <c r="QG107" s="19"/>
      <c r="QH107" s="19"/>
      <c r="QI107" s="19"/>
      <c r="QJ107" s="19"/>
      <c r="QK107" s="19"/>
      <c r="QL107" s="19"/>
      <c r="QM107" s="19"/>
      <c r="QN107" s="19"/>
      <c r="QO107" s="19"/>
      <c r="QP107" s="19"/>
      <c r="QQ107" s="19"/>
      <c r="QR107" s="19"/>
      <c r="QS107" s="19"/>
      <c r="QT107" s="19"/>
      <c r="QU107" s="19"/>
      <c r="QV107" s="19"/>
      <c r="QW107" s="19"/>
      <c r="QX107" s="19"/>
      <c r="QY107" s="19"/>
      <c r="QZ107" s="19"/>
      <c r="RA107" s="19"/>
      <c r="RB107" s="19"/>
      <c r="RC107" s="19"/>
      <c r="RD107" s="19"/>
      <c r="RE107" s="19"/>
      <c r="RF107" s="19"/>
      <c r="RG107" s="19"/>
      <c r="RH107" s="19"/>
      <c r="RI107" s="19"/>
      <c r="RJ107" s="19"/>
      <c r="RK107" s="19"/>
      <c r="RL107" s="19"/>
      <c r="RM107" s="19"/>
      <c r="RN107" s="19"/>
      <c r="RO107" s="19"/>
      <c r="RP107" s="19"/>
      <c r="RQ107" s="19"/>
      <c r="RR107" s="19"/>
      <c r="RS107" s="19"/>
      <c r="RT107" s="19"/>
      <c r="RU107" s="19"/>
      <c r="RV107" s="19"/>
      <c r="RW107" s="19"/>
      <c r="RX107" s="19"/>
      <c r="RY107" s="19"/>
      <c r="RZ107" s="19"/>
      <c r="SA107" s="19"/>
      <c r="SB107" s="19"/>
      <c r="SC107" s="19"/>
      <c r="SD107" s="19"/>
      <c r="SE107" s="19"/>
      <c r="SF107" s="19"/>
      <c r="SG107" s="19"/>
      <c r="SH107" s="19"/>
      <c r="SI107" s="19"/>
      <c r="SJ107" s="19"/>
      <c r="SK107" s="19"/>
      <c r="SL107" s="19"/>
      <c r="SM107" s="19"/>
      <c r="SN107" s="19"/>
      <c r="SO107" s="19"/>
      <c r="SP107" s="19"/>
      <c r="SQ107" s="19"/>
      <c r="SR107" s="19"/>
      <c r="SS107" s="19"/>
      <c r="ST107" s="19"/>
      <c r="SU107" s="19"/>
      <c r="SV107" s="19"/>
      <c r="SW107" s="19"/>
      <c r="SX107" s="19"/>
      <c r="SY107" s="19"/>
      <c r="SZ107" s="19"/>
      <c r="TA107" s="19"/>
      <c r="TB107" s="19"/>
      <c r="TC107" s="19"/>
      <c r="TD107" s="19"/>
      <c r="TE107" s="19"/>
      <c r="TF107" s="19"/>
      <c r="TG107" s="19"/>
      <c r="TH107" s="19"/>
      <c r="TI107" s="19"/>
      <c r="TJ107" s="19"/>
      <c r="TK107" s="19"/>
      <c r="TL107" s="19"/>
      <c r="TM107" s="19"/>
      <c r="TN107" s="19"/>
      <c r="TO107" s="19"/>
      <c r="TP107" s="19"/>
      <c r="TQ107" s="19"/>
      <c r="TR107" s="19"/>
      <c r="TS107" s="19"/>
      <c r="TT107" s="19"/>
      <c r="TU107" s="19"/>
      <c r="TV107" s="19"/>
      <c r="TW107" s="19"/>
      <c r="TX107" s="19"/>
      <c r="TY107" s="19"/>
      <c r="TZ107" s="19"/>
      <c r="UA107" s="19"/>
      <c r="UB107" s="19"/>
      <c r="UC107" s="19"/>
      <c r="UD107" s="19"/>
      <c r="UE107" s="19"/>
      <c r="UF107" s="19"/>
      <c r="UG107" s="19"/>
      <c r="UH107" s="19"/>
      <c r="UI107" s="19"/>
      <c r="UJ107" s="19"/>
      <c r="UK107" s="19"/>
      <c r="UL107" s="19"/>
      <c r="UM107" s="19"/>
      <c r="UN107" s="19"/>
      <c r="UO107" s="19"/>
      <c r="UP107" s="19"/>
      <c r="UQ107" s="19"/>
      <c r="UR107" s="19"/>
      <c r="US107" s="19"/>
      <c r="UT107" s="19"/>
      <c r="UU107" s="19"/>
      <c r="UV107" s="19"/>
      <c r="UW107" s="19"/>
      <c r="UX107" s="19"/>
      <c r="UY107" s="19"/>
      <c r="UZ107" s="19"/>
      <c r="VA107" s="19"/>
      <c r="VB107" s="19"/>
      <c r="VC107" s="19"/>
      <c r="VD107" s="19"/>
      <c r="VE107" s="19"/>
      <c r="VF107" s="19"/>
      <c r="VG107" s="19"/>
      <c r="VH107" s="19"/>
      <c r="VI107" s="19"/>
      <c r="VJ107" s="19"/>
      <c r="VK107" s="19"/>
      <c r="VL107" s="19"/>
      <c r="VM107" s="19"/>
      <c r="VN107" s="19"/>
      <c r="VO107" s="19"/>
      <c r="VP107" s="19"/>
      <c r="VQ107" s="19"/>
      <c r="VR107" s="19"/>
      <c r="VS107" s="19"/>
      <c r="VT107" s="19"/>
      <c r="VU107" s="19"/>
      <c r="VV107" s="19"/>
      <c r="VW107" s="19"/>
      <c r="VX107" s="19"/>
      <c r="VY107" s="19"/>
      <c r="VZ107" s="19"/>
      <c r="WA107" s="19"/>
      <c r="WB107" s="19"/>
      <c r="WC107" s="19"/>
      <c r="WD107" s="19"/>
      <c r="WE107" s="19"/>
      <c r="WF107" s="19"/>
      <c r="WG107" s="19"/>
      <c r="WH107" s="19"/>
      <c r="WI107" s="19"/>
      <c r="WJ107" s="19"/>
      <c r="WK107" s="19"/>
      <c r="WL107" s="19"/>
      <c r="WM107" s="19"/>
      <c r="WN107" s="19"/>
      <c r="WO107" s="19"/>
      <c r="WP107" s="19"/>
      <c r="WQ107" s="19"/>
      <c r="WR107" s="19"/>
      <c r="WS107" s="19"/>
      <c r="WT107" s="19"/>
      <c r="WU107" s="19"/>
      <c r="WV107" s="19"/>
      <c r="WW107" s="19"/>
      <c r="WX107" s="19"/>
      <c r="WY107" s="19"/>
      <c r="WZ107" s="19"/>
      <c r="XA107" s="19"/>
      <c r="XB107" s="19"/>
      <c r="XC107" s="19"/>
      <c r="XD107" s="19"/>
      <c r="XE107" s="19"/>
      <c r="XF107" s="19"/>
      <c r="XG107" s="19"/>
      <c r="XH107" s="19"/>
      <c r="XI107" s="19"/>
      <c r="XJ107" s="19"/>
      <c r="XK107" s="19"/>
      <c r="XL107" s="19"/>
      <c r="XM107" s="19"/>
      <c r="XN107" s="19"/>
      <c r="XO107" s="19"/>
      <c r="XP107" s="19"/>
      <c r="XQ107" s="19"/>
      <c r="XR107" s="19"/>
      <c r="XS107" s="19"/>
      <c r="XT107" s="19"/>
      <c r="XU107" s="19"/>
      <c r="XV107" s="19"/>
      <c r="XW107" s="19"/>
      <c r="XX107" s="19"/>
      <c r="XY107" s="19"/>
      <c r="XZ107" s="19"/>
      <c r="YA107" s="19"/>
      <c r="YB107" s="19"/>
      <c r="YC107" s="19"/>
      <c r="YD107" s="19"/>
      <c r="YE107" s="19"/>
      <c r="YF107" s="19"/>
      <c r="YG107" s="19"/>
      <c r="YH107" s="19"/>
      <c r="YI107" s="19"/>
      <c r="YJ107" s="19"/>
      <c r="YK107" s="19"/>
      <c r="YL107" s="19"/>
      <c r="YM107" s="19"/>
      <c r="YN107" s="19"/>
      <c r="YO107" s="19"/>
      <c r="YP107" s="19"/>
      <c r="YQ107" s="19"/>
      <c r="YR107" s="19"/>
      <c r="YS107" s="19"/>
      <c r="YT107" s="19"/>
      <c r="YU107" s="19"/>
      <c r="YV107" s="19"/>
      <c r="YW107" s="19"/>
      <c r="YX107" s="19"/>
      <c r="YY107" s="19"/>
      <c r="YZ107" s="19"/>
      <c r="ZA107" s="19"/>
      <c r="ZB107" s="19"/>
      <c r="ZC107" s="19"/>
      <c r="ZD107" s="19"/>
      <c r="ZE107" s="19"/>
      <c r="ZF107" s="19"/>
      <c r="ZG107" s="19"/>
      <c r="ZH107" s="19"/>
      <c r="ZI107" s="19"/>
      <c r="ZJ107" s="19"/>
      <c r="ZK107" s="19"/>
      <c r="ZL107" s="19"/>
      <c r="ZM107" s="19"/>
      <c r="ZN107" s="19"/>
      <c r="ZO107" s="19"/>
      <c r="ZP107" s="19"/>
      <c r="ZQ107" s="19"/>
      <c r="ZR107" s="19"/>
      <c r="ZS107" s="19"/>
      <c r="ZT107" s="19"/>
      <c r="ZU107" s="19"/>
      <c r="ZV107" s="19"/>
      <c r="ZW107" s="19"/>
      <c r="ZX107" s="19"/>
      <c r="ZY107" s="19"/>
      <c r="ZZ107" s="19"/>
      <c r="AAA107" s="19"/>
      <c r="AAB107" s="19"/>
      <c r="AAC107" s="19"/>
      <c r="AAD107" s="19"/>
      <c r="AAE107" s="19"/>
      <c r="AAF107" s="19"/>
      <c r="AAG107" s="19"/>
      <c r="AAH107" s="19"/>
      <c r="AAI107" s="19"/>
      <c r="AAJ107" s="19"/>
      <c r="AAK107" s="19"/>
      <c r="AAL107" s="19"/>
      <c r="AAM107" s="19"/>
      <c r="AAN107" s="19"/>
      <c r="AAO107" s="19"/>
      <c r="AAP107" s="19"/>
      <c r="AAQ107" s="19"/>
      <c r="AAR107" s="19"/>
      <c r="AAS107" s="19"/>
      <c r="AAT107" s="19"/>
      <c r="AAU107" s="19"/>
      <c r="AAV107" s="19"/>
      <c r="AAW107" s="19"/>
      <c r="AAX107" s="19"/>
      <c r="AAY107" s="19"/>
      <c r="AAZ107" s="19"/>
      <c r="ABA107" s="19"/>
      <c r="ABB107" s="19"/>
      <c r="ABC107" s="19"/>
      <c r="ABD107" s="19"/>
      <c r="ABE107" s="19"/>
      <c r="ABF107" s="19"/>
      <c r="ABG107" s="19"/>
      <c r="ABH107" s="19"/>
      <c r="ABI107" s="19"/>
      <c r="ABJ107" s="19"/>
      <c r="ABK107" s="19"/>
      <c r="ABL107" s="19"/>
      <c r="ABM107" s="19"/>
      <c r="ABN107" s="19"/>
      <c r="ABO107" s="19"/>
      <c r="ABP107" s="19"/>
      <c r="ABQ107" s="19"/>
      <c r="ABR107" s="19"/>
      <c r="ABS107" s="19"/>
      <c r="ABT107" s="19"/>
      <c r="ABU107" s="19"/>
      <c r="ABV107" s="19"/>
      <c r="ABW107" s="19"/>
      <c r="ABX107" s="19"/>
      <c r="ABY107" s="19"/>
      <c r="ABZ107" s="19"/>
      <c r="ACA107" s="19"/>
      <c r="ACB107" s="19"/>
      <c r="ACC107" s="19"/>
      <c r="ACD107" s="19"/>
      <c r="ACE107" s="19"/>
      <c r="ACF107" s="19"/>
      <c r="ACG107" s="19"/>
      <c r="ACH107" s="19"/>
      <c r="ACI107" s="19"/>
      <c r="ACJ107" s="19"/>
      <c r="ACK107" s="19"/>
      <c r="ACL107" s="19"/>
      <c r="ACM107" s="19"/>
      <c r="ACN107" s="19"/>
      <c r="ACO107" s="19"/>
      <c r="ACP107" s="19"/>
      <c r="ACQ107" s="19"/>
      <c r="ACR107" s="19"/>
      <c r="ACS107" s="19"/>
      <c r="ACT107" s="19"/>
      <c r="ACU107" s="19"/>
      <c r="ACV107" s="19"/>
      <c r="ACW107" s="19"/>
      <c r="ACX107" s="19"/>
      <c r="ACY107" s="19"/>
      <c r="ACZ107" s="19"/>
      <c r="ADA107" s="19"/>
      <c r="ADB107" s="19"/>
      <c r="ADC107" s="19"/>
      <c r="ADD107" s="19"/>
      <c r="ADE107" s="19"/>
      <c r="ADF107" s="19"/>
      <c r="ADG107" s="19"/>
      <c r="ADH107" s="19"/>
      <c r="ADI107" s="19"/>
      <c r="ADJ107" s="19"/>
      <c r="ADK107" s="19"/>
      <c r="ADL107" s="19"/>
      <c r="ADM107" s="19"/>
      <c r="ADN107" s="19"/>
      <c r="ADO107" s="19"/>
      <c r="ADP107" s="19"/>
      <c r="ADQ107" s="19"/>
      <c r="ADR107" s="19"/>
      <c r="ADS107" s="19"/>
      <c r="ADT107" s="19"/>
      <c r="ADU107" s="19"/>
      <c r="ADV107" s="19"/>
      <c r="ADW107" s="19"/>
      <c r="ADX107" s="19"/>
      <c r="ADY107" s="19"/>
      <c r="ADZ107" s="19"/>
      <c r="AEA107" s="19"/>
      <c r="AEB107" s="19"/>
      <c r="AEC107" s="19"/>
      <c r="AED107" s="19"/>
      <c r="AEE107" s="19"/>
      <c r="AEF107" s="19"/>
      <c r="AEG107" s="19"/>
      <c r="AEH107" s="19"/>
      <c r="AEI107" s="19"/>
      <c r="AEJ107" s="19"/>
      <c r="AEK107" s="19"/>
      <c r="AEL107" s="19"/>
      <c r="AEM107" s="19"/>
      <c r="AEN107" s="19"/>
      <c r="AEO107" s="19"/>
      <c r="AEP107" s="19"/>
      <c r="AEQ107" s="19"/>
      <c r="AER107" s="19"/>
      <c r="AES107" s="19"/>
      <c r="AET107" s="19"/>
      <c r="AEU107" s="19"/>
      <c r="AEV107" s="19"/>
      <c r="AEW107" s="19"/>
      <c r="AEX107" s="19"/>
      <c r="AEY107" s="19"/>
      <c r="AEZ107" s="19"/>
      <c r="AFA107" s="19"/>
      <c r="AFB107" s="19"/>
      <c r="AFC107" s="19"/>
      <c r="AFD107" s="19"/>
      <c r="AFE107" s="19"/>
      <c r="AFF107" s="19"/>
      <c r="AFG107" s="19"/>
      <c r="AFH107" s="19"/>
      <c r="AFI107" s="19"/>
      <c r="AFJ107" s="19"/>
      <c r="AFK107" s="19"/>
      <c r="AFL107" s="19"/>
      <c r="AFM107" s="19"/>
      <c r="AFN107" s="19"/>
      <c r="AFO107" s="19"/>
      <c r="AFP107" s="19"/>
      <c r="AFQ107" s="19"/>
      <c r="AFR107" s="19"/>
      <c r="AFS107" s="19"/>
      <c r="AFT107" s="19"/>
      <c r="AFU107" s="19"/>
      <c r="AFV107" s="19"/>
      <c r="AFW107" s="19"/>
      <c r="AFX107" s="19"/>
      <c r="AFY107" s="19"/>
      <c r="AFZ107" s="19"/>
      <c r="AGA107" s="19"/>
      <c r="AGB107" s="19"/>
      <c r="AGC107" s="19"/>
      <c r="AGD107" s="19"/>
      <c r="AGE107" s="19"/>
      <c r="AGF107" s="19"/>
      <c r="AGG107" s="19"/>
      <c r="AGH107" s="19"/>
      <c r="AGI107" s="19"/>
      <c r="AGJ107" s="19"/>
      <c r="AGK107" s="19"/>
      <c r="AGL107" s="19"/>
      <c r="AGM107" s="19"/>
      <c r="AGN107" s="19"/>
      <c r="AGO107" s="19"/>
      <c r="AGP107" s="19"/>
      <c r="AGQ107" s="19"/>
      <c r="AGR107" s="19"/>
      <c r="AGS107" s="19"/>
      <c r="AGT107" s="19"/>
      <c r="AGU107" s="19"/>
      <c r="AGV107" s="19"/>
      <c r="AGW107" s="19"/>
      <c r="AGX107" s="19"/>
      <c r="AGY107" s="19"/>
      <c r="AGZ107" s="19"/>
      <c r="AHA107" s="19"/>
      <c r="AHB107" s="19"/>
      <c r="AHC107" s="19"/>
      <c r="AHD107" s="19"/>
      <c r="AHE107" s="19"/>
      <c r="AHF107" s="19"/>
      <c r="AHG107" s="19"/>
      <c r="AHH107" s="19"/>
      <c r="AHI107" s="19"/>
      <c r="AHJ107" s="19"/>
      <c r="AHK107" s="19"/>
      <c r="AHL107" s="19"/>
      <c r="AHM107" s="19"/>
      <c r="AHN107" s="19"/>
      <c r="AHO107" s="19"/>
      <c r="AHP107" s="19"/>
      <c r="AHQ107" s="19"/>
      <c r="AHR107" s="19"/>
      <c r="AHS107" s="19"/>
      <c r="AHT107" s="19"/>
      <c r="AHU107" s="19"/>
      <c r="AHV107" s="19"/>
      <c r="AHW107" s="19"/>
      <c r="AHX107" s="19"/>
      <c r="AHY107" s="19"/>
      <c r="AHZ107" s="19"/>
      <c r="AIA107" s="19"/>
      <c r="AIB107" s="19"/>
      <c r="AIC107" s="19"/>
      <c r="AID107" s="19"/>
      <c r="AIE107" s="19"/>
      <c r="AIF107" s="19"/>
      <c r="AIG107" s="19"/>
      <c r="AIH107" s="19"/>
      <c r="AII107" s="19"/>
      <c r="AIJ107" s="19"/>
      <c r="AIK107" s="19"/>
      <c r="AIL107" s="19"/>
      <c r="AIM107" s="19"/>
      <c r="AIN107" s="19"/>
      <c r="AIO107" s="19"/>
      <c r="AIP107" s="19"/>
      <c r="AIQ107" s="19"/>
      <c r="AIR107" s="19"/>
      <c r="AIS107" s="19"/>
      <c r="AIT107" s="19"/>
      <c r="AIU107" s="19"/>
      <c r="AIV107" s="19"/>
      <c r="AIW107" s="19"/>
      <c r="AIX107" s="19"/>
      <c r="AIY107" s="19"/>
      <c r="AIZ107" s="19"/>
      <c r="AJA107" s="19"/>
      <c r="AJB107" s="19"/>
      <c r="AJC107" s="19"/>
      <c r="AJD107" s="19"/>
      <c r="AJE107" s="19"/>
      <c r="AJF107" s="19"/>
      <c r="AJG107" s="19"/>
      <c r="AJH107" s="19"/>
      <c r="AJI107" s="19"/>
      <c r="AJJ107" s="19"/>
      <c r="AJK107" s="19"/>
      <c r="AJL107" s="19"/>
      <c r="AJM107" s="19"/>
      <c r="AJN107" s="19"/>
      <c r="AJO107" s="19"/>
      <c r="AJP107" s="19"/>
      <c r="AJQ107" s="19"/>
      <c r="AJR107" s="19"/>
      <c r="AJS107" s="19"/>
      <c r="AJT107" s="19"/>
      <c r="AJU107" s="19"/>
      <c r="AJV107" s="19"/>
      <c r="AJW107" s="19"/>
      <c r="AJX107" s="19"/>
      <c r="AJY107" s="19"/>
      <c r="AJZ107" s="19"/>
      <c r="AKA107" s="19"/>
      <c r="AKB107" s="19"/>
      <c r="AKC107" s="19"/>
      <c r="AKD107" s="19"/>
      <c r="AKE107" s="19"/>
      <c r="AKF107" s="19"/>
      <c r="AKG107" s="19"/>
      <c r="AKH107" s="19"/>
      <c r="AKI107" s="19"/>
      <c r="AKJ107" s="19"/>
      <c r="AKK107" s="19"/>
      <c r="AKL107" s="19"/>
      <c r="AKM107" s="19"/>
      <c r="AKN107" s="19"/>
      <c r="AKO107" s="19"/>
      <c r="AKP107" s="19"/>
      <c r="AKQ107" s="19"/>
      <c r="AKR107" s="19"/>
      <c r="AKS107" s="19"/>
      <c r="AKT107" s="19"/>
      <c r="AKU107" s="19"/>
      <c r="AKV107" s="19"/>
      <c r="AKW107" s="19"/>
      <c r="AKX107" s="19"/>
      <c r="AKY107" s="19"/>
      <c r="AKZ107" s="19"/>
      <c r="ALA107" s="19"/>
      <c r="ALB107" s="19"/>
      <c r="ALC107" s="19"/>
      <c r="ALD107" s="19"/>
      <c r="ALE107" s="19"/>
      <c r="ALF107" s="19"/>
      <c r="ALG107" s="19"/>
      <c r="ALH107" s="19"/>
      <c r="ALI107" s="19"/>
      <c r="ALJ107" s="19"/>
      <c r="ALK107" s="19"/>
      <c r="ALL107" s="19"/>
      <c r="ALM107" s="19"/>
      <c r="ALN107" s="19"/>
      <c r="ALO107" s="19"/>
      <c r="ALP107" s="19"/>
      <c r="ALQ107" s="19"/>
      <c r="ALR107" s="19"/>
      <c r="ALS107" s="19"/>
      <c r="ALT107" s="19"/>
      <c r="ALU107" s="19"/>
      <c r="ALV107" s="19"/>
      <c r="ALW107" s="19"/>
      <c r="ALX107" s="19"/>
      <c r="ALY107" s="19"/>
      <c r="ALZ107" s="19"/>
      <c r="AMA107" s="19"/>
      <c r="AMB107" s="19"/>
      <c r="AMC107" s="19"/>
      <c r="AMD107" s="19"/>
      <c r="AME107" s="19"/>
      <c r="AMF107" s="19"/>
      <c r="AMG107" s="19"/>
      <c r="AMH107" s="19"/>
      <c r="AMI107" s="19"/>
      <c r="AMJ107" s="19"/>
      <c r="AMK107" s="19"/>
      <c r="AML107" s="19"/>
      <c r="AMM107" s="19"/>
      <c r="AMN107" s="19"/>
      <c r="AMO107" s="19"/>
      <c r="AMP107" s="19"/>
      <c r="AMQ107" s="19"/>
      <c r="AMR107" s="19"/>
      <c r="AMS107" s="19"/>
      <c r="AMT107" s="19"/>
      <c r="AMU107" s="19"/>
      <c r="AMV107" s="19"/>
      <c r="AMW107" s="19"/>
      <c r="AMX107" s="19"/>
      <c r="AMY107" s="19"/>
      <c r="AMZ107" s="19"/>
      <c r="ANA107" s="19"/>
      <c r="ANB107" s="19"/>
      <c r="ANC107" s="19"/>
      <c r="AND107" s="19"/>
      <c r="ANE107" s="19"/>
      <c r="ANF107" s="19"/>
      <c r="ANG107" s="19"/>
      <c r="ANH107" s="19"/>
      <c r="ANI107" s="19"/>
      <c r="ANJ107" s="19"/>
      <c r="ANK107" s="19"/>
      <c r="ANL107" s="19"/>
      <c r="ANM107" s="19"/>
      <c r="ANN107" s="19"/>
      <c r="ANO107" s="19"/>
      <c r="ANP107" s="19"/>
      <c r="ANQ107" s="639"/>
      <c r="ANR107" s="639"/>
      <c r="ANS107" s="19"/>
      <c r="ANT107" s="19"/>
      <c r="ANU107" s="19"/>
      <c r="ANV107" s="19"/>
      <c r="ANW107" s="19"/>
      <c r="ANX107" s="19"/>
      <c r="ANY107" s="19"/>
      <c r="ANZ107" s="19"/>
      <c r="AOA107" s="19"/>
      <c r="AOB107" s="19"/>
      <c r="AOC107" s="19"/>
      <c r="AOD107" s="19"/>
      <c r="AOE107" s="19"/>
      <c r="AOF107" s="19"/>
      <c r="AOG107" s="19"/>
      <c r="AOH107" s="19"/>
      <c r="AOI107" s="19"/>
      <c r="AOJ107" s="19"/>
      <c r="AOK107" s="19"/>
      <c r="AOL107" s="19"/>
      <c r="AOM107" s="19"/>
      <c r="AON107" s="19"/>
      <c r="AOO107" s="19"/>
      <c r="AOP107" s="19"/>
      <c r="AOQ107" s="19"/>
      <c r="AOR107" s="19"/>
      <c r="AOS107" s="19"/>
      <c r="AOT107" s="19"/>
      <c r="AOU107" s="19"/>
      <c r="AOV107" s="19"/>
      <c r="AOW107" s="19"/>
      <c r="AOX107" s="19"/>
      <c r="AOY107" s="19"/>
      <c r="AOZ107" s="19"/>
      <c r="APA107" s="19"/>
      <c r="APB107" s="19"/>
      <c r="APC107" s="19"/>
      <c r="APD107" s="19"/>
      <c r="APE107" s="19"/>
      <c r="APF107" s="19"/>
      <c r="APG107" s="19"/>
      <c r="APH107" s="19"/>
      <c r="API107" s="19"/>
      <c r="APJ107" s="19"/>
      <c r="APK107" s="19"/>
      <c r="APL107" s="19"/>
      <c r="APM107" s="19"/>
      <c r="APN107" s="19"/>
      <c r="APO107" s="19"/>
      <c r="APP107" s="19"/>
      <c r="APQ107" s="19"/>
      <c r="APR107" s="19"/>
      <c r="APS107" s="19"/>
      <c r="APT107" s="19"/>
      <c r="APU107" s="19"/>
      <c r="APV107" s="19"/>
      <c r="APW107" s="19"/>
      <c r="APX107" s="19"/>
      <c r="APY107" s="19"/>
      <c r="APZ107" s="19"/>
      <c r="AQA107" s="19"/>
      <c r="AQB107" s="19"/>
      <c r="AQC107" s="19"/>
      <c r="AQD107" s="19"/>
      <c r="AQE107" s="19"/>
      <c r="AQF107" s="19"/>
      <c r="AQG107" s="19"/>
      <c r="AQH107" s="19"/>
      <c r="AQI107" s="19"/>
      <c r="AQJ107" s="19"/>
      <c r="AQK107" s="19"/>
      <c r="AQL107" s="19"/>
      <c r="AQM107" s="19"/>
      <c r="AQN107" s="19"/>
      <c r="AQO107" s="19"/>
      <c r="AQP107" s="19"/>
      <c r="AQQ107" s="19"/>
      <c r="AQR107" s="19"/>
      <c r="AQS107" s="19"/>
      <c r="AQT107" s="19"/>
      <c r="AQU107" s="19"/>
      <c r="AQV107" s="19"/>
      <c r="AQW107" s="19"/>
      <c r="AQX107" s="19"/>
      <c r="AQY107" s="19"/>
      <c r="AQZ107" s="19"/>
      <c r="ARA107" s="19"/>
      <c r="ARB107" s="19"/>
      <c r="ARC107" s="19"/>
      <c r="ARD107" s="19"/>
      <c r="ARE107" s="19"/>
      <c r="ARF107" s="19"/>
      <c r="ARG107" s="19"/>
      <c r="ARH107" s="19"/>
      <c r="ARI107" s="19"/>
      <c r="ARJ107" s="19"/>
      <c r="ARK107" s="19"/>
      <c r="ARL107" s="19"/>
      <c r="ARM107" s="19"/>
      <c r="ARN107" s="19"/>
      <c r="ARO107" s="19"/>
      <c r="ARP107" s="19"/>
      <c r="ARQ107" s="19"/>
      <c r="ARR107" s="19"/>
      <c r="ARS107" s="19"/>
      <c r="ART107" s="19"/>
      <c r="ARU107" s="19"/>
      <c r="ARV107" s="19"/>
      <c r="ARW107" s="19"/>
      <c r="ARX107" s="19"/>
      <c r="ARY107" s="19"/>
      <c r="ARZ107" s="19"/>
      <c r="ASA107" s="19"/>
      <c r="ASB107" s="19"/>
      <c r="ASC107" s="19"/>
      <c r="ASD107" s="19"/>
      <c r="ASE107" s="19"/>
      <c r="ASF107" s="19"/>
      <c r="ASG107" s="19"/>
      <c r="ASH107" s="19"/>
      <c r="ASI107" s="19"/>
      <c r="ASJ107" s="19"/>
      <c r="ASK107" s="19"/>
      <c r="ASL107" s="19"/>
      <c r="ASM107" s="19"/>
      <c r="ASN107" s="19"/>
      <c r="ASO107" s="19"/>
      <c r="ASP107" s="19"/>
      <c r="ASQ107" s="19"/>
      <c r="ASR107" s="19"/>
      <c r="ASS107" s="19"/>
      <c r="AST107" s="19"/>
      <c r="ASU107" s="19"/>
      <c r="ASV107" s="19"/>
      <c r="ASW107" s="19"/>
      <c r="ASX107" s="19"/>
      <c r="ASY107" s="19"/>
      <c r="ASZ107" s="19"/>
      <c r="ATA107" s="19"/>
      <c r="ATB107" s="19"/>
      <c r="ATC107" s="19"/>
      <c r="ATD107" s="19"/>
      <c r="ATE107" s="19"/>
      <c r="ATF107" s="19"/>
      <c r="ATG107" s="19"/>
      <c r="ATH107" s="19"/>
      <c r="ATI107" s="19"/>
      <c r="ATJ107" s="19"/>
      <c r="ATK107" s="19"/>
      <c r="ATL107" s="19"/>
      <c r="ATM107" s="19"/>
      <c r="ATN107" s="19"/>
      <c r="ATO107" s="19"/>
      <c r="ATP107" s="19"/>
      <c r="ATQ107" s="19"/>
      <c r="ATR107" s="19"/>
      <c r="ATS107" s="19"/>
      <c r="ATT107" s="19"/>
      <c r="ATU107" s="19"/>
      <c r="ATV107" s="19"/>
      <c r="ATW107" s="19"/>
      <c r="ATX107" s="19"/>
      <c r="ATY107" s="19"/>
      <c r="ATZ107" s="19"/>
      <c r="AUA107" s="19"/>
      <c r="AUB107" s="19"/>
      <c r="AUC107" s="19"/>
      <c r="AUD107" s="19"/>
      <c r="AUE107" s="19"/>
      <c r="AUF107" s="19"/>
      <c r="AUG107" s="19"/>
      <c r="AUH107" s="19"/>
      <c r="AUI107" s="19"/>
      <c r="AUJ107" s="19"/>
      <c r="AUK107" s="19"/>
      <c r="AUL107" s="19"/>
      <c r="AUM107" s="19"/>
      <c r="AUN107" s="19"/>
      <c r="AUO107" s="19"/>
      <c r="AUP107" s="19"/>
      <c r="AUQ107" s="19"/>
      <c r="AUR107" s="19"/>
      <c r="AUS107" s="19"/>
      <c r="AUT107" s="19"/>
      <c r="AUU107" s="19"/>
      <c r="AUV107" s="19"/>
      <c r="AUW107" s="19"/>
      <c r="AUX107" s="19"/>
      <c r="AUY107" s="19"/>
      <c r="AUZ107" s="19"/>
      <c r="AVA107" s="19"/>
      <c r="AVB107" s="19"/>
      <c r="AVC107" s="19"/>
      <c r="AVD107" s="19"/>
      <c r="AVE107" s="19"/>
      <c r="AVF107" s="19"/>
      <c r="AVG107" s="19"/>
      <c r="AVH107" s="19"/>
      <c r="AVI107" s="19"/>
      <c r="AVJ107" s="19"/>
      <c r="AVK107" s="19"/>
      <c r="AVL107" s="19"/>
      <c r="AVM107" s="19"/>
      <c r="AVN107" s="19"/>
      <c r="AVO107" s="19"/>
      <c r="AVP107" s="19"/>
      <c r="AVQ107" s="19"/>
      <c r="AVR107" s="19"/>
      <c r="AVS107" s="19"/>
      <c r="AVT107" s="19"/>
      <c r="AVU107" s="19"/>
      <c r="AVV107" s="19"/>
      <c r="AVW107" s="19"/>
      <c r="AVX107" s="19"/>
      <c r="AVY107" s="19"/>
      <c r="AVZ107" s="19"/>
      <c r="AWA107" s="19"/>
      <c r="AWB107" s="19"/>
      <c r="AWC107" s="19"/>
      <c r="AWD107" s="19"/>
      <c r="AWE107" s="19"/>
      <c r="AWF107" s="19"/>
      <c r="AWG107" s="19"/>
      <c r="AWH107" s="19"/>
      <c r="AWI107" s="19"/>
      <c r="AWJ107" s="19"/>
      <c r="AWK107" s="19"/>
      <c r="AWL107" s="19"/>
      <c r="AWM107" s="19"/>
      <c r="AWN107" s="19"/>
      <c r="AWO107" s="19"/>
      <c r="AWP107" s="19"/>
      <c r="AWQ107" s="19"/>
      <c r="AWR107" s="19"/>
      <c r="AWS107" s="19"/>
      <c r="AWT107" s="19"/>
      <c r="AWU107" s="19"/>
      <c r="AWV107" s="19"/>
      <c r="AWW107" s="19"/>
      <c r="AWX107" s="19"/>
      <c r="AWY107" s="19"/>
      <c r="AWZ107" s="19"/>
      <c r="AXA107" s="19"/>
      <c r="AXB107" s="19"/>
      <c r="AXC107" s="19"/>
      <c r="AXD107" s="19"/>
      <c r="AXE107" s="19"/>
      <c r="AXF107" s="19"/>
      <c r="AXG107" s="19"/>
      <c r="AXH107" s="19"/>
      <c r="AXI107" s="19"/>
      <c r="AXJ107" s="19"/>
      <c r="AXK107" s="19"/>
      <c r="AXL107" s="19"/>
      <c r="AXM107" s="19"/>
      <c r="AXN107" s="19"/>
      <c r="AXO107" s="19"/>
      <c r="AXP107" s="19"/>
      <c r="AXQ107" s="19"/>
      <c r="AXR107" s="19"/>
      <c r="AXS107" s="19"/>
      <c r="AXT107" s="19"/>
      <c r="AXU107" s="19"/>
      <c r="AXV107" s="19"/>
      <c r="AXW107" s="19"/>
      <c r="AXX107" s="19"/>
      <c r="AXY107" s="19"/>
      <c r="AXZ107" s="19"/>
      <c r="AYA107" s="19"/>
      <c r="AYB107" s="19"/>
      <c r="AYC107" s="19"/>
      <c r="AYD107" s="19"/>
      <c r="AYE107" s="19"/>
      <c r="AYF107" s="19"/>
      <c r="AYG107" s="19"/>
      <c r="AYH107" s="19"/>
      <c r="AYI107" s="19"/>
      <c r="AYJ107" s="19"/>
      <c r="AYK107" s="19"/>
      <c r="AYL107" s="19"/>
      <c r="AYM107" s="19"/>
      <c r="AYN107" s="19"/>
      <c r="AYO107" s="19"/>
      <c r="AYP107" s="19"/>
      <c r="AYQ107" s="19"/>
      <c r="AYR107" s="19"/>
      <c r="AYS107" s="19"/>
      <c r="AYT107" s="19"/>
      <c r="AYU107" s="19"/>
      <c r="AYV107" s="19"/>
      <c r="AYW107" s="19"/>
      <c r="AYX107" s="19"/>
      <c r="AYY107" s="19"/>
      <c r="AYZ107" s="19"/>
      <c r="AZA107" s="19"/>
      <c r="AZB107" s="19"/>
      <c r="AZC107" s="19"/>
      <c r="AZD107" s="19"/>
      <c r="AZE107" s="19"/>
      <c r="AZF107" s="19"/>
      <c r="AZG107" s="19"/>
      <c r="AZH107" s="19"/>
      <c r="AZI107" s="19"/>
      <c r="AZJ107" s="19"/>
      <c r="AZK107" s="19"/>
      <c r="AZL107" s="19"/>
      <c r="AZM107" s="19"/>
      <c r="AZN107" s="19"/>
      <c r="AZO107" s="19"/>
      <c r="AZP107" s="19"/>
      <c r="AZQ107" s="19"/>
      <c r="AZR107" s="19"/>
      <c r="AZS107" s="19"/>
      <c r="AZT107" s="19"/>
      <c r="AZU107" s="19"/>
      <c r="AZV107" s="19"/>
      <c r="AZW107" s="19"/>
      <c r="AZX107" s="19"/>
      <c r="AZY107" s="19"/>
      <c r="AZZ107" s="19"/>
      <c r="BAA107" s="19"/>
      <c r="BAB107" s="19"/>
      <c r="BAC107" s="19"/>
      <c r="BAD107" s="19"/>
      <c r="BAE107" s="19"/>
      <c r="BAF107" s="19"/>
      <c r="BAG107" s="19"/>
      <c r="BAH107" s="19"/>
      <c r="BAI107" s="19"/>
      <c r="BAJ107" s="19"/>
      <c r="BAK107" s="19"/>
      <c r="BAL107" s="19"/>
      <c r="BAM107" s="19"/>
      <c r="BAN107" s="19"/>
      <c r="BAO107" s="19"/>
      <c r="BAP107" s="19"/>
      <c r="BAQ107" s="19"/>
      <c r="BAR107" s="19"/>
      <c r="BAS107" s="19"/>
      <c r="BAT107" s="19"/>
      <c r="BAU107" s="19"/>
      <c r="BAV107" s="19"/>
      <c r="BAW107" s="19"/>
      <c r="BAX107" s="19"/>
      <c r="BAY107" s="19"/>
      <c r="BAZ107" s="19"/>
      <c r="BBA107" s="19"/>
      <c r="BBB107" s="19"/>
      <c r="BBC107" s="19"/>
      <c r="BBD107" s="19"/>
      <c r="BBE107" s="19"/>
      <c r="BBF107" s="19"/>
      <c r="BBG107" s="19"/>
      <c r="BBH107" s="19"/>
      <c r="BBI107" s="19"/>
      <c r="BBJ107" s="19"/>
      <c r="BBK107" s="19"/>
      <c r="BBL107" s="19"/>
      <c r="BBM107" s="19"/>
      <c r="BBN107" s="19"/>
      <c r="BBO107" s="19"/>
      <c r="BBP107" s="19"/>
      <c r="BBQ107" s="19"/>
      <c r="BBR107" s="19"/>
      <c r="BBS107" s="19"/>
      <c r="BBT107" s="19"/>
      <c r="BBU107" s="19"/>
      <c r="BBV107" s="19"/>
      <c r="BBW107" s="19"/>
      <c r="BBX107" s="19"/>
      <c r="BBY107" s="19"/>
      <c r="BBZ107" s="19"/>
      <c r="BCA107" s="19"/>
      <c r="BCB107" s="19"/>
      <c r="BCC107" s="19"/>
      <c r="BCD107" s="19"/>
      <c r="BCE107" s="19"/>
      <c r="BCF107" s="19"/>
      <c r="BCG107" s="19"/>
      <c r="BCH107" s="19"/>
      <c r="BCI107" s="19"/>
      <c r="BCJ107" s="19"/>
      <c r="BCK107" s="19"/>
      <c r="BCL107" s="19"/>
      <c r="BCM107" s="19"/>
      <c r="BCN107" s="19"/>
      <c r="BCO107" s="19"/>
      <c r="BCP107" s="19"/>
      <c r="BCQ107" s="19"/>
      <c r="BCR107" s="19"/>
      <c r="BCS107" s="19"/>
      <c r="BCT107" s="19"/>
      <c r="BCU107" s="19"/>
      <c r="BCV107" s="19"/>
      <c r="BCW107" s="19"/>
      <c r="BCX107" s="19"/>
      <c r="BCY107" s="19"/>
      <c r="BCZ107" s="19"/>
      <c r="BDA107" s="19"/>
      <c r="BDB107" s="19"/>
      <c r="BDC107" s="19"/>
      <c r="BDD107" s="19"/>
      <c r="BDE107" s="19"/>
      <c r="BDF107" s="19"/>
      <c r="BDG107" s="19"/>
      <c r="BDH107" s="19"/>
      <c r="BDI107" s="19"/>
      <c r="BDJ107" s="19"/>
      <c r="BDK107" s="19"/>
      <c r="BDL107" s="19"/>
      <c r="BDM107" s="19"/>
      <c r="BDN107" s="19"/>
      <c r="BDO107" s="19"/>
      <c r="BDP107" s="19"/>
      <c r="BDQ107" s="19"/>
      <c r="BDR107" s="19"/>
      <c r="BDS107" s="19"/>
      <c r="BDT107" s="19"/>
      <c r="BDU107" s="19"/>
      <c r="BDV107" s="19"/>
      <c r="BDW107" s="19"/>
      <c r="BDX107" s="19"/>
      <c r="BDY107" s="19"/>
      <c r="BDZ107" s="19"/>
      <c r="BEA107" s="19"/>
      <c r="BEB107" s="19"/>
      <c r="BEC107" s="19"/>
      <c r="BED107" s="19"/>
      <c r="BEE107" s="19"/>
      <c r="BEF107" s="19"/>
      <c r="BEG107" s="19"/>
      <c r="BEH107" s="19"/>
      <c r="BEI107" s="19"/>
      <c r="BEJ107" s="19"/>
      <c r="BEK107" s="19"/>
      <c r="BEL107" s="19"/>
      <c r="BEM107" s="19"/>
      <c r="BEN107" s="19"/>
      <c r="BEO107" s="19"/>
      <c r="BEP107" s="19"/>
      <c r="BEQ107" s="19"/>
      <c r="BER107" s="19"/>
      <c r="BES107" s="19"/>
      <c r="BET107" s="19"/>
      <c r="BEU107" s="19"/>
      <c r="BEV107" s="19"/>
      <c r="BEW107" s="19"/>
      <c r="BEX107" s="19"/>
      <c r="BEY107" s="19"/>
      <c r="BEZ107" s="19"/>
      <c r="BFA107" s="19"/>
      <c r="BFB107" s="19"/>
      <c r="BFC107" s="19"/>
      <c r="BFD107" s="19"/>
      <c r="BFE107" s="19"/>
      <c r="BFF107" s="19"/>
      <c r="BFG107" s="19"/>
      <c r="BFH107" s="19"/>
      <c r="BFI107" s="19"/>
      <c r="BFJ107" s="19"/>
      <c r="BFK107" s="19"/>
      <c r="BFL107" s="19"/>
      <c r="BFM107" s="19"/>
      <c r="BFN107" s="19"/>
      <c r="BFO107" s="19"/>
      <c r="BFP107" s="19"/>
      <c r="BFQ107" s="19"/>
      <c r="BFR107" s="19"/>
      <c r="BFS107" s="19"/>
      <c r="BFT107" s="19"/>
      <c r="BFU107" s="19"/>
      <c r="BFV107" s="19"/>
      <c r="BFW107" s="19"/>
      <c r="BFX107" s="19"/>
      <c r="BFY107" s="19"/>
      <c r="BFZ107" s="19"/>
      <c r="BGA107" s="19"/>
      <c r="BGB107" s="19"/>
      <c r="BGC107" s="19"/>
      <c r="BGD107" s="19"/>
      <c r="BGE107" s="19"/>
      <c r="BGF107" s="19"/>
      <c r="BGG107" s="19"/>
      <c r="BGH107" s="19"/>
      <c r="BGI107" s="19"/>
      <c r="BGJ107" s="19"/>
      <c r="BGK107" s="19"/>
      <c r="BGL107" s="19"/>
      <c r="BGM107" s="19"/>
      <c r="BGN107" s="19"/>
      <c r="BGO107" s="19"/>
      <c r="BGP107" s="19"/>
      <c r="BGQ107" s="19"/>
      <c r="BGR107" s="19"/>
      <c r="BGS107" s="19"/>
      <c r="BGT107" s="19"/>
      <c r="BGU107" s="19"/>
      <c r="BGV107" s="19"/>
      <c r="BGW107" s="19"/>
      <c r="BGX107" s="19"/>
      <c r="BGY107" s="19"/>
      <c r="BGZ107" s="19"/>
      <c r="BHA107" s="19"/>
      <c r="BHB107" s="19"/>
      <c r="BHC107" s="19"/>
      <c r="BHD107" s="19"/>
      <c r="BHE107" s="19"/>
      <c r="BHF107" s="19"/>
      <c r="BHG107" s="19"/>
      <c r="BHH107" s="19"/>
      <c r="BHI107" s="19"/>
      <c r="BHJ107" s="19"/>
      <c r="BHK107" s="19"/>
      <c r="BHL107" s="19"/>
      <c r="BHM107" s="19"/>
      <c r="BHN107" s="19"/>
      <c r="BHO107" s="19"/>
      <c r="BHP107" s="19"/>
      <c r="BHQ107" s="19"/>
      <c r="BHR107" s="19"/>
      <c r="BHS107" s="19"/>
      <c r="BHT107" s="19"/>
      <c r="BHU107" s="19"/>
      <c r="BHV107" s="19"/>
      <c r="BHW107" s="19"/>
      <c r="BHX107" s="19"/>
      <c r="BHY107" s="19"/>
      <c r="BHZ107" s="19"/>
      <c r="BIA107" s="19"/>
      <c r="BIB107" s="19"/>
      <c r="BIC107" s="19"/>
      <c r="BID107" s="19"/>
      <c r="BIE107" s="19"/>
      <c r="BIF107" s="19"/>
      <c r="BIG107" s="19"/>
      <c r="BIH107" s="19"/>
      <c r="BII107" s="19"/>
      <c r="BIJ107" s="19"/>
      <c r="BIK107" s="19"/>
      <c r="BIL107" s="19"/>
      <c r="BIM107" s="19"/>
      <c r="BIN107" s="19"/>
      <c r="BIO107" s="19"/>
      <c r="BIP107" s="19"/>
      <c r="BIQ107" s="19"/>
      <c r="BIR107" s="19"/>
      <c r="BIS107" s="19"/>
      <c r="BIT107" s="19"/>
      <c r="BIU107" s="19"/>
      <c r="BIV107" s="19"/>
      <c r="BIW107" s="19"/>
      <c r="BIX107" s="19"/>
      <c r="BIY107" s="19"/>
      <c r="BIZ107" s="19"/>
      <c r="BJA107" s="19"/>
      <c r="BJB107" s="19"/>
      <c r="BJC107" s="19"/>
      <c r="BJD107" s="19"/>
      <c r="BJE107" s="19"/>
      <c r="BJF107" s="19"/>
      <c r="BJG107" s="19"/>
      <c r="BJH107" s="19"/>
      <c r="BJI107" s="19"/>
      <c r="BJJ107" s="19"/>
      <c r="BJK107" s="19"/>
      <c r="BJL107" s="19"/>
      <c r="BJM107" s="19"/>
      <c r="BJN107" s="19"/>
      <c r="BJO107" s="19"/>
      <c r="BJP107" s="19"/>
      <c r="BJQ107" s="19"/>
      <c r="BJR107" s="19"/>
      <c r="BJS107" s="19"/>
      <c r="BJT107" s="19"/>
      <c r="BJU107" s="19"/>
      <c r="BJV107" s="19"/>
      <c r="BJW107" s="19"/>
      <c r="BJX107" s="19"/>
      <c r="BJY107" s="19"/>
      <c r="BJZ107" s="19"/>
      <c r="BKA107" s="19"/>
      <c r="BKB107" s="19"/>
      <c r="BKC107" s="19"/>
      <c r="BKD107" s="19"/>
      <c r="BKE107" s="19"/>
      <c r="BKF107" s="19"/>
      <c r="BKG107" s="19"/>
      <c r="BKH107" s="19"/>
      <c r="BKI107" s="19"/>
      <c r="BKJ107" s="19"/>
      <c r="BKK107" s="19"/>
      <c r="BKL107" s="19"/>
      <c r="BKM107" s="19"/>
      <c r="BKN107" s="19"/>
      <c r="BKO107" s="19"/>
      <c r="BKP107" s="19"/>
      <c r="BKQ107" s="19"/>
      <c r="BKR107" s="19"/>
      <c r="BKS107" s="19"/>
      <c r="BKT107" s="19"/>
      <c r="BKU107" s="19"/>
      <c r="BKV107" s="19"/>
      <c r="BKW107" s="19"/>
      <c r="BKX107" s="19"/>
      <c r="BKY107" s="19"/>
      <c r="BKZ107" s="19"/>
      <c r="BLA107" s="19"/>
      <c r="BLB107" s="19"/>
      <c r="BLC107" s="19"/>
      <c r="BLD107" s="19"/>
      <c r="BLE107" s="19"/>
      <c r="BLF107" s="19"/>
      <c r="BLG107" s="19"/>
      <c r="BLH107" s="19"/>
      <c r="BLI107" s="19"/>
      <c r="BLJ107" s="19"/>
      <c r="BLK107" s="19"/>
      <c r="BLL107" s="19"/>
      <c r="BLM107" s="19"/>
      <c r="BLN107" s="19"/>
      <c r="BLO107" s="19"/>
      <c r="BLP107" s="19"/>
      <c r="BLQ107" s="19"/>
      <c r="BLR107" s="19"/>
      <c r="BLS107" s="19"/>
      <c r="BLT107" s="19"/>
      <c r="BLU107" s="19"/>
      <c r="BLV107" s="19"/>
      <c r="BLW107" s="19"/>
      <c r="BLX107" s="19"/>
      <c r="BLY107" s="19"/>
      <c r="BLZ107" s="19"/>
      <c r="BMA107" s="19"/>
      <c r="BMB107" s="19"/>
      <c r="BMC107" s="19"/>
      <c r="BMD107" s="19"/>
      <c r="BME107" s="19"/>
      <c r="BMF107" s="19"/>
      <c r="BMG107" s="19"/>
      <c r="BMH107" s="19"/>
      <c r="BMI107" s="19"/>
      <c r="BMJ107" s="19"/>
      <c r="BMK107" s="19"/>
      <c r="BML107" s="19"/>
      <c r="BMM107" s="19"/>
      <c r="BMN107" s="19"/>
      <c r="BMO107" s="19"/>
      <c r="BMP107" s="19"/>
      <c r="BMQ107" s="19"/>
      <c r="BMR107" s="19"/>
      <c r="BMS107" s="19"/>
      <c r="BMT107" s="19"/>
      <c r="BMU107" s="19"/>
      <c r="BMV107" s="19"/>
      <c r="BMW107" s="19"/>
      <c r="BMX107" s="19"/>
      <c r="BMY107" s="19"/>
      <c r="BMZ107" s="19"/>
      <c r="BNA107" s="19"/>
      <c r="BNB107" s="19"/>
      <c r="BNC107" s="19"/>
      <c r="BND107" s="19"/>
      <c r="BNE107" s="19"/>
      <c r="BNF107" s="19"/>
      <c r="BNG107" s="19"/>
      <c r="BNH107" s="19"/>
      <c r="BNI107" s="19"/>
      <c r="BNJ107" s="19"/>
      <c r="BNK107" s="19"/>
      <c r="BNL107" s="19"/>
      <c r="BNM107" s="19"/>
      <c r="BNN107" s="19"/>
      <c r="BNO107" s="19"/>
      <c r="BNP107" s="19"/>
      <c r="BNQ107" s="19"/>
      <c r="BNR107" s="19"/>
      <c r="BNS107" s="19"/>
      <c r="BNT107" s="19"/>
      <c r="BNU107" s="19"/>
      <c r="BNV107" s="19"/>
      <c r="BNW107" s="19"/>
      <c r="BNX107" s="19"/>
      <c r="BNY107" s="19"/>
      <c r="BNZ107" s="19"/>
      <c r="BOA107" s="19"/>
      <c r="BOB107" s="19"/>
      <c r="BOC107" s="19"/>
      <c r="BOD107" s="19"/>
      <c r="BOE107" s="19"/>
      <c r="BOF107" s="19"/>
      <c r="BOG107" s="19"/>
      <c r="BOH107" s="19"/>
      <c r="BOI107" s="19"/>
      <c r="BOJ107" s="19"/>
      <c r="BOK107" s="19"/>
      <c r="BOL107" s="19"/>
      <c r="BOM107" s="19"/>
      <c r="BON107" s="19"/>
      <c r="BOO107" s="19"/>
      <c r="BOP107" s="19"/>
      <c r="BOQ107" s="19"/>
      <c r="BOR107" s="19"/>
      <c r="BOS107" s="19"/>
      <c r="BOT107" s="19"/>
      <c r="BOU107" s="19"/>
      <c r="BOV107" s="19"/>
      <c r="BOW107" s="19"/>
      <c r="BOX107" s="19"/>
      <c r="BOY107" s="19"/>
      <c r="BOZ107" s="19"/>
      <c r="BPA107" s="19"/>
      <c r="BPB107" s="19"/>
      <c r="BPC107" s="19"/>
      <c r="BPD107" s="19"/>
      <c r="BPE107" s="19"/>
      <c r="BPF107" s="19"/>
      <c r="BPG107" s="19"/>
      <c r="BPH107" s="19"/>
      <c r="BPI107" s="19"/>
      <c r="BPJ107" s="19"/>
      <c r="BPK107" s="19"/>
      <c r="BPL107" s="19"/>
      <c r="BPM107" s="19"/>
      <c r="BPN107" s="19"/>
      <c r="BPO107" s="19"/>
      <c r="BPP107" s="19"/>
      <c r="BPQ107" s="19"/>
      <c r="BPR107" s="19"/>
      <c r="BPS107" s="19"/>
      <c r="BPT107" s="19"/>
      <c r="BPU107" s="19"/>
      <c r="BPV107" s="19"/>
      <c r="BPW107" s="19"/>
      <c r="BPX107" s="19"/>
      <c r="BPY107" s="19"/>
      <c r="BPZ107" s="19"/>
      <c r="BQA107" s="19"/>
      <c r="BQB107" s="19"/>
      <c r="BQC107" s="19"/>
      <c r="BQD107" s="19"/>
      <c r="BQE107" s="19"/>
      <c r="BQF107" s="19"/>
      <c r="BQG107" s="19"/>
      <c r="BQH107" s="19"/>
      <c r="BQI107" s="19"/>
      <c r="BQJ107" s="19"/>
      <c r="BQK107" s="19"/>
      <c r="BQL107" s="19"/>
      <c r="BQM107" s="19"/>
      <c r="BQN107" s="19"/>
      <c r="BQO107" s="19"/>
      <c r="BQP107" s="19"/>
      <c r="BQQ107" s="19"/>
      <c r="BQR107" s="19"/>
      <c r="BQS107" s="19"/>
      <c r="BQT107" s="19"/>
      <c r="BQU107" s="19"/>
      <c r="BQV107" s="19"/>
      <c r="BQW107" s="19"/>
      <c r="BQX107" s="19"/>
      <c r="BQY107" s="19"/>
      <c r="BQZ107" s="19"/>
      <c r="BRA107" s="19"/>
      <c r="BRB107" s="19"/>
      <c r="BRC107" s="19"/>
      <c r="BRD107" s="19"/>
      <c r="BRE107" s="19"/>
      <c r="BRF107" s="19"/>
      <c r="BRG107" s="19"/>
      <c r="BRH107" s="19"/>
      <c r="BRI107" s="19"/>
      <c r="BRJ107" s="19"/>
      <c r="BRK107" s="19"/>
      <c r="BRL107" s="19"/>
      <c r="BRM107" s="19"/>
      <c r="BRN107" s="19"/>
      <c r="BRO107" s="19"/>
      <c r="BRP107" s="19"/>
      <c r="BRQ107" s="19"/>
      <c r="BRR107" s="19"/>
      <c r="BRS107" s="19"/>
      <c r="BRT107" s="19"/>
      <c r="BRU107" s="19"/>
      <c r="BRV107" s="19"/>
      <c r="BRW107" s="19"/>
      <c r="BRX107" s="19"/>
      <c r="BRY107" s="19"/>
      <c r="BRZ107" s="19"/>
      <c r="BSA107" s="19"/>
      <c r="BSB107" s="19"/>
      <c r="BSC107" s="19"/>
      <c r="BSD107" s="19"/>
      <c r="BSE107" s="19"/>
      <c r="BSF107" s="19"/>
      <c r="BSG107" s="19"/>
      <c r="BSH107" s="19"/>
      <c r="BSI107" s="19"/>
      <c r="BSJ107" s="19"/>
      <c r="BSK107" s="19"/>
      <c r="BSL107" s="19"/>
      <c r="BSM107" s="19"/>
      <c r="BSN107" s="19"/>
      <c r="BSO107" s="19"/>
      <c r="BSP107" s="19"/>
      <c r="BSQ107" s="19"/>
      <c r="BSR107" s="19"/>
      <c r="BSS107" s="19"/>
      <c r="BST107" s="19"/>
      <c r="BSU107" s="19"/>
      <c r="BSV107" s="19"/>
      <c r="BSW107" s="19"/>
      <c r="BSX107" s="19"/>
      <c r="BSY107" s="19"/>
      <c r="BSZ107" s="19"/>
      <c r="BTA107" s="19"/>
      <c r="BTB107" s="19"/>
      <c r="BTC107" s="19"/>
      <c r="BTD107" s="19"/>
      <c r="BTE107" s="19"/>
      <c r="BTF107" s="19"/>
      <c r="BTG107" s="19"/>
      <c r="BTH107" s="19"/>
      <c r="BTI107" s="19"/>
      <c r="BTJ107" s="19"/>
      <c r="BTK107" s="19"/>
      <c r="BTL107" s="19"/>
      <c r="BTM107" s="19"/>
      <c r="BTN107" s="19"/>
      <c r="BTO107" s="19"/>
      <c r="BTP107" s="19"/>
      <c r="BTQ107" s="19"/>
      <c r="BTR107" s="19"/>
      <c r="BTS107" s="19"/>
      <c r="BTT107" s="19"/>
      <c r="BTU107" s="19"/>
      <c r="BTV107" s="19"/>
      <c r="BTW107" s="19"/>
      <c r="BTX107" s="19"/>
      <c r="BTY107" s="19"/>
      <c r="BTZ107" s="19"/>
      <c r="BUA107" s="19"/>
      <c r="BUB107" s="19"/>
      <c r="BUC107" s="19"/>
      <c r="BUD107" s="19"/>
      <c r="BUE107" s="19"/>
      <c r="BUF107" s="19"/>
      <c r="BUG107" s="19"/>
      <c r="BUH107" s="19"/>
      <c r="BUI107" s="19"/>
      <c r="BUJ107" s="19"/>
      <c r="BUK107" s="19"/>
      <c r="BUL107" s="19"/>
      <c r="BUM107" s="19"/>
      <c r="BUN107" s="19"/>
      <c r="BUO107" s="19"/>
      <c r="BUP107" s="19"/>
      <c r="BUQ107" s="19"/>
      <c r="BUR107" s="19"/>
      <c r="BUS107" s="19"/>
      <c r="BUT107" s="19"/>
      <c r="BUU107" s="19"/>
      <c r="BUV107" s="19"/>
      <c r="BUW107" s="19"/>
      <c r="BUX107" s="19"/>
      <c r="BUY107" s="19"/>
      <c r="BUZ107" s="19"/>
      <c r="BVA107" s="19"/>
      <c r="BVB107" s="19"/>
      <c r="BVC107" s="19"/>
      <c r="BVD107" s="19"/>
      <c r="BVE107" s="19"/>
      <c r="BVF107" s="19"/>
      <c r="BVG107" s="19"/>
      <c r="BVH107" s="19"/>
      <c r="BVI107" s="19"/>
      <c r="BVJ107" s="19"/>
      <c r="BVK107" s="19"/>
      <c r="BVL107" s="19"/>
      <c r="BVM107" s="19"/>
      <c r="BVN107" s="19"/>
      <c r="BVO107" s="19"/>
      <c r="BVP107" s="19"/>
      <c r="BVQ107" s="19"/>
      <c r="BVR107" s="19"/>
      <c r="BVS107" s="19"/>
      <c r="BVT107" s="19"/>
      <c r="BVU107" s="19"/>
      <c r="BVV107" s="19"/>
      <c r="BVW107" s="19"/>
      <c r="BVX107" s="19"/>
      <c r="BVY107" s="19"/>
      <c r="BVZ107" s="19"/>
      <c r="BWA107" s="19"/>
      <c r="BWB107" s="19"/>
      <c r="BWC107" s="19"/>
      <c r="BWD107" s="19"/>
      <c r="BWE107" s="19"/>
      <c r="BWF107" s="19"/>
      <c r="BWG107" s="19"/>
      <c r="BWH107" s="19"/>
      <c r="BWI107" s="19"/>
      <c r="BWJ107" s="19"/>
      <c r="BWK107" s="19"/>
      <c r="BWL107" s="19"/>
      <c r="BWM107" s="19"/>
      <c r="BWN107" s="19"/>
      <c r="BWO107" s="19"/>
      <c r="BWP107" s="19"/>
      <c r="BWQ107" s="19"/>
      <c r="BWR107" s="19"/>
      <c r="BWS107" s="19"/>
      <c r="BWT107" s="19"/>
      <c r="BWU107" s="19"/>
      <c r="BWV107" s="19"/>
      <c r="BWW107" s="19"/>
      <c r="BWX107" s="19"/>
      <c r="BWY107" s="19"/>
      <c r="BWZ107" s="19"/>
      <c r="BXA107" s="19"/>
      <c r="BXB107" s="19"/>
      <c r="BXC107" s="19"/>
      <c r="BXD107" s="19"/>
      <c r="BXE107" s="19"/>
      <c r="BXF107" s="19"/>
      <c r="BXG107" s="19"/>
      <c r="BXH107" s="19"/>
      <c r="BXI107" s="19"/>
      <c r="BXJ107" s="19"/>
      <c r="BXK107" s="19"/>
      <c r="BXL107" s="19"/>
      <c r="BXM107" s="19"/>
      <c r="BXN107" s="19"/>
      <c r="BXO107" s="19"/>
      <c r="BXP107" s="19"/>
      <c r="BXQ107" s="19"/>
      <c r="BXR107" s="19"/>
      <c r="BXS107" s="19"/>
      <c r="BXT107" s="19"/>
      <c r="BXU107" s="19"/>
      <c r="BXV107" s="19"/>
      <c r="BXW107" s="19"/>
      <c r="BXX107" s="19"/>
      <c r="BXY107" s="19"/>
      <c r="BXZ107" s="19"/>
      <c r="BYA107" s="19"/>
      <c r="BYB107" s="19"/>
      <c r="BYC107" s="19"/>
      <c r="BYD107" s="19"/>
      <c r="BYE107" s="19"/>
      <c r="BYF107" s="19"/>
      <c r="BYG107" s="19"/>
      <c r="BYH107" s="19"/>
      <c r="BYI107" s="19"/>
      <c r="BYJ107" s="19"/>
      <c r="BYK107" s="19"/>
      <c r="BYL107" s="19"/>
      <c r="BYM107" s="19"/>
      <c r="BYN107" s="19"/>
      <c r="BYO107" s="19"/>
      <c r="BYP107" s="19"/>
      <c r="BYQ107" s="19"/>
      <c r="BYR107" s="19"/>
      <c r="BYS107" s="19"/>
      <c r="BYT107" s="19"/>
      <c r="BYU107" s="19"/>
      <c r="BYV107" s="19"/>
      <c r="BYW107" s="19"/>
      <c r="BYX107" s="19"/>
      <c r="BYY107" s="19"/>
      <c r="BYZ107" s="19"/>
      <c r="BZA107" s="19"/>
      <c r="BZB107" s="19"/>
      <c r="BZC107" s="19"/>
      <c r="BZD107" s="19"/>
      <c r="BZE107" s="19"/>
      <c r="BZF107" s="19"/>
      <c r="BZG107" s="19"/>
      <c r="BZH107" s="19"/>
      <c r="BZI107" s="19"/>
      <c r="BZJ107" s="19"/>
      <c r="BZK107" s="19"/>
      <c r="BZL107" s="19"/>
      <c r="BZM107" s="19"/>
      <c r="BZN107" s="19"/>
      <c r="BZO107" s="19"/>
      <c r="BZP107" s="19"/>
      <c r="BZQ107" s="19"/>
      <c r="BZR107" s="19"/>
      <c r="BZS107" s="19"/>
      <c r="BZT107" s="19"/>
      <c r="BZU107" s="19"/>
      <c r="BZV107" s="19"/>
      <c r="BZW107" s="19"/>
      <c r="BZX107" s="19"/>
      <c r="BZY107" s="19"/>
      <c r="BZZ107" s="19"/>
      <c r="CAA107" s="19"/>
      <c r="CAB107" s="19"/>
      <c r="CAC107" s="19"/>
      <c r="CAD107" s="19"/>
      <c r="CAE107" s="19"/>
      <c r="CAF107" s="19"/>
      <c r="CAG107" s="19"/>
      <c r="CAH107" s="19"/>
      <c r="CAI107" s="19"/>
      <c r="CAJ107" s="19"/>
      <c r="CAK107" s="19"/>
      <c r="CAL107" s="19"/>
      <c r="CAM107" s="19"/>
      <c r="CAN107" s="19"/>
      <c r="CAO107" s="19"/>
      <c r="CAP107" s="19"/>
      <c r="CAQ107" s="19"/>
      <c r="CAR107" s="19"/>
      <c r="CAS107" s="19"/>
      <c r="CAT107" s="19"/>
      <c r="CAU107" s="19"/>
      <c r="CAV107" s="19"/>
      <c r="CAW107" s="19"/>
      <c r="CAX107" s="19"/>
      <c r="CAY107" s="19"/>
      <c r="CAZ107" s="19"/>
      <c r="CBF107" s="19"/>
      <c r="CBG107" s="19"/>
      <c r="CBH107" s="19"/>
      <c r="CBI107" s="19"/>
      <c r="CBJ107" s="19"/>
      <c r="CBK107" s="19"/>
      <c r="CBL107" s="19"/>
      <c r="CBM107" s="19"/>
      <c r="CBN107" s="19"/>
      <c r="CBO107" s="19"/>
      <c r="CBP107" s="19"/>
      <c r="CBQ107" s="19"/>
      <c r="CBR107" s="19"/>
      <c r="CBS107" s="19"/>
      <c r="CBT107" s="19"/>
      <c r="CBU107" s="19"/>
      <c r="CBV107" s="19"/>
      <c r="CBW107" s="19"/>
      <c r="CBX107" s="19"/>
      <c r="CBY107" s="19"/>
      <c r="CBZ107" s="19"/>
      <c r="CCA107" s="19"/>
      <c r="CCB107" s="19"/>
      <c r="CCC107" s="19"/>
      <c r="CCD107" s="19"/>
      <c r="CCE107" s="19"/>
      <c r="CCF107" s="19"/>
      <c r="CCG107" s="19"/>
      <c r="CCH107" s="19"/>
      <c r="CCI107" s="19"/>
      <c r="CCJ107" s="19"/>
      <c r="CCK107" s="19"/>
      <c r="CCL107" s="19"/>
      <c r="CCM107" s="19"/>
      <c r="CCN107" s="19"/>
      <c r="CCO107" s="19"/>
      <c r="CCP107" s="19"/>
      <c r="CCQ107" s="19"/>
      <c r="CCR107" s="19"/>
      <c r="CCS107" s="19"/>
      <c r="CCT107" s="19"/>
      <c r="CCU107" s="19"/>
      <c r="CCV107" s="19"/>
      <c r="CCW107" s="19"/>
      <c r="CCX107" s="19"/>
      <c r="CCY107" s="19"/>
      <c r="CCZ107" s="19"/>
      <c r="CDA107" s="19"/>
      <c r="CDB107" s="19"/>
      <c r="CDC107" s="19"/>
      <c r="CDD107" s="19"/>
      <c r="CDE107" s="19"/>
      <c r="CDF107" s="19"/>
      <c r="CDG107" s="19"/>
      <c r="CDH107" s="19"/>
      <c r="CDI107" s="19"/>
      <c r="CDJ107" s="19"/>
      <c r="CDK107" s="19"/>
      <c r="CDL107" s="19"/>
      <c r="CDM107" s="19"/>
      <c r="CDN107" s="19"/>
      <c r="CDO107" s="19"/>
      <c r="CDP107" s="19"/>
      <c r="CDQ107" s="19"/>
      <c r="CDR107" s="19"/>
      <c r="CDS107" s="19"/>
      <c r="CDT107" s="19"/>
      <c r="CDU107" s="19"/>
      <c r="CDV107" s="19"/>
      <c r="CDW107" s="19"/>
      <c r="CDX107" s="19"/>
      <c r="CDY107" s="19"/>
      <c r="CDZ107" s="19"/>
      <c r="CEA107" s="19"/>
      <c r="CEB107" s="19"/>
      <c r="CEC107" s="19"/>
      <c r="CED107" s="19"/>
      <c r="CEE107" s="19"/>
    </row>
    <row r="108" spans="1:2297 10881:10881" ht="16.05" customHeight="1">
      <c r="A108" s="19" t="s">
        <v>701</v>
      </c>
      <c r="B108" s="19" t="s">
        <v>744</v>
      </c>
      <c r="C108" s="643"/>
      <c r="D108" s="428" t="str">
        <f t="shared" ca="1" si="279"/>
        <v>Noruega</v>
      </c>
      <c r="E108" s="643" t="s">
        <v>254</v>
      </c>
      <c r="F108" s="643" t="s">
        <v>740</v>
      </c>
      <c r="G108" s="424" t="s">
        <v>454</v>
      </c>
      <c r="H108" s="624">
        <f t="shared" ca="1" si="280"/>
        <v>12</v>
      </c>
      <c r="I108" s="10"/>
      <c r="J108" s="19">
        <v>80</v>
      </c>
      <c r="K108" s="439">
        <v>46204.75</v>
      </c>
      <c r="L108" s="19" t="s">
        <v>711</v>
      </c>
      <c r="M108" s="19" t="str">
        <f t="shared" ca="1" si="281"/>
        <v>Inglaterra</v>
      </c>
      <c r="N108" s="19"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9"/>
      <c r="P108" s="19"/>
      <c r="Q108" s="19"/>
      <c r="R108" s="19"/>
      <c r="S108" s="19"/>
      <c r="T108" s="19"/>
      <c r="U108" s="19"/>
      <c r="V108" s="20"/>
      <c r="W108" s="671"/>
      <c r="X108" s="27">
        <f ca="1">Horarios!C108</f>
        <v>46204.75</v>
      </c>
      <c r="Y108" s="28">
        <f ca="1">Horarios!C108</f>
        <v>46204.75</v>
      </c>
      <c r="Z108" s="289">
        <f t="shared" si="286"/>
        <v>80</v>
      </c>
      <c r="AA108" s="96" t="str">
        <f t="shared" ca="1" si="282"/>
        <v>Inglaterra</v>
      </c>
      <c r="AB108" s="97"/>
      <c r="AC108" s="100">
        <v>0</v>
      </c>
      <c r="AD108" s="100">
        <v>1</v>
      </c>
      <c r="AE108" s="97"/>
      <c r="AF108" s="99" t="str">
        <f t="shared" ca="1" si="283"/>
        <v>Noruega</v>
      </c>
      <c r="AG108" s="339">
        <f t="shared" ca="1" si="284"/>
        <v>1</v>
      </c>
      <c r="AH108" s="204">
        <v>80</v>
      </c>
      <c r="AI108" s="191">
        <v>7</v>
      </c>
      <c r="AJ108" s="46">
        <v>7</v>
      </c>
      <c r="AK108" s="40" t="str">
        <f ca="1">IFERROR(INDEX(Equipos!$L$2:$L$49,MATCH(WORLDCUP!AL108,Equipos!$K$2:$K$49,0)),"")</f>
        <v>🇸🇦</v>
      </c>
      <c r="AL108" s="93" t="str">
        <f t="shared" ca="1" si="287"/>
        <v>Arabia Saudita</v>
      </c>
      <c r="AM108" s="334">
        <f t="shared" ca="1" si="288"/>
        <v>2</v>
      </c>
      <c r="AN108" s="94">
        <f t="shared" ca="1" si="288"/>
        <v>3</v>
      </c>
      <c r="AO108" s="94">
        <f t="shared" ca="1" si="288"/>
        <v>0</v>
      </c>
      <c r="AP108" s="94">
        <f t="shared" ca="1" si="288"/>
        <v>2</v>
      </c>
      <c r="AQ108" s="94">
        <f t="shared" ca="1" si="288"/>
        <v>1</v>
      </c>
      <c r="AR108" s="94">
        <f t="shared" ca="1" si="288"/>
        <v>0</v>
      </c>
      <c r="AS108" s="94">
        <f t="shared" ca="1" si="288"/>
        <v>1</v>
      </c>
      <c r="AT108" s="95">
        <f t="shared" ca="1" si="288"/>
        <v>-1</v>
      </c>
      <c r="AU108" s="342">
        <f t="shared" ca="1" si="289"/>
        <v>2</v>
      </c>
      <c r="AV108" s="191" t="str">
        <f t="shared" ca="1" si="290"/>
        <v>Arabia Saudita</v>
      </c>
      <c r="AW108" s="224"/>
      <c r="AX108" s="178"/>
      <c r="AY108" s="285"/>
      <c r="AZ108" s="288" t="str">
        <f t="shared" ca="1" si="291"/>
        <v>1I - 3F</v>
      </c>
      <c r="BA108" s="155"/>
      <c r="BB108" s="19"/>
      <c r="BC108" s="19"/>
      <c r="BD108" s="19"/>
      <c r="BF108" s="19" t="str">
        <f t="shared" ca="1" si="292"/>
        <v>A</v>
      </c>
      <c r="BG108" s="19">
        <f t="shared" ca="1" si="293"/>
        <v>1</v>
      </c>
      <c r="BH108" s="19"/>
      <c r="BI108" s="19">
        <v>6</v>
      </c>
      <c r="BJ108" s="19" t="str">
        <f t="shared" ca="1" si="294"/>
        <v>H</v>
      </c>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19"/>
      <c r="MI108" s="19"/>
      <c r="MJ108" s="19"/>
      <c r="MK108" s="19"/>
      <c r="ML108" s="19"/>
      <c r="MM108" s="19"/>
      <c r="MN108" s="19"/>
      <c r="MO108" s="19"/>
      <c r="MP108" s="19"/>
      <c r="MQ108" s="19"/>
      <c r="MR108" s="19"/>
      <c r="MS108" s="19"/>
      <c r="MT108" s="19"/>
      <c r="MU108" s="19"/>
      <c r="MV108" s="19"/>
      <c r="MW108" s="19"/>
      <c r="MX108" s="19"/>
      <c r="MY108" s="19"/>
      <c r="MZ108" s="19"/>
      <c r="NA108" s="19"/>
      <c r="NB108" s="19"/>
      <c r="NC108" s="19"/>
      <c r="ND108" s="19"/>
      <c r="NE108" s="19"/>
      <c r="NF108" s="19"/>
      <c r="NG108" s="19"/>
      <c r="NH108" s="19"/>
      <c r="NI108" s="19"/>
      <c r="NJ108" s="19"/>
      <c r="NK108" s="19"/>
      <c r="NL108" s="19"/>
      <c r="NM108" s="19"/>
      <c r="NN108" s="19"/>
      <c r="NO108" s="19"/>
      <c r="NP108" s="19"/>
      <c r="NQ108" s="19"/>
      <c r="NR108" s="19"/>
      <c r="NS108" s="19"/>
      <c r="NT108" s="19"/>
      <c r="NU108" s="19"/>
      <c r="NV108" s="19"/>
      <c r="NW108" s="19"/>
      <c r="NX108" s="19"/>
      <c r="NY108" s="19"/>
      <c r="NZ108" s="19"/>
      <c r="OA108" s="19"/>
      <c r="OB108" s="19"/>
      <c r="OC108" s="19"/>
      <c r="OD108" s="19"/>
      <c r="OE108" s="19"/>
      <c r="OF108" s="19"/>
      <c r="OG108" s="19"/>
      <c r="OH108" s="19"/>
      <c r="OI108" s="19"/>
      <c r="OJ108" s="19"/>
      <c r="OK108" s="19"/>
      <c r="OL108" s="19"/>
      <c r="OM108" s="19"/>
      <c r="ON108" s="19"/>
      <c r="OO108" s="19"/>
      <c r="OP108" s="19"/>
      <c r="OQ108" s="19"/>
      <c r="OR108" s="19"/>
      <c r="OS108" s="19"/>
      <c r="OT108" s="19"/>
      <c r="OU108" s="19"/>
      <c r="OV108" s="19"/>
      <c r="OW108" s="19"/>
      <c r="OX108" s="19"/>
      <c r="OY108" s="19"/>
      <c r="OZ108" s="19"/>
      <c r="PA108" s="19"/>
      <c r="PB108" s="19"/>
      <c r="PC108" s="19"/>
      <c r="PD108" s="19"/>
      <c r="PE108" s="19"/>
      <c r="PF108" s="19"/>
      <c r="PG108" s="19"/>
      <c r="PH108" s="19"/>
      <c r="PI108" s="19"/>
      <c r="PJ108" s="19"/>
      <c r="PK108" s="19"/>
      <c r="PL108" s="19"/>
      <c r="PM108" s="19"/>
      <c r="PN108" s="19"/>
      <c r="PO108" s="19"/>
      <c r="PP108" s="19"/>
      <c r="PQ108" s="19"/>
      <c r="PR108" s="19"/>
      <c r="PS108" s="19"/>
      <c r="PT108" s="19"/>
      <c r="PU108" s="19"/>
      <c r="PV108" s="19"/>
      <c r="PW108" s="19"/>
      <c r="PX108" s="19"/>
      <c r="PY108" s="19"/>
      <c r="PZ108" s="19"/>
      <c r="QA108" s="19"/>
      <c r="QB108" s="19"/>
      <c r="QC108" s="19"/>
      <c r="QD108" s="19"/>
      <c r="QE108" s="19"/>
      <c r="QF108" s="19"/>
      <c r="QG108" s="19"/>
      <c r="QH108" s="19"/>
      <c r="QI108" s="19"/>
      <c r="QJ108" s="19"/>
      <c r="QK108" s="19"/>
      <c r="QL108" s="19"/>
      <c r="QM108" s="19"/>
      <c r="QN108" s="19"/>
      <c r="QO108" s="19"/>
      <c r="QP108" s="19"/>
      <c r="QQ108" s="19"/>
      <c r="QR108" s="19"/>
      <c r="QS108" s="19"/>
      <c r="QT108" s="19"/>
      <c r="QU108" s="19"/>
      <c r="QV108" s="19"/>
      <c r="QW108" s="19"/>
      <c r="QX108" s="19"/>
      <c r="QY108" s="19"/>
      <c r="QZ108" s="19"/>
      <c r="RA108" s="19"/>
      <c r="RB108" s="19"/>
      <c r="RC108" s="19"/>
      <c r="RD108" s="19"/>
      <c r="RE108" s="19"/>
      <c r="RF108" s="19"/>
      <c r="RG108" s="19"/>
      <c r="RH108" s="19"/>
      <c r="RI108" s="19"/>
      <c r="RJ108" s="19"/>
      <c r="RK108" s="19"/>
      <c r="RL108" s="19"/>
      <c r="RM108" s="19"/>
      <c r="RN108" s="19"/>
      <c r="RO108" s="19"/>
      <c r="RP108" s="19"/>
      <c r="RQ108" s="19"/>
      <c r="RR108" s="19"/>
      <c r="RS108" s="19"/>
      <c r="RT108" s="19"/>
      <c r="RU108" s="19"/>
      <c r="RV108" s="19"/>
      <c r="RW108" s="19"/>
      <c r="RX108" s="19"/>
      <c r="RY108" s="19"/>
      <c r="RZ108" s="19"/>
      <c r="SA108" s="19"/>
      <c r="SB108" s="19"/>
      <c r="SC108" s="19"/>
      <c r="SD108" s="19"/>
      <c r="SE108" s="19"/>
      <c r="SF108" s="19"/>
      <c r="SG108" s="19"/>
      <c r="SH108" s="19"/>
      <c r="SI108" s="19"/>
      <c r="SJ108" s="19"/>
      <c r="SK108" s="19"/>
      <c r="SL108" s="19"/>
      <c r="SM108" s="19"/>
      <c r="SN108" s="19"/>
      <c r="SO108" s="19"/>
      <c r="SP108" s="19"/>
      <c r="SQ108" s="19"/>
      <c r="SR108" s="19"/>
      <c r="SS108" s="19"/>
      <c r="ST108" s="19"/>
      <c r="SU108" s="19"/>
      <c r="SV108" s="19"/>
      <c r="SW108" s="19"/>
      <c r="SX108" s="19"/>
      <c r="SY108" s="19"/>
      <c r="SZ108" s="19"/>
      <c r="TA108" s="19"/>
      <c r="TB108" s="19"/>
      <c r="TC108" s="19"/>
      <c r="TD108" s="19"/>
      <c r="TE108" s="19"/>
      <c r="TF108" s="19"/>
      <c r="TG108" s="19"/>
      <c r="TH108" s="19"/>
      <c r="TI108" s="19"/>
      <c r="TJ108" s="19"/>
      <c r="TK108" s="19"/>
      <c r="TL108" s="19"/>
      <c r="TM108" s="19"/>
      <c r="TN108" s="19"/>
      <c r="TO108" s="19"/>
      <c r="TP108" s="19"/>
      <c r="TQ108" s="19"/>
      <c r="TR108" s="19"/>
      <c r="TS108" s="19"/>
      <c r="TT108" s="19"/>
      <c r="TU108" s="19"/>
      <c r="TV108" s="19"/>
      <c r="TW108" s="19"/>
      <c r="TX108" s="19"/>
      <c r="TY108" s="19"/>
      <c r="TZ108" s="19"/>
      <c r="UA108" s="19"/>
      <c r="UB108" s="19"/>
      <c r="UC108" s="19"/>
      <c r="UD108" s="19"/>
      <c r="UE108" s="19"/>
      <c r="UF108" s="19"/>
      <c r="UG108" s="19"/>
      <c r="UH108" s="19"/>
      <c r="UI108" s="19"/>
      <c r="UJ108" s="19"/>
      <c r="UK108" s="19"/>
      <c r="UL108" s="19"/>
      <c r="UM108" s="19"/>
      <c r="UN108" s="19"/>
      <c r="UO108" s="19"/>
      <c r="UP108" s="19"/>
      <c r="UQ108" s="19"/>
      <c r="UR108" s="19"/>
      <c r="US108" s="19"/>
      <c r="UT108" s="19"/>
      <c r="UU108" s="19"/>
      <c r="UV108" s="19"/>
      <c r="UW108" s="19"/>
      <c r="UX108" s="19"/>
      <c r="UY108" s="19"/>
      <c r="UZ108" s="19"/>
      <c r="VA108" s="19"/>
      <c r="VB108" s="19"/>
      <c r="VC108" s="19"/>
      <c r="VD108" s="19"/>
      <c r="VE108" s="19"/>
      <c r="VF108" s="19"/>
      <c r="VG108" s="19"/>
      <c r="VH108" s="19"/>
      <c r="VI108" s="19"/>
      <c r="VJ108" s="19"/>
      <c r="VK108" s="19"/>
      <c r="VL108" s="19"/>
      <c r="VM108" s="19"/>
      <c r="VN108" s="19"/>
      <c r="VO108" s="19"/>
      <c r="VP108" s="19"/>
      <c r="VQ108" s="19"/>
      <c r="VR108" s="19"/>
      <c r="VS108" s="19"/>
      <c r="VT108" s="19"/>
      <c r="VU108" s="19"/>
      <c r="VV108" s="19"/>
      <c r="VW108" s="19"/>
      <c r="VX108" s="19"/>
      <c r="VY108" s="19"/>
      <c r="VZ108" s="19"/>
      <c r="WA108" s="19"/>
      <c r="WB108" s="19"/>
      <c r="WC108" s="19"/>
      <c r="WD108" s="19"/>
      <c r="WE108" s="19"/>
      <c r="WF108" s="19"/>
      <c r="WG108" s="19"/>
      <c r="WH108" s="19"/>
      <c r="WI108" s="19"/>
      <c r="WJ108" s="19"/>
      <c r="WK108" s="19"/>
      <c r="WL108" s="19"/>
      <c r="WM108" s="19"/>
      <c r="WN108" s="19"/>
      <c r="WO108" s="19"/>
      <c r="WP108" s="19"/>
      <c r="WQ108" s="19"/>
      <c r="WR108" s="19"/>
      <c r="WS108" s="19"/>
      <c r="WT108" s="19"/>
      <c r="WU108" s="19"/>
      <c r="WV108" s="19"/>
      <c r="WW108" s="19"/>
      <c r="WX108" s="19"/>
      <c r="WY108" s="19"/>
      <c r="WZ108" s="19"/>
      <c r="XA108" s="19"/>
      <c r="XB108" s="19"/>
      <c r="XC108" s="19"/>
      <c r="XD108" s="19"/>
      <c r="XE108" s="19"/>
      <c r="XF108" s="19"/>
      <c r="XG108" s="19"/>
      <c r="XH108" s="19"/>
      <c r="XI108" s="19"/>
      <c r="XJ108" s="19"/>
      <c r="XK108" s="19"/>
      <c r="XL108" s="19"/>
      <c r="XM108" s="19"/>
      <c r="XN108" s="19"/>
      <c r="XO108" s="19"/>
      <c r="XP108" s="19"/>
      <c r="XQ108" s="19"/>
      <c r="XR108" s="19"/>
      <c r="XS108" s="19"/>
      <c r="XT108" s="19"/>
      <c r="XU108" s="19"/>
      <c r="XV108" s="19"/>
      <c r="XW108" s="19"/>
      <c r="XX108" s="19"/>
      <c r="XY108" s="19"/>
      <c r="XZ108" s="19"/>
      <c r="YA108" s="19"/>
      <c r="YB108" s="19"/>
      <c r="YC108" s="19"/>
      <c r="YD108" s="19"/>
      <c r="YE108" s="19"/>
      <c r="YF108" s="19"/>
      <c r="YG108" s="19"/>
      <c r="YH108" s="19"/>
      <c r="YI108" s="19"/>
      <c r="YJ108" s="19"/>
      <c r="YK108" s="19"/>
      <c r="YL108" s="19"/>
      <c r="YM108" s="19"/>
      <c r="YN108" s="19"/>
      <c r="YO108" s="19"/>
      <c r="YP108" s="19"/>
      <c r="YQ108" s="19"/>
      <c r="YR108" s="19"/>
      <c r="YS108" s="19"/>
      <c r="YT108" s="19"/>
      <c r="YU108" s="19"/>
      <c r="YV108" s="19"/>
      <c r="YW108" s="19"/>
      <c r="YX108" s="19"/>
      <c r="YY108" s="19"/>
      <c r="YZ108" s="19"/>
      <c r="ZA108" s="19"/>
      <c r="ZB108" s="19"/>
      <c r="ZC108" s="19"/>
      <c r="ZD108" s="19"/>
      <c r="ZE108" s="19"/>
      <c r="ZF108" s="19"/>
      <c r="ZG108" s="19"/>
      <c r="ZH108" s="19"/>
      <c r="ZI108" s="19"/>
      <c r="ZJ108" s="19"/>
      <c r="ZK108" s="19"/>
      <c r="ZL108" s="19"/>
      <c r="ZM108" s="19"/>
      <c r="ZN108" s="19"/>
      <c r="ZO108" s="19"/>
      <c r="ZP108" s="19"/>
      <c r="ZQ108" s="19"/>
      <c r="ZR108" s="19"/>
      <c r="ZS108" s="19"/>
      <c r="ZT108" s="19"/>
      <c r="ZU108" s="19"/>
      <c r="ZV108" s="19"/>
      <c r="ZW108" s="19"/>
      <c r="ZX108" s="19"/>
      <c r="ZY108" s="19"/>
      <c r="ZZ108" s="19"/>
      <c r="AAA108" s="19"/>
      <c r="AAB108" s="19"/>
      <c r="AAC108" s="19"/>
      <c r="AAD108" s="19"/>
      <c r="AAE108" s="19"/>
      <c r="AAF108" s="19"/>
      <c r="AAG108" s="19"/>
      <c r="AAH108" s="19"/>
      <c r="AAI108" s="19"/>
      <c r="AAJ108" s="19"/>
      <c r="AAK108" s="19"/>
      <c r="AAL108" s="19"/>
      <c r="AAM108" s="19"/>
      <c r="AAN108" s="19"/>
      <c r="AAO108" s="19"/>
      <c r="AAP108" s="19"/>
      <c r="AAQ108" s="19"/>
      <c r="AAR108" s="19"/>
      <c r="AAS108" s="19"/>
      <c r="AAT108" s="19"/>
      <c r="AAU108" s="19"/>
      <c r="AAV108" s="19"/>
      <c r="AAW108" s="19"/>
      <c r="AAX108" s="19"/>
      <c r="AAY108" s="19"/>
      <c r="AAZ108" s="19"/>
      <c r="ABA108" s="19"/>
      <c r="ABB108" s="19"/>
      <c r="ABC108" s="19"/>
      <c r="ABD108" s="19"/>
      <c r="ABE108" s="19"/>
      <c r="ABF108" s="19"/>
      <c r="ABG108" s="19"/>
      <c r="ABH108" s="19"/>
      <c r="ABI108" s="19"/>
      <c r="ABJ108" s="19"/>
      <c r="ABK108" s="19"/>
      <c r="ABL108" s="19"/>
      <c r="ABM108" s="19"/>
      <c r="ABN108" s="19"/>
      <c r="ABO108" s="19"/>
      <c r="ABP108" s="19"/>
      <c r="ABQ108" s="19"/>
      <c r="ABR108" s="19"/>
      <c r="ABS108" s="19"/>
      <c r="ABT108" s="19"/>
      <c r="ABU108" s="19"/>
      <c r="ABV108" s="19"/>
      <c r="ABW108" s="19"/>
      <c r="ABX108" s="19"/>
      <c r="ABY108" s="19"/>
      <c r="ABZ108" s="19"/>
      <c r="ACA108" s="19"/>
      <c r="ACB108" s="19"/>
      <c r="ACC108" s="19"/>
      <c r="ACD108" s="19"/>
      <c r="ACE108" s="19"/>
      <c r="ACF108" s="19"/>
      <c r="ACG108" s="19"/>
      <c r="ACH108" s="19"/>
      <c r="ACI108" s="19"/>
      <c r="ACJ108" s="19"/>
      <c r="ACK108" s="19"/>
      <c r="ACL108" s="19"/>
      <c r="ACM108" s="19"/>
      <c r="ACN108" s="19"/>
      <c r="ACO108" s="19"/>
      <c r="ACP108" s="19"/>
      <c r="ACQ108" s="19"/>
      <c r="ACR108" s="19"/>
      <c r="ACS108" s="19"/>
      <c r="ACT108" s="19"/>
      <c r="ACU108" s="19"/>
      <c r="ACV108" s="19"/>
      <c r="ACW108" s="19"/>
      <c r="ACX108" s="19"/>
      <c r="ACY108" s="19"/>
      <c r="ACZ108" s="19"/>
      <c r="ADA108" s="19"/>
      <c r="ADB108" s="19"/>
      <c r="ADC108" s="19"/>
      <c r="ADD108" s="19"/>
      <c r="ADE108" s="19"/>
      <c r="ADF108" s="19"/>
      <c r="ADG108" s="19"/>
      <c r="ADH108" s="19"/>
      <c r="ADI108" s="19"/>
      <c r="ADJ108" s="19"/>
      <c r="ADK108" s="19"/>
      <c r="ADL108" s="19"/>
      <c r="ADM108" s="19"/>
      <c r="ADN108" s="19"/>
      <c r="ADO108" s="19"/>
      <c r="ADP108" s="19"/>
      <c r="ADQ108" s="19"/>
      <c r="ADR108" s="19"/>
      <c r="ADS108" s="19"/>
      <c r="ADT108" s="19"/>
      <c r="ADU108" s="19"/>
      <c r="ADV108" s="19"/>
      <c r="ADW108" s="19"/>
      <c r="ADX108" s="19"/>
      <c r="ADY108" s="19"/>
      <c r="ADZ108" s="19"/>
      <c r="AEA108" s="19"/>
      <c r="AEB108" s="19"/>
      <c r="AEC108" s="19"/>
      <c r="AED108" s="19"/>
      <c r="AEE108" s="19"/>
      <c r="AEF108" s="19"/>
      <c r="AEG108" s="19"/>
      <c r="AEH108" s="19"/>
      <c r="AEI108" s="19"/>
      <c r="AEJ108" s="19"/>
      <c r="AEK108" s="19"/>
      <c r="AEL108" s="19"/>
      <c r="AEM108" s="19"/>
      <c r="AEN108" s="19"/>
      <c r="AEO108" s="19"/>
      <c r="AEP108" s="19"/>
      <c r="AEQ108" s="19"/>
      <c r="AER108" s="19"/>
      <c r="AES108" s="19"/>
      <c r="AET108" s="19"/>
      <c r="AEU108" s="19"/>
      <c r="AEV108" s="19"/>
      <c r="AEW108" s="19"/>
      <c r="AEX108" s="19"/>
      <c r="AEY108" s="19"/>
      <c r="AEZ108" s="19"/>
      <c r="AFA108" s="19"/>
      <c r="AFB108" s="19"/>
      <c r="AFC108" s="19"/>
      <c r="AFD108" s="19"/>
      <c r="AFE108" s="19"/>
      <c r="AFF108" s="19"/>
      <c r="AFG108" s="19"/>
      <c r="AFH108" s="19"/>
      <c r="AFI108" s="19"/>
      <c r="AFJ108" s="19"/>
      <c r="AFK108" s="19"/>
      <c r="AFL108" s="19"/>
      <c r="AFM108" s="19"/>
      <c r="AFN108" s="19"/>
      <c r="AFO108" s="19"/>
      <c r="AFP108" s="19"/>
      <c r="AFQ108" s="19"/>
      <c r="AFR108" s="19"/>
      <c r="AFS108" s="19"/>
      <c r="AFT108" s="19"/>
      <c r="AFU108" s="19"/>
      <c r="AFV108" s="19"/>
      <c r="AFW108" s="19"/>
      <c r="AFX108" s="19"/>
      <c r="AFY108" s="19"/>
      <c r="AFZ108" s="19"/>
      <c r="AGA108" s="19"/>
      <c r="AGB108" s="19"/>
      <c r="AGC108" s="19"/>
      <c r="AGD108" s="19"/>
      <c r="AGE108" s="19"/>
      <c r="AGF108" s="19"/>
      <c r="AGG108" s="19"/>
      <c r="AGH108" s="19"/>
      <c r="AGI108" s="19"/>
      <c r="AGJ108" s="19"/>
      <c r="AGK108" s="19"/>
      <c r="AGL108" s="19"/>
      <c r="AGM108" s="19"/>
      <c r="AGN108" s="19"/>
      <c r="AGO108" s="19"/>
      <c r="AGP108" s="19"/>
      <c r="AGQ108" s="19"/>
      <c r="AGR108" s="19"/>
      <c r="AGS108" s="19"/>
      <c r="AGT108" s="19"/>
      <c r="AGU108" s="19"/>
      <c r="AGV108" s="19"/>
      <c r="AGW108" s="19"/>
      <c r="AGX108" s="19"/>
      <c r="AGY108" s="19"/>
      <c r="AGZ108" s="19"/>
      <c r="AHA108" s="19"/>
      <c r="AHB108" s="19"/>
      <c r="AHC108" s="19"/>
      <c r="AHD108" s="19"/>
      <c r="AHE108" s="19"/>
      <c r="AHF108" s="19"/>
      <c r="AHG108" s="19"/>
      <c r="AHH108" s="19"/>
      <c r="AHI108" s="19"/>
      <c r="AHJ108" s="19"/>
      <c r="AHK108" s="19"/>
      <c r="AHL108" s="19"/>
      <c r="AHM108" s="19"/>
      <c r="AHN108" s="19"/>
      <c r="AHO108" s="19"/>
      <c r="AHP108" s="19"/>
      <c r="AHQ108" s="19"/>
      <c r="AHR108" s="19"/>
      <c r="AHS108" s="19"/>
      <c r="AHT108" s="19"/>
      <c r="AHU108" s="19"/>
      <c r="AHV108" s="19"/>
      <c r="AHW108" s="19"/>
      <c r="AHX108" s="19"/>
      <c r="AHY108" s="19"/>
      <c r="AHZ108" s="19"/>
      <c r="AIA108" s="19"/>
      <c r="AIB108" s="19"/>
      <c r="AIC108" s="19"/>
      <c r="AID108" s="19"/>
      <c r="AIE108" s="19"/>
      <c r="AIF108" s="19"/>
      <c r="AIG108" s="19"/>
      <c r="AIH108" s="19"/>
      <c r="AII108" s="19"/>
      <c r="AIJ108" s="19"/>
      <c r="AIK108" s="19"/>
      <c r="AIL108" s="19"/>
      <c r="AIM108" s="19"/>
      <c r="AIN108" s="19"/>
      <c r="AIO108" s="19"/>
      <c r="AIP108" s="19"/>
      <c r="AIQ108" s="19"/>
      <c r="AIR108" s="19"/>
      <c r="AIS108" s="19"/>
      <c r="AIT108" s="19"/>
      <c r="AIU108" s="19"/>
      <c r="AIV108" s="19"/>
      <c r="AIW108" s="19"/>
      <c r="AIX108" s="19"/>
      <c r="AIY108" s="19"/>
      <c r="AIZ108" s="19"/>
      <c r="AJA108" s="19"/>
      <c r="AJB108" s="19"/>
      <c r="AJC108" s="19"/>
      <c r="AJD108" s="19"/>
      <c r="AJE108" s="19"/>
      <c r="AJF108" s="19"/>
      <c r="AJG108" s="19"/>
      <c r="AJH108" s="19"/>
      <c r="AJI108" s="19"/>
      <c r="AJJ108" s="19"/>
      <c r="AJK108" s="19"/>
      <c r="AJL108" s="19"/>
      <c r="AJM108" s="19"/>
      <c r="AJN108" s="19"/>
      <c r="AJO108" s="19"/>
      <c r="AJP108" s="19"/>
      <c r="AJQ108" s="19"/>
      <c r="AJR108" s="19"/>
      <c r="AJS108" s="19"/>
      <c r="AJT108" s="19"/>
      <c r="AJU108" s="19"/>
      <c r="AJV108" s="19"/>
      <c r="AJW108" s="19"/>
      <c r="AJX108" s="19"/>
      <c r="AJY108" s="19"/>
      <c r="AJZ108" s="19"/>
      <c r="AKA108" s="19"/>
      <c r="AKB108" s="19"/>
      <c r="AKC108" s="19"/>
      <c r="AKD108" s="19"/>
      <c r="AKE108" s="19"/>
      <c r="AKF108" s="19"/>
      <c r="AKG108" s="19"/>
      <c r="AKH108" s="19"/>
      <c r="AKI108" s="19"/>
      <c r="AKJ108" s="19"/>
      <c r="AKK108" s="19"/>
      <c r="AKL108" s="19"/>
      <c r="AKM108" s="19"/>
      <c r="AKN108" s="19"/>
      <c r="AKO108" s="19"/>
      <c r="AKP108" s="19"/>
      <c r="AKQ108" s="19"/>
      <c r="AKR108" s="19"/>
      <c r="AKS108" s="19"/>
      <c r="AKT108" s="19"/>
      <c r="AKU108" s="19"/>
      <c r="AKV108" s="19"/>
      <c r="AKW108" s="19"/>
      <c r="AKX108" s="19"/>
      <c r="AKY108" s="19"/>
      <c r="AKZ108" s="19"/>
      <c r="ALA108" s="19"/>
      <c r="ALB108" s="19"/>
      <c r="ALC108" s="19"/>
      <c r="ALD108" s="19"/>
      <c r="ALE108" s="19"/>
      <c r="ALF108" s="19"/>
      <c r="ALG108" s="19"/>
      <c r="ALH108" s="19"/>
      <c r="ALI108" s="19"/>
      <c r="ALJ108" s="19"/>
      <c r="ALK108" s="19"/>
      <c r="ALL108" s="19"/>
      <c r="ALM108" s="19"/>
      <c r="ALN108" s="19"/>
      <c r="ALO108" s="19"/>
      <c r="ALP108" s="19"/>
      <c r="ALQ108" s="19"/>
      <c r="ALR108" s="19"/>
      <c r="ALS108" s="19"/>
      <c r="ALT108" s="19"/>
      <c r="ALU108" s="19"/>
      <c r="ALV108" s="19"/>
      <c r="ALW108" s="19"/>
      <c r="ALX108" s="19"/>
      <c r="ALY108" s="19"/>
      <c r="ALZ108" s="19"/>
      <c r="AMA108" s="19"/>
      <c r="AMB108" s="19"/>
      <c r="AMC108" s="19"/>
      <c r="AMD108" s="19"/>
      <c r="AME108" s="19"/>
      <c r="AMF108" s="19"/>
      <c r="AMG108" s="19"/>
      <c r="AMH108" s="19"/>
      <c r="AMI108" s="19"/>
      <c r="AMJ108" s="19"/>
      <c r="AMK108" s="19"/>
      <c r="AML108" s="19"/>
      <c r="AMM108" s="19"/>
      <c r="AMN108" s="19"/>
      <c r="AMO108" s="19"/>
      <c r="AMP108" s="19"/>
      <c r="AMQ108" s="19"/>
      <c r="AMR108" s="19"/>
      <c r="AMS108" s="19"/>
      <c r="AMT108" s="19"/>
      <c r="AMU108" s="19"/>
      <c r="AMV108" s="19"/>
      <c r="AMW108" s="19"/>
      <c r="AMX108" s="19"/>
      <c r="AMY108" s="19"/>
      <c r="AMZ108" s="19"/>
      <c r="ANA108" s="19"/>
      <c r="ANB108" s="19"/>
      <c r="ANC108" s="19"/>
      <c r="AND108" s="19"/>
      <c r="ANE108" s="19"/>
      <c r="ANF108" s="19"/>
      <c r="ANG108" s="19"/>
      <c r="ANH108" s="19"/>
      <c r="ANI108" s="19"/>
      <c r="ANJ108" s="19"/>
      <c r="ANK108" s="19"/>
      <c r="ANL108" s="19"/>
      <c r="ANM108" s="19"/>
      <c r="ANN108" s="19"/>
      <c r="ANO108" s="19"/>
      <c r="ANP108" s="19"/>
      <c r="ANQ108" s="639"/>
      <c r="ANR108" s="639"/>
      <c r="ANS108" s="19"/>
      <c r="ANT108" s="19"/>
      <c r="ANU108" s="19"/>
      <c r="ANV108" s="19"/>
      <c r="ANW108" s="19"/>
      <c r="ANX108" s="19"/>
      <c r="ANY108" s="19"/>
      <c r="ANZ108" s="19"/>
      <c r="AOA108" s="19"/>
      <c r="AOB108" s="19"/>
      <c r="AOC108" s="19"/>
      <c r="AOD108" s="19"/>
      <c r="AOE108" s="19"/>
      <c r="AOF108" s="19"/>
      <c r="AOG108" s="19"/>
      <c r="AOH108" s="19"/>
      <c r="AOI108" s="19"/>
      <c r="AOJ108" s="19"/>
      <c r="AOK108" s="19"/>
      <c r="AOL108" s="19"/>
      <c r="AOM108" s="19"/>
      <c r="AON108" s="19"/>
      <c r="AOO108" s="19"/>
      <c r="AOP108" s="19"/>
      <c r="AOQ108" s="19"/>
      <c r="AOR108" s="19"/>
      <c r="AOS108" s="19"/>
      <c r="AOT108" s="19"/>
      <c r="AOU108" s="19"/>
      <c r="AOV108" s="19"/>
      <c r="AOW108" s="19"/>
      <c r="AOX108" s="19"/>
      <c r="AOY108" s="19"/>
      <c r="AOZ108" s="19"/>
      <c r="APA108" s="19"/>
      <c r="APB108" s="19"/>
      <c r="APC108" s="19"/>
      <c r="APD108" s="19"/>
      <c r="APE108" s="19"/>
      <c r="APF108" s="19"/>
      <c r="APG108" s="19"/>
      <c r="APH108" s="19"/>
      <c r="API108" s="19"/>
      <c r="APJ108" s="19"/>
      <c r="APK108" s="19"/>
      <c r="APL108" s="19"/>
      <c r="APM108" s="19"/>
      <c r="APN108" s="19"/>
      <c r="APO108" s="19"/>
      <c r="APP108" s="19"/>
      <c r="APQ108" s="19"/>
      <c r="APR108" s="19"/>
      <c r="APS108" s="19"/>
      <c r="APT108" s="19"/>
      <c r="APU108" s="19"/>
      <c r="APV108" s="19"/>
      <c r="APW108" s="19"/>
      <c r="APX108" s="19"/>
      <c r="APY108" s="19"/>
      <c r="APZ108" s="19"/>
      <c r="AQA108" s="19"/>
      <c r="AQB108" s="19"/>
      <c r="AQC108" s="19"/>
      <c r="AQD108" s="19"/>
      <c r="AQE108" s="19"/>
      <c r="AQF108" s="19"/>
      <c r="AQG108" s="19"/>
      <c r="AQH108" s="19"/>
      <c r="AQI108" s="19"/>
      <c r="AQJ108" s="19"/>
      <c r="AQK108" s="19"/>
      <c r="AQL108" s="19"/>
      <c r="AQM108" s="19"/>
      <c r="AQN108" s="19"/>
      <c r="AQO108" s="19"/>
      <c r="AQP108" s="19"/>
      <c r="AQQ108" s="19"/>
      <c r="AQR108" s="19"/>
      <c r="AQS108" s="19"/>
      <c r="AQT108" s="19"/>
      <c r="AQU108" s="19"/>
      <c r="AQV108" s="19"/>
      <c r="AQW108" s="19"/>
      <c r="AQX108" s="19"/>
      <c r="AQY108" s="19"/>
      <c r="AQZ108" s="19"/>
      <c r="ARA108" s="19"/>
      <c r="ARB108" s="19"/>
      <c r="ARC108" s="19"/>
      <c r="ARD108" s="19"/>
      <c r="ARE108" s="19"/>
      <c r="ARF108" s="19"/>
      <c r="ARG108" s="19"/>
      <c r="ARH108" s="19"/>
      <c r="ARI108" s="19"/>
      <c r="ARJ108" s="19"/>
      <c r="ARK108" s="19"/>
      <c r="ARL108" s="19"/>
      <c r="ARM108" s="19"/>
      <c r="ARN108" s="19"/>
      <c r="ARO108" s="19"/>
      <c r="ARP108" s="19"/>
      <c r="ARQ108" s="19"/>
      <c r="ARR108" s="19"/>
      <c r="ARS108" s="19"/>
      <c r="ART108" s="19"/>
      <c r="ARU108" s="19"/>
      <c r="ARV108" s="19"/>
      <c r="ARW108" s="19"/>
      <c r="ARX108" s="19"/>
      <c r="ARY108" s="19"/>
      <c r="ARZ108" s="19"/>
      <c r="ASA108" s="19"/>
      <c r="ASB108" s="19"/>
      <c r="ASC108" s="19"/>
      <c r="ASD108" s="19"/>
      <c r="ASE108" s="19"/>
      <c r="ASF108" s="19"/>
      <c r="ASG108" s="19"/>
      <c r="ASH108" s="19"/>
      <c r="ASI108" s="19"/>
      <c r="ASJ108" s="19"/>
      <c r="ASK108" s="19"/>
      <c r="ASL108" s="19"/>
      <c r="ASM108" s="19"/>
      <c r="ASN108" s="19"/>
      <c r="ASO108" s="19"/>
      <c r="ASP108" s="19"/>
      <c r="ASQ108" s="19"/>
      <c r="ASR108" s="19"/>
      <c r="ASS108" s="19"/>
      <c r="AST108" s="19"/>
      <c r="ASU108" s="19"/>
      <c r="ASV108" s="19"/>
      <c r="ASW108" s="19"/>
      <c r="ASX108" s="19"/>
      <c r="ASY108" s="19"/>
      <c r="ASZ108" s="19"/>
      <c r="ATA108" s="19"/>
      <c r="ATB108" s="19"/>
      <c r="ATC108" s="19"/>
      <c r="ATD108" s="19"/>
      <c r="ATE108" s="19"/>
      <c r="ATF108" s="19"/>
      <c r="ATG108" s="19"/>
      <c r="ATH108" s="19"/>
      <c r="ATI108" s="19"/>
      <c r="ATJ108" s="19"/>
      <c r="ATK108" s="19"/>
      <c r="ATL108" s="19"/>
      <c r="ATM108" s="19"/>
      <c r="ATN108" s="19"/>
      <c r="ATO108" s="19"/>
      <c r="ATP108" s="19"/>
      <c r="ATQ108" s="19"/>
      <c r="ATR108" s="19"/>
      <c r="ATS108" s="19"/>
      <c r="ATT108" s="19"/>
      <c r="ATU108" s="19"/>
      <c r="ATV108" s="19"/>
      <c r="ATW108" s="19"/>
      <c r="ATX108" s="19"/>
      <c r="ATY108" s="19"/>
      <c r="ATZ108" s="19"/>
      <c r="AUA108" s="19"/>
      <c r="AUB108" s="19"/>
      <c r="AUC108" s="19"/>
      <c r="AUD108" s="19"/>
      <c r="AUE108" s="19"/>
      <c r="AUF108" s="19"/>
      <c r="AUG108" s="19"/>
      <c r="AUH108" s="19"/>
      <c r="AUI108" s="19"/>
      <c r="AUJ108" s="19"/>
      <c r="AUK108" s="19"/>
      <c r="AUL108" s="19"/>
      <c r="AUM108" s="19"/>
      <c r="AUN108" s="19"/>
      <c r="AUO108" s="19"/>
      <c r="AUP108" s="19"/>
      <c r="AUQ108" s="19"/>
      <c r="AUR108" s="19"/>
      <c r="AUS108" s="19"/>
      <c r="AUT108" s="19"/>
      <c r="AUU108" s="19"/>
      <c r="AUV108" s="19"/>
      <c r="AUW108" s="19"/>
      <c r="AUX108" s="19"/>
      <c r="AUY108" s="19"/>
      <c r="AUZ108" s="19"/>
      <c r="AVA108" s="19"/>
      <c r="AVB108" s="19"/>
      <c r="AVC108" s="19"/>
      <c r="AVD108" s="19"/>
      <c r="AVE108" s="19"/>
      <c r="AVF108" s="19"/>
      <c r="AVG108" s="19"/>
      <c r="AVH108" s="19"/>
      <c r="AVI108" s="19"/>
      <c r="AVJ108" s="19"/>
      <c r="AVK108" s="19"/>
      <c r="AVL108" s="19"/>
      <c r="AVM108" s="19"/>
      <c r="AVN108" s="19"/>
      <c r="AVO108" s="19"/>
      <c r="AVP108" s="19"/>
      <c r="AVQ108" s="19"/>
      <c r="AVR108" s="19"/>
      <c r="AVS108" s="19"/>
      <c r="AVT108" s="19"/>
      <c r="AVU108" s="19"/>
      <c r="AVV108" s="19"/>
      <c r="AVW108" s="19"/>
      <c r="AVX108" s="19"/>
      <c r="AVY108" s="19"/>
      <c r="AVZ108" s="19"/>
      <c r="AWA108" s="19"/>
      <c r="AWB108" s="19"/>
      <c r="AWC108" s="19"/>
      <c r="AWD108" s="19"/>
      <c r="AWE108" s="19"/>
      <c r="AWF108" s="19"/>
      <c r="AWG108" s="19"/>
      <c r="AWH108" s="19"/>
      <c r="AWI108" s="19"/>
      <c r="AWJ108" s="19"/>
      <c r="AWK108" s="19"/>
      <c r="AWL108" s="19"/>
      <c r="AWM108" s="19"/>
      <c r="AWN108" s="19"/>
      <c r="AWO108" s="19"/>
      <c r="AWP108" s="19"/>
      <c r="AWQ108" s="19"/>
      <c r="AWR108" s="19"/>
      <c r="AWS108" s="19"/>
      <c r="AWT108" s="19"/>
      <c r="AWU108" s="19"/>
      <c r="AWV108" s="19"/>
      <c r="AWW108" s="19"/>
      <c r="AWX108" s="19"/>
      <c r="AWY108" s="19"/>
      <c r="AWZ108" s="19"/>
      <c r="AXA108" s="19"/>
      <c r="AXB108" s="19"/>
      <c r="AXC108" s="19"/>
      <c r="AXD108" s="19"/>
      <c r="AXE108" s="19"/>
      <c r="AXF108" s="19"/>
      <c r="AXG108" s="19"/>
      <c r="AXH108" s="19"/>
      <c r="AXI108" s="19"/>
      <c r="AXJ108" s="19"/>
      <c r="AXK108" s="19"/>
      <c r="AXL108" s="19"/>
      <c r="AXM108" s="19"/>
      <c r="AXN108" s="19"/>
      <c r="AXO108" s="19"/>
      <c r="AXP108" s="19"/>
      <c r="AXQ108" s="19"/>
      <c r="AXR108" s="19"/>
      <c r="AXS108" s="19"/>
      <c r="AXT108" s="19"/>
      <c r="AXU108" s="19"/>
      <c r="AXV108" s="19"/>
      <c r="AXW108" s="19"/>
      <c r="AXX108" s="19"/>
      <c r="AXY108" s="19"/>
      <c r="AXZ108" s="19"/>
      <c r="AYA108" s="19"/>
      <c r="AYB108" s="19"/>
      <c r="AYC108" s="19"/>
      <c r="AYD108" s="19"/>
      <c r="AYE108" s="19"/>
      <c r="AYF108" s="19"/>
      <c r="AYG108" s="19"/>
      <c r="AYH108" s="19"/>
      <c r="AYI108" s="19"/>
      <c r="AYJ108" s="19"/>
      <c r="AYK108" s="19"/>
      <c r="AYL108" s="19"/>
      <c r="AYM108" s="19"/>
      <c r="AYN108" s="19"/>
      <c r="AYO108" s="19"/>
      <c r="AYP108" s="19"/>
      <c r="AYQ108" s="19"/>
      <c r="AYR108" s="19"/>
      <c r="AYS108" s="19"/>
      <c r="AYT108" s="19"/>
      <c r="AYU108" s="19"/>
      <c r="AYV108" s="19"/>
      <c r="AYW108" s="19"/>
      <c r="AYX108" s="19"/>
      <c r="AYY108" s="19"/>
      <c r="AYZ108" s="19"/>
      <c r="AZA108" s="19"/>
      <c r="AZB108" s="19"/>
      <c r="AZC108" s="19"/>
      <c r="AZD108" s="19"/>
      <c r="AZE108" s="19"/>
      <c r="AZF108" s="19"/>
      <c r="AZG108" s="19"/>
      <c r="AZH108" s="19"/>
      <c r="AZI108" s="19"/>
      <c r="AZJ108" s="19"/>
      <c r="AZK108" s="19"/>
      <c r="AZL108" s="19"/>
      <c r="AZM108" s="19"/>
      <c r="AZN108" s="19"/>
      <c r="AZO108" s="19"/>
      <c r="AZP108" s="19"/>
      <c r="AZQ108" s="19"/>
      <c r="AZR108" s="19"/>
      <c r="AZS108" s="19"/>
      <c r="AZT108" s="19"/>
      <c r="AZU108" s="19"/>
      <c r="AZV108" s="19"/>
      <c r="AZW108" s="19"/>
      <c r="AZX108" s="19"/>
      <c r="AZY108" s="19"/>
      <c r="AZZ108" s="19"/>
      <c r="BAA108" s="19"/>
      <c r="BAB108" s="19"/>
      <c r="BAC108" s="19"/>
      <c r="BAD108" s="19"/>
      <c r="BAE108" s="19"/>
      <c r="BAF108" s="19"/>
      <c r="BAG108" s="19"/>
      <c r="BAH108" s="19"/>
      <c r="BAI108" s="19"/>
      <c r="BAJ108" s="19"/>
      <c r="BAK108" s="19"/>
      <c r="BAL108" s="19"/>
      <c r="BAM108" s="19"/>
      <c r="BAN108" s="19"/>
      <c r="BAO108" s="19"/>
      <c r="BAP108" s="19"/>
      <c r="BAQ108" s="19"/>
      <c r="BAR108" s="19"/>
      <c r="BAS108" s="19"/>
      <c r="BAT108" s="19"/>
      <c r="BAU108" s="19"/>
      <c r="BAV108" s="19"/>
      <c r="BAW108" s="19"/>
      <c r="BAX108" s="19"/>
      <c r="BAY108" s="19"/>
      <c r="BAZ108" s="19"/>
      <c r="BBA108" s="19"/>
      <c r="BBB108" s="19"/>
      <c r="BBC108" s="19"/>
      <c r="BBD108" s="19"/>
      <c r="BBE108" s="19"/>
      <c r="BBF108" s="19"/>
      <c r="BBG108" s="19"/>
      <c r="BBH108" s="19"/>
      <c r="BBI108" s="19"/>
      <c r="BBJ108" s="19"/>
      <c r="BBK108" s="19"/>
      <c r="BBL108" s="19"/>
      <c r="BBM108" s="19"/>
      <c r="BBN108" s="19"/>
      <c r="BBO108" s="19"/>
      <c r="BBP108" s="19"/>
      <c r="BBQ108" s="19"/>
      <c r="BBR108" s="19"/>
      <c r="BBS108" s="19"/>
      <c r="BBT108" s="19"/>
      <c r="BBU108" s="19"/>
      <c r="BBV108" s="19"/>
      <c r="BBW108" s="19"/>
      <c r="BBX108" s="19"/>
      <c r="BBY108" s="19"/>
      <c r="BBZ108" s="19"/>
      <c r="BCA108" s="19"/>
      <c r="BCB108" s="19"/>
      <c r="BCC108" s="19"/>
      <c r="BCD108" s="19"/>
      <c r="BCE108" s="19"/>
      <c r="BCF108" s="19"/>
      <c r="BCG108" s="19"/>
      <c r="BCH108" s="19"/>
      <c r="BCI108" s="19"/>
      <c r="BCJ108" s="19"/>
      <c r="BCK108" s="19"/>
      <c r="BCL108" s="19"/>
      <c r="BCM108" s="19"/>
      <c r="BCN108" s="19"/>
      <c r="BCO108" s="19"/>
      <c r="BCP108" s="19"/>
      <c r="BCQ108" s="19"/>
      <c r="BCR108" s="19"/>
      <c r="BCS108" s="19"/>
      <c r="BCT108" s="19"/>
      <c r="BCU108" s="19"/>
      <c r="BCV108" s="19"/>
      <c r="BCW108" s="19"/>
      <c r="BCX108" s="19"/>
      <c r="BCY108" s="19"/>
      <c r="BCZ108" s="19"/>
      <c r="BDA108" s="19"/>
      <c r="BDB108" s="19"/>
      <c r="BDC108" s="19"/>
      <c r="BDD108" s="19"/>
      <c r="BDE108" s="19"/>
      <c r="BDF108" s="19"/>
      <c r="BDG108" s="19"/>
      <c r="BDH108" s="19"/>
      <c r="BDI108" s="19"/>
      <c r="BDJ108" s="19"/>
      <c r="BDK108" s="19"/>
      <c r="BDL108" s="19"/>
      <c r="BDM108" s="19"/>
      <c r="BDN108" s="19"/>
      <c r="BDO108" s="19"/>
      <c r="BDP108" s="19"/>
      <c r="BDQ108" s="19"/>
      <c r="BDR108" s="19"/>
      <c r="BDS108" s="19"/>
      <c r="BDT108" s="19"/>
      <c r="BDU108" s="19"/>
      <c r="BDV108" s="19"/>
      <c r="BDW108" s="19"/>
      <c r="BDX108" s="19"/>
      <c r="BDY108" s="19"/>
      <c r="BDZ108" s="19"/>
      <c r="BEA108" s="19"/>
      <c r="BEB108" s="19"/>
      <c r="BEC108" s="19"/>
      <c r="BED108" s="19"/>
      <c r="BEE108" s="19"/>
      <c r="BEF108" s="19"/>
      <c r="BEG108" s="19"/>
      <c r="BEH108" s="19"/>
      <c r="BEI108" s="19"/>
      <c r="BEJ108" s="19"/>
      <c r="BEK108" s="19"/>
      <c r="BEL108" s="19"/>
      <c r="BEM108" s="19"/>
      <c r="BEN108" s="19"/>
      <c r="BEO108" s="19"/>
      <c r="BEP108" s="19"/>
      <c r="BEQ108" s="19"/>
      <c r="BER108" s="19"/>
      <c r="BES108" s="19"/>
      <c r="BET108" s="19"/>
      <c r="BEU108" s="19"/>
      <c r="BEV108" s="19"/>
      <c r="BEW108" s="19"/>
      <c r="BEX108" s="19"/>
      <c r="BEY108" s="19"/>
      <c r="BEZ108" s="19"/>
      <c r="BFA108" s="19"/>
      <c r="BFB108" s="19"/>
      <c r="BFC108" s="19"/>
      <c r="BFD108" s="19"/>
      <c r="BFE108" s="19"/>
      <c r="BFF108" s="19"/>
      <c r="BFG108" s="19"/>
      <c r="BFH108" s="19"/>
      <c r="BFI108" s="19"/>
      <c r="BFJ108" s="19"/>
      <c r="BFK108" s="19"/>
      <c r="BFL108" s="19"/>
      <c r="BFM108" s="19"/>
      <c r="BFN108" s="19"/>
      <c r="BFO108" s="19"/>
      <c r="BFP108" s="19"/>
      <c r="BFQ108" s="19"/>
      <c r="BFR108" s="19"/>
      <c r="BFS108" s="19"/>
      <c r="BFT108" s="19"/>
      <c r="BFU108" s="19"/>
      <c r="BFV108" s="19"/>
      <c r="BFW108" s="19"/>
      <c r="BFX108" s="19"/>
      <c r="BFY108" s="19"/>
      <c r="BFZ108" s="19"/>
      <c r="BGA108" s="19"/>
      <c r="BGB108" s="19"/>
      <c r="BGC108" s="19"/>
      <c r="BGD108" s="19"/>
      <c r="BGE108" s="19"/>
      <c r="BGF108" s="19"/>
      <c r="BGG108" s="19"/>
      <c r="BGH108" s="19"/>
      <c r="BGI108" s="19"/>
      <c r="BGJ108" s="19"/>
      <c r="BGK108" s="19"/>
      <c r="BGL108" s="19"/>
      <c r="BGM108" s="19"/>
      <c r="BGN108" s="19"/>
      <c r="BGO108" s="19"/>
      <c r="BGP108" s="19"/>
      <c r="BGQ108" s="19"/>
      <c r="BGR108" s="19"/>
      <c r="BGS108" s="19"/>
      <c r="BGT108" s="19"/>
      <c r="BGU108" s="19"/>
      <c r="BGV108" s="19"/>
      <c r="BGW108" s="19"/>
      <c r="BGX108" s="19"/>
      <c r="BGY108" s="19"/>
      <c r="BGZ108" s="19"/>
      <c r="BHA108" s="19"/>
      <c r="BHB108" s="19"/>
      <c r="BHC108" s="19"/>
      <c r="BHD108" s="19"/>
      <c r="BHE108" s="19"/>
      <c r="BHF108" s="19"/>
      <c r="BHG108" s="19"/>
      <c r="BHH108" s="19"/>
      <c r="BHI108" s="19"/>
      <c r="BHJ108" s="19"/>
      <c r="BHK108" s="19"/>
      <c r="BHL108" s="19"/>
      <c r="BHM108" s="19"/>
      <c r="BHN108" s="19"/>
      <c r="BHO108" s="19"/>
      <c r="BHP108" s="19"/>
      <c r="BHQ108" s="19"/>
      <c r="BHR108" s="19"/>
      <c r="BHS108" s="19"/>
      <c r="BHT108" s="19"/>
      <c r="BHU108" s="19"/>
      <c r="BHV108" s="19"/>
      <c r="BHW108" s="19"/>
      <c r="BHX108" s="19"/>
      <c r="BHY108" s="19"/>
      <c r="BHZ108" s="19"/>
      <c r="BIA108" s="19"/>
      <c r="BIB108" s="19"/>
      <c r="BIC108" s="19"/>
      <c r="BID108" s="19"/>
      <c r="BIE108" s="19"/>
      <c r="BIF108" s="19"/>
      <c r="BIG108" s="19"/>
      <c r="BIH108" s="19"/>
      <c r="BII108" s="19"/>
      <c r="BIJ108" s="19"/>
      <c r="BIK108" s="19"/>
      <c r="BIL108" s="19"/>
      <c r="BIM108" s="19"/>
      <c r="BIN108" s="19"/>
      <c r="BIO108" s="19"/>
      <c r="BIP108" s="19"/>
      <c r="BIQ108" s="19"/>
      <c r="BIR108" s="19"/>
      <c r="BIS108" s="19"/>
      <c r="BIT108" s="19"/>
      <c r="BIU108" s="19"/>
      <c r="BIV108" s="19"/>
      <c r="BIW108" s="19"/>
      <c r="BIX108" s="19"/>
      <c r="BIY108" s="19"/>
      <c r="BIZ108" s="19"/>
      <c r="BJA108" s="19"/>
      <c r="BJB108" s="19"/>
      <c r="BJC108" s="19"/>
      <c r="BJD108" s="19"/>
      <c r="BJE108" s="19"/>
      <c r="BJF108" s="19"/>
      <c r="BJG108" s="19"/>
      <c r="BJH108" s="19"/>
      <c r="BJI108" s="19"/>
      <c r="BJJ108" s="19"/>
      <c r="BJK108" s="19"/>
      <c r="BJL108" s="19"/>
      <c r="BJM108" s="19"/>
      <c r="BJN108" s="19"/>
      <c r="BJO108" s="19"/>
      <c r="BJP108" s="19"/>
      <c r="BJQ108" s="19"/>
      <c r="BJR108" s="19"/>
      <c r="BJS108" s="19"/>
      <c r="BJT108" s="19"/>
      <c r="BJU108" s="19"/>
      <c r="BJV108" s="19"/>
      <c r="BJW108" s="19"/>
      <c r="BJX108" s="19"/>
      <c r="BJY108" s="19"/>
      <c r="BJZ108" s="19"/>
      <c r="BKA108" s="19"/>
      <c r="BKB108" s="19"/>
      <c r="BKC108" s="19"/>
      <c r="BKD108" s="19"/>
      <c r="BKE108" s="19"/>
      <c r="BKF108" s="19"/>
      <c r="BKG108" s="19"/>
      <c r="BKH108" s="19"/>
      <c r="BKI108" s="19"/>
      <c r="BKJ108" s="19"/>
      <c r="BKK108" s="19"/>
      <c r="BKL108" s="19"/>
      <c r="BKM108" s="19"/>
      <c r="BKN108" s="19"/>
      <c r="BKO108" s="19"/>
      <c r="BKP108" s="19"/>
      <c r="BKQ108" s="19"/>
      <c r="BKR108" s="19"/>
      <c r="BKS108" s="19"/>
      <c r="BKT108" s="19"/>
      <c r="BKU108" s="19"/>
      <c r="BKV108" s="19"/>
      <c r="BKW108" s="19"/>
      <c r="BKX108" s="19"/>
      <c r="BKY108" s="19"/>
      <c r="BKZ108" s="19"/>
      <c r="BLA108" s="19"/>
      <c r="BLB108" s="19"/>
      <c r="BLC108" s="19"/>
      <c r="BLD108" s="19"/>
      <c r="BLE108" s="19"/>
      <c r="BLF108" s="19"/>
      <c r="BLG108" s="19"/>
      <c r="BLH108" s="19"/>
      <c r="BLI108" s="19"/>
      <c r="BLJ108" s="19"/>
      <c r="BLK108" s="19"/>
      <c r="BLL108" s="19"/>
      <c r="BLM108" s="19"/>
      <c r="BLN108" s="19"/>
      <c r="BLO108" s="19"/>
      <c r="BLP108" s="19"/>
      <c r="BLQ108" s="19"/>
      <c r="BLR108" s="19"/>
      <c r="BLS108" s="19"/>
      <c r="BLT108" s="19"/>
      <c r="BLU108" s="19"/>
      <c r="BLV108" s="19"/>
      <c r="BLW108" s="19"/>
      <c r="BLX108" s="19"/>
      <c r="BLY108" s="19"/>
      <c r="BLZ108" s="19"/>
      <c r="BMA108" s="19"/>
      <c r="BMB108" s="19"/>
      <c r="BMC108" s="19"/>
      <c r="BMD108" s="19"/>
      <c r="BME108" s="19"/>
      <c r="BMF108" s="19"/>
      <c r="BMG108" s="19"/>
      <c r="BMH108" s="19"/>
      <c r="BMI108" s="19"/>
      <c r="BMJ108" s="19"/>
      <c r="BMK108" s="19"/>
      <c r="BML108" s="19"/>
      <c r="BMM108" s="19"/>
      <c r="BMN108" s="19"/>
      <c r="BMO108" s="19"/>
      <c r="BMP108" s="19"/>
      <c r="BMQ108" s="19"/>
      <c r="BMR108" s="19"/>
      <c r="BMS108" s="19"/>
      <c r="BMT108" s="19"/>
      <c r="BMU108" s="19"/>
      <c r="BMV108" s="19"/>
      <c r="BMW108" s="19"/>
      <c r="BMX108" s="19"/>
      <c r="BMY108" s="19"/>
      <c r="BMZ108" s="19"/>
      <c r="BNA108" s="19"/>
      <c r="BNB108" s="19"/>
      <c r="BNC108" s="19"/>
      <c r="BND108" s="19"/>
      <c r="BNE108" s="19"/>
      <c r="BNF108" s="19"/>
      <c r="BNG108" s="19"/>
      <c r="BNH108" s="19"/>
      <c r="BNI108" s="19"/>
      <c r="BNJ108" s="19"/>
      <c r="BNK108" s="19"/>
      <c r="BNL108" s="19"/>
      <c r="BNM108" s="19"/>
      <c r="BNN108" s="19"/>
      <c r="BNO108" s="19"/>
      <c r="BNP108" s="19"/>
      <c r="BNQ108" s="19"/>
      <c r="BNR108" s="19"/>
      <c r="BNS108" s="19"/>
      <c r="BNT108" s="19"/>
      <c r="BNU108" s="19"/>
      <c r="BNV108" s="19"/>
      <c r="BNW108" s="19"/>
      <c r="BNX108" s="19"/>
      <c r="BNY108" s="19"/>
      <c r="BNZ108" s="19"/>
      <c r="BOA108" s="19"/>
      <c r="BOB108" s="19"/>
      <c r="BOC108" s="19"/>
      <c r="BOD108" s="19"/>
      <c r="BOE108" s="19"/>
      <c r="BOF108" s="19"/>
      <c r="BOG108" s="19"/>
      <c r="BOH108" s="19"/>
      <c r="BOI108" s="19"/>
      <c r="BOJ108" s="19"/>
      <c r="BOK108" s="19"/>
      <c r="BOL108" s="19"/>
      <c r="BOM108" s="19"/>
      <c r="BON108" s="19"/>
      <c r="BOO108" s="19"/>
      <c r="BOP108" s="19"/>
      <c r="BOQ108" s="19"/>
      <c r="BOR108" s="19"/>
      <c r="BOS108" s="19"/>
      <c r="BOT108" s="19"/>
      <c r="BOU108" s="19"/>
      <c r="BOV108" s="19"/>
      <c r="BOW108" s="19"/>
      <c r="BOX108" s="19"/>
      <c r="BOY108" s="19"/>
      <c r="BOZ108" s="19"/>
      <c r="BPA108" s="19"/>
      <c r="BPB108" s="19"/>
      <c r="BPC108" s="19"/>
      <c r="BPD108" s="19"/>
      <c r="BPE108" s="19"/>
      <c r="BPF108" s="19"/>
      <c r="BPG108" s="19"/>
      <c r="BPH108" s="19"/>
      <c r="BPI108" s="19"/>
      <c r="BPJ108" s="19"/>
      <c r="BPK108" s="19"/>
      <c r="BPL108" s="19"/>
      <c r="BPM108" s="19"/>
      <c r="BPN108" s="19"/>
      <c r="BPO108" s="19"/>
      <c r="BPP108" s="19"/>
      <c r="BPQ108" s="19"/>
      <c r="BPR108" s="19"/>
      <c r="BPS108" s="19"/>
      <c r="BPT108" s="19"/>
      <c r="BPU108" s="19"/>
      <c r="BPV108" s="19"/>
      <c r="BPW108" s="19"/>
      <c r="BPX108" s="19"/>
      <c r="BPY108" s="19"/>
      <c r="BPZ108" s="19"/>
      <c r="BQA108" s="19"/>
      <c r="BQB108" s="19"/>
      <c r="BQC108" s="19"/>
      <c r="BQD108" s="19"/>
      <c r="BQE108" s="19"/>
      <c r="BQF108" s="19"/>
      <c r="BQG108" s="19"/>
      <c r="BQH108" s="19"/>
      <c r="BQI108" s="19"/>
      <c r="BQJ108" s="19"/>
      <c r="BQK108" s="19"/>
      <c r="BQL108" s="19"/>
      <c r="BQM108" s="19"/>
      <c r="BQN108" s="19"/>
      <c r="BQO108" s="19"/>
      <c r="BQP108" s="19"/>
      <c r="BQQ108" s="19"/>
      <c r="BQR108" s="19"/>
      <c r="BQS108" s="19"/>
      <c r="BQT108" s="19"/>
      <c r="BQU108" s="19"/>
      <c r="BQV108" s="19"/>
      <c r="BQW108" s="19"/>
      <c r="BQX108" s="19"/>
      <c r="BQY108" s="19"/>
      <c r="BQZ108" s="19"/>
      <c r="BRA108" s="19"/>
      <c r="BRB108" s="19"/>
      <c r="BRC108" s="19"/>
      <c r="BRD108" s="19"/>
      <c r="BRE108" s="19"/>
      <c r="BRF108" s="19"/>
      <c r="BRG108" s="19"/>
      <c r="BRH108" s="19"/>
      <c r="BRI108" s="19"/>
      <c r="BRJ108" s="19"/>
      <c r="BRK108" s="19"/>
      <c r="BRL108" s="19"/>
      <c r="BRM108" s="19"/>
      <c r="BRN108" s="19"/>
      <c r="BRO108" s="19"/>
      <c r="BRP108" s="19"/>
      <c r="BRQ108" s="19"/>
      <c r="BRR108" s="19"/>
      <c r="BRS108" s="19"/>
      <c r="BRT108" s="19"/>
      <c r="BRU108" s="19"/>
      <c r="BRV108" s="19"/>
      <c r="BRW108" s="19"/>
      <c r="BRX108" s="19"/>
      <c r="BRY108" s="19"/>
      <c r="BRZ108" s="19"/>
      <c r="BSA108" s="19"/>
      <c r="BSB108" s="19"/>
      <c r="BSC108" s="19"/>
      <c r="BSD108" s="19"/>
      <c r="BSE108" s="19"/>
      <c r="BSF108" s="19"/>
      <c r="BSG108" s="19"/>
      <c r="BSH108" s="19"/>
      <c r="BSI108" s="19"/>
      <c r="BSJ108" s="19"/>
      <c r="BSK108" s="19"/>
      <c r="BSL108" s="19"/>
      <c r="BSM108" s="19"/>
      <c r="BSN108" s="19"/>
      <c r="BSO108" s="19"/>
      <c r="BSP108" s="19"/>
      <c r="BSQ108" s="19"/>
      <c r="BSR108" s="19"/>
      <c r="BSS108" s="19"/>
      <c r="BST108" s="19"/>
      <c r="BSU108" s="19"/>
      <c r="BSV108" s="19"/>
      <c r="BSW108" s="19"/>
      <c r="BSX108" s="19"/>
      <c r="BSY108" s="19"/>
      <c r="BSZ108" s="19"/>
      <c r="BTA108" s="19"/>
      <c r="BTB108" s="19"/>
      <c r="BTC108" s="19"/>
      <c r="BTD108" s="19"/>
      <c r="BTE108" s="19"/>
      <c r="BTF108" s="19"/>
      <c r="BTG108" s="19"/>
      <c r="BTH108" s="19"/>
      <c r="BTI108" s="19"/>
      <c r="BTJ108" s="19"/>
      <c r="BTK108" s="19"/>
      <c r="BTL108" s="19"/>
      <c r="BTM108" s="19"/>
      <c r="BTN108" s="19"/>
      <c r="BTO108" s="19"/>
      <c r="BTP108" s="19"/>
      <c r="BTQ108" s="19"/>
      <c r="BTR108" s="19"/>
      <c r="BTS108" s="19"/>
      <c r="BTT108" s="19"/>
      <c r="BTU108" s="19"/>
      <c r="BTV108" s="19"/>
      <c r="BTW108" s="19"/>
      <c r="BTX108" s="19"/>
      <c r="BTY108" s="19"/>
      <c r="BTZ108" s="19"/>
      <c r="BUA108" s="19"/>
      <c r="BUB108" s="19"/>
      <c r="BUC108" s="19"/>
      <c r="BUD108" s="19"/>
      <c r="BUE108" s="19"/>
      <c r="BUF108" s="19"/>
      <c r="BUG108" s="19"/>
      <c r="BUH108" s="19"/>
      <c r="BUI108" s="19"/>
      <c r="BUJ108" s="19"/>
      <c r="BUK108" s="19"/>
      <c r="BUL108" s="19"/>
      <c r="BUM108" s="19"/>
      <c r="BUN108" s="19"/>
      <c r="BUO108" s="19"/>
      <c r="BUP108" s="19"/>
      <c r="BUQ108" s="19"/>
      <c r="BUR108" s="19"/>
      <c r="BUS108" s="19"/>
      <c r="BUT108" s="19"/>
      <c r="BUU108" s="19"/>
      <c r="BUV108" s="19"/>
      <c r="BUW108" s="19"/>
      <c r="BUX108" s="19"/>
      <c r="BUY108" s="19"/>
      <c r="BUZ108" s="19"/>
      <c r="BVA108" s="19"/>
      <c r="BVB108" s="19"/>
      <c r="BVC108" s="19"/>
      <c r="BVD108" s="19"/>
      <c r="BVE108" s="19"/>
      <c r="BVF108" s="19"/>
      <c r="BVG108" s="19"/>
      <c r="BVH108" s="19"/>
      <c r="BVI108" s="19"/>
      <c r="BVJ108" s="19"/>
      <c r="BVK108" s="19"/>
      <c r="BVL108" s="19"/>
      <c r="BVM108" s="19"/>
      <c r="BVN108" s="19"/>
      <c r="BVO108" s="19"/>
      <c r="BVP108" s="19"/>
      <c r="BVQ108" s="19"/>
      <c r="BVR108" s="19"/>
      <c r="BVS108" s="19"/>
      <c r="BVT108" s="19"/>
      <c r="BVU108" s="19"/>
      <c r="BVV108" s="19"/>
      <c r="BVW108" s="19"/>
      <c r="BVX108" s="19"/>
      <c r="BVY108" s="19"/>
      <c r="BVZ108" s="19"/>
      <c r="BWA108" s="19"/>
      <c r="BWB108" s="19"/>
      <c r="BWC108" s="19"/>
      <c r="BWD108" s="19"/>
      <c r="BWE108" s="19"/>
      <c r="BWF108" s="19"/>
      <c r="BWG108" s="19"/>
      <c r="BWH108" s="19"/>
      <c r="BWI108" s="19"/>
      <c r="BWJ108" s="19"/>
      <c r="BWK108" s="19"/>
      <c r="BWL108" s="19"/>
      <c r="BWM108" s="19"/>
      <c r="BWN108" s="19"/>
      <c r="BWO108" s="19"/>
      <c r="BWP108" s="19"/>
      <c r="BWQ108" s="19"/>
      <c r="BWR108" s="19"/>
      <c r="BWS108" s="19"/>
      <c r="BWT108" s="19"/>
      <c r="BWU108" s="19"/>
      <c r="BWV108" s="19"/>
      <c r="BWW108" s="19"/>
      <c r="BWX108" s="19"/>
      <c r="BWY108" s="19"/>
      <c r="BWZ108" s="19"/>
      <c r="BXA108" s="19"/>
      <c r="BXB108" s="19"/>
      <c r="BXC108" s="19"/>
      <c r="BXD108" s="19"/>
      <c r="BXE108" s="19"/>
      <c r="BXF108" s="19"/>
      <c r="BXG108" s="19"/>
      <c r="BXH108" s="19"/>
      <c r="BXI108" s="19"/>
      <c r="BXJ108" s="19"/>
      <c r="BXK108" s="19"/>
      <c r="BXL108" s="19"/>
      <c r="BXM108" s="19"/>
      <c r="BXN108" s="19"/>
      <c r="BXO108" s="19"/>
      <c r="BXP108" s="19"/>
      <c r="BXQ108" s="19"/>
      <c r="BXR108" s="19"/>
      <c r="BXS108" s="19"/>
      <c r="BXT108" s="19"/>
      <c r="BXU108" s="19"/>
      <c r="BXV108" s="19"/>
      <c r="BXW108" s="19"/>
      <c r="BXX108" s="19"/>
      <c r="BXY108" s="19"/>
      <c r="BXZ108" s="19"/>
      <c r="BYA108" s="19"/>
      <c r="BYB108" s="19"/>
      <c r="BYC108" s="19"/>
      <c r="BYD108" s="19"/>
      <c r="BYE108" s="19"/>
      <c r="BYF108" s="19"/>
      <c r="BYG108" s="19"/>
      <c r="BYH108" s="19"/>
      <c r="BYI108" s="19"/>
      <c r="BYJ108" s="19"/>
      <c r="BYK108" s="19"/>
      <c r="BYL108" s="19"/>
      <c r="BYM108" s="19"/>
      <c r="BYN108" s="19"/>
      <c r="BYO108" s="19"/>
      <c r="BYP108" s="19"/>
      <c r="BYQ108" s="19"/>
      <c r="BYR108" s="19"/>
      <c r="BYS108" s="19"/>
      <c r="BYT108" s="19"/>
      <c r="BYU108" s="19"/>
      <c r="BYV108" s="19"/>
      <c r="BYW108" s="19"/>
      <c r="BYX108" s="19"/>
      <c r="BYY108" s="19"/>
      <c r="BYZ108" s="19"/>
      <c r="BZA108" s="19"/>
      <c r="BZB108" s="19"/>
      <c r="BZC108" s="19"/>
      <c r="BZD108" s="19"/>
      <c r="BZE108" s="19"/>
      <c r="BZF108" s="19"/>
      <c r="BZG108" s="19"/>
      <c r="BZH108" s="19"/>
      <c r="BZI108" s="19"/>
      <c r="BZJ108" s="19"/>
      <c r="BZK108" s="19"/>
      <c r="BZL108" s="19"/>
      <c r="BZM108" s="19"/>
      <c r="BZN108" s="19"/>
      <c r="BZO108" s="19"/>
      <c r="BZP108" s="19"/>
      <c r="BZQ108" s="19"/>
      <c r="BZR108" s="19"/>
      <c r="BZS108" s="19"/>
      <c r="BZT108" s="19"/>
      <c r="BZU108" s="19"/>
      <c r="BZV108" s="19"/>
      <c r="BZW108" s="19"/>
      <c r="BZX108" s="19"/>
      <c r="BZY108" s="19"/>
      <c r="BZZ108" s="19"/>
      <c r="CAA108" s="19"/>
      <c r="CAB108" s="19"/>
      <c r="CAC108" s="19"/>
      <c r="CAD108" s="19"/>
      <c r="CAE108" s="19"/>
      <c r="CAF108" s="19"/>
      <c r="CAG108" s="19"/>
      <c r="CAH108" s="19"/>
      <c r="CAI108" s="19"/>
      <c r="CAJ108" s="19"/>
      <c r="CAK108" s="19"/>
      <c r="CAL108" s="19"/>
      <c r="CAM108" s="19"/>
      <c r="CAN108" s="19"/>
      <c r="CAO108" s="19"/>
      <c r="CAP108" s="19"/>
      <c r="CAQ108" s="19"/>
      <c r="CAR108" s="19"/>
      <c r="CAS108" s="19"/>
      <c r="CAT108" s="19"/>
      <c r="CAU108" s="19"/>
      <c r="CAV108" s="19"/>
      <c r="CAW108" s="19"/>
      <c r="CAX108" s="19"/>
      <c r="CAY108" s="19"/>
      <c r="CAZ108" s="19"/>
      <c r="CBF108" s="19"/>
      <c r="CBG108" s="19"/>
      <c r="CBH108" s="19"/>
      <c r="CBI108" s="19"/>
      <c r="CBJ108" s="19"/>
      <c r="CBK108" s="19"/>
      <c r="CBL108" s="19"/>
      <c r="CBM108" s="19"/>
      <c r="CBN108" s="19"/>
      <c r="CBO108" s="19"/>
      <c r="CBP108" s="19"/>
      <c r="CBQ108" s="19"/>
      <c r="CBR108" s="19"/>
      <c r="CBS108" s="19"/>
      <c r="CBT108" s="19"/>
      <c r="CBU108" s="19"/>
      <c r="CBV108" s="19"/>
      <c r="CBW108" s="19"/>
      <c r="CBX108" s="19"/>
      <c r="CBY108" s="19"/>
      <c r="CBZ108" s="19"/>
      <c r="CCA108" s="19"/>
      <c r="CCB108" s="19"/>
      <c r="CCC108" s="19"/>
      <c r="CCD108" s="19"/>
      <c r="CCE108" s="19"/>
      <c r="CCF108" s="19"/>
      <c r="CCG108" s="19"/>
      <c r="CCH108" s="19"/>
      <c r="CCI108" s="19"/>
      <c r="CCJ108" s="19"/>
      <c r="CCK108" s="19"/>
      <c r="CCL108" s="19"/>
      <c r="CCM108" s="19"/>
      <c r="CCN108" s="19"/>
      <c r="CCO108" s="19"/>
      <c r="CCP108" s="19"/>
      <c r="CCQ108" s="19"/>
      <c r="CCR108" s="19"/>
      <c r="CCS108" s="19"/>
      <c r="CCT108" s="19"/>
      <c r="CCU108" s="19"/>
      <c r="CCV108" s="19"/>
      <c r="CCW108" s="19"/>
      <c r="CCX108" s="19"/>
      <c r="CCY108" s="19"/>
      <c r="CCZ108" s="19"/>
      <c r="CDA108" s="19"/>
      <c r="CDB108" s="19"/>
      <c r="CDC108" s="19"/>
      <c r="CDD108" s="19"/>
      <c r="CDE108" s="19"/>
      <c r="CDF108" s="19"/>
      <c r="CDG108" s="19"/>
      <c r="CDH108" s="19"/>
      <c r="CDI108" s="19"/>
      <c r="CDJ108" s="19"/>
      <c r="CDK108" s="19"/>
      <c r="CDL108" s="19"/>
      <c r="CDM108" s="19"/>
      <c r="CDN108" s="19"/>
      <c r="CDO108" s="19"/>
      <c r="CDP108" s="19"/>
      <c r="CDQ108" s="19"/>
      <c r="CDR108" s="19"/>
      <c r="CDS108" s="19"/>
      <c r="CDT108" s="19"/>
      <c r="CDU108" s="19"/>
      <c r="CDV108" s="19"/>
      <c r="CDW108" s="19"/>
      <c r="CDX108" s="19"/>
      <c r="CDY108" s="19"/>
      <c r="CDZ108" s="19"/>
      <c r="CEA108" s="19"/>
      <c r="CEB108" s="19"/>
      <c r="CEC108" s="19"/>
      <c r="CED108" s="19"/>
      <c r="CEE108" s="19"/>
    </row>
    <row r="109" spans="1:2297 10881:10881" ht="16.05" customHeight="1">
      <c r="A109" s="19" t="s">
        <v>677</v>
      </c>
      <c r="B109" s="19" t="s">
        <v>745</v>
      </c>
      <c r="C109" s="643"/>
      <c r="D109" s="428" t="str">
        <f t="shared" ca="1" si="279"/>
        <v>PO D: DEN/MKD/CZE/IRL</v>
      </c>
      <c r="E109" s="643" t="s">
        <v>75</v>
      </c>
      <c r="F109" s="643" t="s">
        <v>740</v>
      </c>
      <c r="G109" s="424" t="s">
        <v>455</v>
      </c>
      <c r="H109" s="624">
        <f t="shared" ca="1" si="280"/>
        <v>12</v>
      </c>
      <c r="I109" s="10"/>
      <c r="J109" s="19">
        <v>81</v>
      </c>
      <c r="K109" s="439">
        <v>46204.75</v>
      </c>
      <c r="L109" s="19" t="s">
        <v>712</v>
      </c>
      <c r="M109" s="19" t="str">
        <f t="shared" ca="1" si="281"/>
        <v>Estados Unidos</v>
      </c>
      <c r="N109" s="19"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9"/>
      <c r="P109" s="19"/>
      <c r="Q109" s="19"/>
      <c r="R109" s="19"/>
      <c r="S109" s="19"/>
      <c r="T109" s="19"/>
      <c r="U109" s="19"/>
      <c r="V109" s="20"/>
      <c r="W109" s="671"/>
      <c r="X109" s="27">
        <f ca="1">Horarios!C109</f>
        <v>46204.916666666664</v>
      </c>
      <c r="Y109" s="28">
        <f ca="1">Horarios!C109</f>
        <v>46204.916666666664</v>
      </c>
      <c r="Z109" s="289">
        <f t="shared" si="286"/>
        <v>82</v>
      </c>
      <c r="AA109" s="96" t="str">
        <f t="shared" ca="1" si="282"/>
        <v>Bélgica</v>
      </c>
      <c r="AB109" s="97"/>
      <c r="AC109" s="100">
        <v>0</v>
      </c>
      <c r="AD109" s="100">
        <v>1</v>
      </c>
      <c r="AE109" s="97"/>
      <c r="AF109" s="99" t="str">
        <f t="shared" ca="1" si="283"/>
        <v>PO D: DEN/MKD/CZE/IRL</v>
      </c>
      <c r="AG109" s="339">
        <f t="shared" ca="1" si="284"/>
        <v>1</v>
      </c>
      <c r="AH109" s="204">
        <v>82</v>
      </c>
      <c r="AI109" s="191">
        <v>8</v>
      </c>
      <c r="AJ109" s="46">
        <v>8</v>
      </c>
      <c r="AK109" s="40" t="str">
        <f ca="1">IFERROR(INDEX(Equipos!$L$2:$L$49,MATCH(WORLDCUP!AL109,Equipos!$K$2:$K$49,0)),"")</f>
        <v>🇪🇬</v>
      </c>
      <c r="AL109" s="93" t="str">
        <f t="shared" ca="1" si="287"/>
        <v>Egipto</v>
      </c>
      <c r="AM109" s="334">
        <f t="shared" ca="1" si="288"/>
        <v>2</v>
      </c>
      <c r="AN109" s="94">
        <f t="shared" ca="1" si="288"/>
        <v>3</v>
      </c>
      <c r="AO109" s="94">
        <f t="shared" ca="1" si="288"/>
        <v>0</v>
      </c>
      <c r="AP109" s="94">
        <f t="shared" ca="1" si="288"/>
        <v>2</v>
      </c>
      <c r="AQ109" s="94">
        <f t="shared" ca="1" si="288"/>
        <v>1</v>
      </c>
      <c r="AR109" s="94">
        <f t="shared" ca="1" si="288"/>
        <v>0</v>
      </c>
      <c r="AS109" s="94">
        <f t="shared" ca="1" si="288"/>
        <v>1</v>
      </c>
      <c r="AT109" s="95">
        <f t="shared" ca="1" si="288"/>
        <v>-1</v>
      </c>
      <c r="AU109" s="342">
        <f t="shared" ca="1" si="289"/>
        <v>2</v>
      </c>
      <c r="AV109" s="191" t="str">
        <f t="shared" ca="1" si="290"/>
        <v>Egipto</v>
      </c>
      <c r="AW109" s="224"/>
      <c r="AX109" s="178"/>
      <c r="AY109" s="285"/>
      <c r="AZ109" s="288" t="str">
        <f t="shared" ca="1" si="291"/>
        <v>1K - 3L</v>
      </c>
      <c r="BA109" s="155"/>
      <c r="BB109" s="19"/>
      <c r="BC109" s="19"/>
      <c r="BD109" s="19"/>
      <c r="BF109" s="19" t="str">
        <f t="shared" ca="1" si="292"/>
        <v>H</v>
      </c>
      <c r="BG109" s="19">
        <f t="shared" ca="1" si="293"/>
        <v>6</v>
      </c>
      <c r="BH109" s="19"/>
      <c r="BI109" s="19">
        <v>7</v>
      </c>
      <c r="BJ109" s="19" t="str">
        <f t="shared" ca="1" si="294"/>
        <v>I</v>
      </c>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19"/>
      <c r="MI109" s="19"/>
      <c r="MJ109" s="19"/>
      <c r="MK109" s="19"/>
      <c r="ML109" s="19"/>
      <c r="MM109" s="19"/>
      <c r="MN109" s="19"/>
      <c r="MO109" s="19"/>
      <c r="MP109" s="19"/>
      <c r="MQ109" s="19"/>
      <c r="MR109" s="19"/>
      <c r="MS109" s="19"/>
      <c r="MT109" s="19"/>
      <c r="MU109" s="19"/>
      <c r="MV109" s="19"/>
      <c r="MW109" s="19"/>
      <c r="MX109" s="19"/>
      <c r="MY109" s="19"/>
      <c r="MZ109" s="19"/>
      <c r="NA109" s="19"/>
      <c r="NB109" s="19"/>
      <c r="NC109" s="19"/>
      <c r="ND109" s="19"/>
      <c r="NE109" s="19"/>
      <c r="NF109" s="19"/>
      <c r="NG109" s="19"/>
      <c r="NH109" s="19"/>
      <c r="NI109" s="19"/>
      <c r="NJ109" s="19"/>
      <c r="NK109" s="19"/>
      <c r="NL109" s="19"/>
      <c r="NM109" s="19"/>
      <c r="NN109" s="19"/>
      <c r="NO109" s="19"/>
      <c r="NP109" s="19"/>
      <c r="NQ109" s="19"/>
      <c r="NR109" s="19"/>
      <c r="NS109" s="19"/>
      <c r="NT109" s="19"/>
      <c r="NU109" s="19"/>
      <c r="NV109" s="19"/>
      <c r="NW109" s="19"/>
      <c r="NX109" s="19"/>
      <c r="NY109" s="19"/>
      <c r="NZ109" s="19"/>
      <c r="OA109" s="19"/>
      <c r="OB109" s="19"/>
      <c r="OC109" s="19"/>
      <c r="OD109" s="19"/>
      <c r="OE109" s="19"/>
      <c r="OF109" s="19"/>
      <c r="OG109" s="19"/>
      <c r="OH109" s="19"/>
      <c r="OI109" s="19"/>
      <c r="OJ109" s="19"/>
      <c r="OK109" s="19"/>
      <c r="OL109" s="19"/>
      <c r="OM109" s="19"/>
      <c r="ON109" s="19"/>
      <c r="OO109" s="19"/>
      <c r="OP109" s="19"/>
      <c r="OQ109" s="19"/>
      <c r="OR109" s="19"/>
      <c r="OS109" s="19"/>
      <c r="OT109" s="19"/>
      <c r="OU109" s="19"/>
      <c r="OV109" s="19"/>
      <c r="OW109" s="19"/>
      <c r="OX109" s="19"/>
      <c r="OY109" s="19"/>
      <c r="OZ109" s="19"/>
      <c r="PA109" s="19"/>
      <c r="PB109" s="19"/>
      <c r="PC109" s="19"/>
      <c r="PD109" s="19"/>
      <c r="PE109" s="19"/>
      <c r="PF109" s="19"/>
      <c r="PG109" s="19"/>
      <c r="PH109" s="19"/>
      <c r="PI109" s="19"/>
      <c r="PJ109" s="19"/>
      <c r="PK109" s="19"/>
      <c r="PL109" s="19"/>
      <c r="PM109" s="19"/>
      <c r="PN109" s="19"/>
      <c r="PO109" s="19"/>
      <c r="PP109" s="19"/>
      <c r="PQ109" s="19"/>
      <c r="PR109" s="19"/>
      <c r="PS109" s="19"/>
      <c r="PT109" s="19"/>
      <c r="PU109" s="19"/>
      <c r="PV109" s="19"/>
      <c r="PW109" s="19"/>
      <c r="PX109" s="19"/>
      <c r="PY109" s="19"/>
      <c r="PZ109" s="19"/>
      <c r="QA109" s="19"/>
      <c r="QB109" s="19"/>
      <c r="QC109" s="19"/>
      <c r="QD109" s="19"/>
      <c r="QE109" s="19"/>
      <c r="QF109" s="19"/>
      <c r="QG109" s="19"/>
      <c r="QH109" s="19"/>
      <c r="QI109" s="19"/>
      <c r="QJ109" s="19"/>
      <c r="QK109" s="19"/>
      <c r="QL109" s="19"/>
      <c r="QM109" s="19"/>
      <c r="QN109" s="19"/>
      <c r="QO109" s="19"/>
      <c r="QP109" s="19"/>
      <c r="QQ109" s="19"/>
      <c r="QR109" s="19"/>
      <c r="QS109" s="19"/>
      <c r="QT109" s="19"/>
      <c r="QU109" s="19"/>
      <c r="QV109" s="19"/>
      <c r="QW109" s="19"/>
      <c r="QX109" s="19"/>
      <c r="QY109" s="19"/>
      <c r="QZ109" s="19"/>
      <c r="RA109" s="19"/>
      <c r="RB109" s="19"/>
      <c r="RC109" s="19"/>
      <c r="RD109" s="19"/>
      <c r="RE109" s="19"/>
      <c r="RF109" s="19"/>
      <c r="RG109" s="19"/>
      <c r="RH109" s="19"/>
      <c r="RI109" s="19"/>
      <c r="RJ109" s="19"/>
      <c r="RK109" s="19"/>
      <c r="RL109" s="19"/>
      <c r="RM109" s="19"/>
      <c r="RN109" s="19"/>
      <c r="RO109" s="19"/>
      <c r="RP109" s="19"/>
      <c r="RQ109" s="19"/>
      <c r="RR109" s="19"/>
      <c r="RS109" s="19"/>
      <c r="RT109" s="19"/>
      <c r="RU109" s="19"/>
      <c r="RV109" s="19"/>
      <c r="RW109" s="19"/>
      <c r="RX109" s="19"/>
      <c r="RY109" s="19"/>
      <c r="RZ109" s="19"/>
      <c r="SA109" s="19"/>
      <c r="SB109" s="19"/>
      <c r="SC109" s="19"/>
      <c r="SD109" s="19"/>
      <c r="SE109" s="19"/>
      <c r="SF109" s="19"/>
      <c r="SG109" s="19"/>
      <c r="SH109" s="19"/>
      <c r="SI109" s="19"/>
      <c r="SJ109" s="19"/>
      <c r="SK109" s="19"/>
      <c r="SL109" s="19"/>
      <c r="SM109" s="19"/>
      <c r="SN109" s="19"/>
      <c r="SO109" s="19"/>
      <c r="SP109" s="19"/>
      <c r="SQ109" s="19"/>
      <c r="SR109" s="19"/>
      <c r="SS109" s="19"/>
      <c r="ST109" s="19"/>
      <c r="SU109" s="19"/>
      <c r="SV109" s="19"/>
      <c r="SW109" s="19"/>
      <c r="SX109" s="19"/>
      <c r="SY109" s="19"/>
      <c r="SZ109" s="19"/>
      <c r="TA109" s="19"/>
      <c r="TB109" s="19"/>
      <c r="TC109" s="19"/>
      <c r="TD109" s="19"/>
      <c r="TE109" s="19"/>
      <c r="TF109" s="19"/>
      <c r="TG109" s="19"/>
      <c r="TH109" s="19"/>
      <c r="TI109" s="19"/>
      <c r="TJ109" s="19"/>
      <c r="TK109" s="19"/>
      <c r="TL109" s="19"/>
      <c r="TM109" s="19"/>
      <c r="TN109" s="19"/>
      <c r="TO109" s="19"/>
      <c r="TP109" s="19"/>
      <c r="TQ109" s="19"/>
      <c r="TR109" s="19"/>
      <c r="TS109" s="19"/>
      <c r="TT109" s="19"/>
      <c r="TU109" s="19"/>
      <c r="TV109" s="19"/>
      <c r="TW109" s="19"/>
      <c r="TX109" s="19"/>
      <c r="TY109" s="19"/>
      <c r="TZ109" s="19"/>
      <c r="UA109" s="19"/>
      <c r="UB109" s="19"/>
      <c r="UC109" s="19"/>
      <c r="UD109" s="19"/>
      <c r="UE109" s="19"/>
      <c r="UF109" s="19"/>
      <c r="UG109" s="19"/>
      <c r="UH109" s="19"/>
      <c r="UI109" s="19"/>
      <c r="UJ109" s="19"/>
      <c r="UK109" s="19"/>
      <c r="UL109" s="19"/>
      <c r="UM109" s="19"/>
      <c r="UN109" s="19"/>
      <c r="UO109" s="19"/>
      <c r="UP109" s="19"/>
      <c r="UQ109" s="19"/>
      <c r="UR109" s="19"/>
      <c r="US109" s="19"/>
      <c r="UT109" s="19"/>
      <c r="UU109" s="19"/>
      <c r="UV109" s="19"/>
      <c r="UW109" s="19"/>
      <c r="UX109" s="19"/>
      <c r="UY109" s="19"/>
      <c r="UZ109" s="19"/>
      <c r="VA109" s="19"/>
      <c r="VB109" s="19"/>
      <c r="VC109" s="19"/>
      <c r="VD109" s="19"/>
      <c r="VE109" s="19"/>
      <c r="VF109" s="19"/>
      <c r="VG109" s="19"/>
      <c r="VH109" s="19"/>
      <c r="VI109" s="19"/>
      <c r="VJ109" s="19"/>
      <c r="VK109" s="19"/>
      <c r="VL109" s="19"/>
      <c r="VM109" s="19"/>
      <c r="VN109" s="19"/>
      <c r="VO109" s="19"/>
      <c r="VP109" s="19"/>
      <c r="VQ109" s="19"/>
      <c r="VR109" s="19"/>
      <c r="VS109" s="19"/>
      <c r="VT109" s="19"/>
      <c r="VU109" s="19"/>
      <c r="VV109" s="19"/>
      <c r="VW109" s="19"/>
      <c r="VX109" s="19"/>
      <c r="VY109" s="19"/>
      <c r="VZ109" s="19"/>
      <c r="WA109" s="19"/>
      <c r="WB109" s="19"/>
      <c r="WC109" s="19"/>
      <c r="WD109" s="19"/>
      <c r="WE109" s="19"/>
      <c r="WF109" s="19"/>
      <c r="WG109" s="19"/>
      <c r="WH109" s="19"/>
      <c r="WI109" s="19"/>
      <c r="WJ109" s="19"/>
      <c r="WK109" s="19"/>
      <c r="WL109" s="19"/>
      <c r="WM109" s="19"/>
      <c r="WN109" s="19"/>
      <c r="WO109" s="19"/>
      <c r="WP109" s="19"/>
      <c r="WQ109" s="19"/>
      <c r="WR109" s="19"/>
      <c r="WS109" s="19"/>
      <c r="WT109" s="19"/>
      <c r="WU109" s="19"/>
      <c r="WV109" s="19"/>
      <c r="WW109" s="19"/>
      <c r="WX109" s="19"/>
      <c r="WY109" s="19"/>
      <c r="WZ109" s="19"/>
      <c r="XA109" s="19"/>
      <c r="XB109" s="19"/>
      <c r="XC109" s="19"/>
      <c r="XD109" s="19"/>
      <c r="XE109" s="19"/>
      <c r="XF109" s="19"/>
      <c r="XG109" s="19"/>
      <c r="XH109" s="19"/>
      <c r="XI109" s="19"/>
      <c r="XJ109" s="19"/>
      <c r="XK109" s="19"/>
      <c r="XL109" s="19"/>
      <c r="XM109" s="19"/>
      <c r="XN109" s="19"/>
      <c r="XO109" s="19"/>
      <c r="XP109" s="19"/>
      <c r="XQ109" s="19"/>
      <c r="XR109" s="19"/>
      <c r="XS109" s="19"/>
      <c r="XT109" s="19"/>
      <c r="XU109" s="19"/>
      <c r="XV109" s="19"/>
      <c r="XW109" s="19"/>
      <c r="XX109" s="19"/>
      <c r="XY109" s="19"/>
      <c r="XZ109" s="19"/>
      <c r="YA109" s="19"/>
      <c r="YB109" s="19"/>
      <c r="YC109" s="19"/>
      <c r="YD109" s="19"/>
      <c r="YE109" s="19"/>
      <c r="YF109" s="19"/>
      <c r="YG109" s="19"/>
      <c r="YH109" s="19"/>
      <c r="YI109" s="19"/>
      <c r="YJ109" s="19"/>
      <c r="YK109" s="19"/>
      <c r="YL109" s="19"/>
      <c r="YM109" s="19"/>
      <c r="YN109" s="19"/>
      <c r="YO109" s="19"/>
      <c r="YP109" s="19"/>
      <c r="YQ109" s="19"/>
      <c r="YR109" s="19"/>
      <c r="YS109" s="19"/>
      <c r="YT109" s="19"/>
      <c r="YU109" s="19"/>
      <c r="YV109" s="19"/>
      <c r="YW109" s="19"/>
      <c r="YX109" s="19"/>
      <c r="YY109" s="19"/>
      <c r="YZ109" s="19"/>
      <c r="ZA109" s="19"/>
      <c r="ZB109" s="19"/>
      <c r="ZC109" s="19"/>
      <c r="ZD109" s="19"/>
      <c r="ZE109" s="19"/>
      <c r="ZF109" s="19"/>
      <c r="ZG109" s="19"/>
      <c r="ZH109" s="19"/>
      <c r="ZI109" s="19"/>
      <c r="ZJ109" s="19"/>
      <c r="ZK109" s="19"/>
      <c r="ZL109" s="19"/>
      <c r="ZM109" s="19"/>
      <c r="ZN109" s="19"/>
      <c r="ZO109" s="19"/>
      <c r="ZP109" s="19"/>
      <c r="ZQ109" s="19"/>
      <c r="ZR109" s="19"/>
      <c r="ZS109" s="19"/>
      <c r="ZT109" s="19"/>
      <c r="ZU109" s="19"/>
      <c r="ZV109" s="19"/>
      <c r="ZW109" s="19"/>
      <c r="ZX109" s="19"/>
      <c r="ZY109" s="19"/>
      <c r="ZZ109" s="19"/>
      <c r="AAA109" s="19"/>
      <c r="AAB109" s="19"/>
      <c r="AAC109" s="19"/>
      <c r="AAD109" s="19"/>
      <c r="AAE109" s="19"/>
      <c r="AAF109" s="19"/>
      <c r="AAG109" s="19"/>
      <c r="AAH109" s="19"/>
      <c r="AAI109" s="19"/>
      <c r="AAJ109" s="19"/>
      <c r="AAK109" s="19"/>
      <c r="AAL109" s="19"/>
      <c r="AAM109" s="19"/>
      <c r="AAN109" s="19"/>
      <c r="AAO109" s="19"/>
      <c r="AAP109" s="19"/>
      <c r="AAQ109" s="19"/>
      <c r="AAR109" s="19"/>
      <c r="AAS109" s="19"/>
      <c r="AAT109" s="19"/>
      <c r="AAU109" s="19"/>
      <c r="AAV109" s="19"/>
      <c r="AAW109" s="19"/>
      <c r="AAX109" s="19"/>
      <c r="AAY109" s="19"/>
      <c r="AAZ109" s="19"/>
      <c r="ABA109" s="19"/>
      <c r="ABB109" s="19"/>
      <c r="ABC109" s="19"/>
      <c r="ABD109" s="19"/>
      <c r="ABE109" s="19"/>
      <c r="ABF109" s="19"/>
      <c r="ABG109" s="19"/>
      <c r="ABH109" s="19"/>
      <c r="ABI109" s="19"/>
      <c r="ABJ109" s="19"/>
      <c r="ABK109" s="19"/>
      <c r="ABL109" s="19"/>
      <c r="ABM109" s="19"/>
      <c r="ABN109" s="19"/>
      <c r="ABO109" s="19"/>
      <c r="ABP109" s="19"/>
      <c r="ABQ109" s="19"/>
      <c r="ABR109" s="19"/>
      <c r="ABS109" s="19"/>
      <c r="ABT109" s="19"/>
      <c r="ABU109" s="19"/>
      <c r="ABV109" s="19"/>
      <c r="ABW109" s="19"/>
      <c r="ABX109" s="19"/>
      <c r="ABY109" s="19"/>
      <c r="ABZ109" s="19"/>
      <c r="ACA109" s="19"/>
      <c r="ACB109" s="19"/>
      <c r="ACC109" s="19"/>
      <c r="ACD109" s="19"/>
      <c r="ACE109" s="19"/>
      <c r="ACF109" s="19"/>
      <c r="ACG109" s="19"/>
      <c r="ACH109" s="19"/>
      <c r="ACI109" s="19"/>
      <c r="ACJ109" s="19"/>
      <c r="ACK109" s="19"/>
      <c r="ACL109" s="19"/>
      <c r="ACM109" s="19"/>
      <c r="ACN109" s="19"/>
      <c r="ACO109" s="19"/>
      <c r="ACP109" s="19"/>
      <c r="ACQ109" s="19"/>
      <c r="ACR109" s="19"/>
      <c r="ACS109" s="19"/>
      <c r="ACT109" s="19"/>
      <c r="ACU109" s="19"/>
      <c r="ACV109" s="19"/>
      <c r="ACW109" s="19"/>
      <c r="ACX109" s="19"/>
      <c r="ACY109" s="19"/>
      <c r="ACZ109" s="19"/>
      <c r="ADA109" s="19"/>
      <c r="ADB109" s="19"/>
      <c r="ADC109" s="19"/>
      <c r="ADD109" s="19"/>
      <c r="ADE109" s="19"/>
      <c r="ADF109" s="19"/>
      <c r="ADG109" s="19"/>
      <c r="ADH109" s="19"/>
      <c r="ADI109" s="19"/>
      <c r="ADJ109" s="19"/>
      <c r="ADK109" s="19"/>
      <c r="ADL109" s="19"/>
      <c r="ADM109" s="19"/>
      <c r="ADN109" s="19"/>
      <c r="ADO109" s="19"/>
      <c r="ADP109" s="19"/>
      <c r="ADQ109" s="19"/>
      <c r="ADR109" s="19"/>
      <c r="ADS109" s="19"/>
      <c r="ADT109" s="19"/>
      <c r="ADU109" s="19"/>
      <c r="ADV109" s="19"/>
      <c r="ADW109" s="19"/>
      <c r="ADX109" s="19"/>
      <c r="ADY109" s="19"/>
      <c r="ADZ109" s="19"/>
      <c r="AEA109" s="19"/>
      <c r="AEB109" s="19"/>
      <c r="AEC109" s="19"/>
      <c r="AED109" s="19"/>
      <c r="AEE109" s="19"/>
      <c r="AEF109" s="19"/>
      <c r="AEG109" s="19"/>
      <c r="AEH109" s="19"/>
      <c r="AEI109" s="19"/>
      <c r="AEJ109" s="19"/>
      <c r="AEK109" s="19"/>
      <c r="AEL109" s="19"/>
      <c r="AEM109" s="19"/>
      <c r="AEN109" s="19"/>
      <c r="AEO109" s="19"/>
      <c r="AEP109" s="19"/>
      <c r="AEQ109" s="19"/>
      <c r="AER109" s="19"/>
      <c r="AES109" s="19"/>
      <c r="AET109" s="19"/>
      <c r="AEU109" s="19"/>
      <c r="AEV109" s="19"/>
      <c r="AEW109" s="19"/>
      <c r="AEX109" s="19"/>
      <c r="AEY109" s="19"/>
      <c r="AEZ109" s="19"/>
      <c r="AFA109" s="19"/>
      <c r="AFB109" s="19"/>
      <c r="AFC109" s="19"/>
      <c r="AFD109" s="19"/>
      <c r="AFE109" s="19"/>
      <c r="AFF109" s="19"/>
      <c r="AFG109" s="19"/>
      <c r="AFH109" s="19"/>
      <c r="AFI109" s="19"/>
      <c r="AFJ109" s="19"/>
      <c r="AFK109" s="19"/>
      <c r="AFL109" s="19"/>
      <c r="AFM109" s="19"/>
      <c r="AFN109" s="19"/>
      <c r="AFO109" s="19"/>
      <c r="AFP109" s="19"/>
      <c r="AFQ109" s="19"/>
      <c r="AFR109" s="19"/>
      <c r="AFS109" s="19"/>
      <c r="AFT109" s="19"/>
      <c r="AFU109" s="19"/>
      <c r="AFV109" s="19"/>
      <c r="AFW109" s="19"/>
      <c r="AFX109" s="19"/>
      <c r="AFY109" s="19"/>
      <c r="AFZ109" s="19"/>
      <c r="AGA109" s="19"/>
      <c r="AGB109" s="19"/>
      <c r="AGC109" s="19"/>
      <c r="AGD109" s="19"/>
      <c r="AGE109" s="19"/>
      <c r="AGF109" s="19"/>
      <c r="AGG109" s="19"/>
      <c r="AGH109" s="19"/>
      <c r="AGI109" s="19"/>
      <c r="AGJ109" s="19"/>
      <c r="AGK109" s="19"/>
      <c r="AGL109" s="19"/>
      <c r="AGM109" s="19"/>
      <c r="AGN109" s="19"/>
      <c r="AGO109" s="19"/>
      <c r="AGP109" s="19"/>
      <c r="AGQ109" s="19"/>
      <c r="AGR109" s="19"/>
      <c r="AGS109" s="19"/>
      <c r="AGT109" s="19"/>
      <c r="AGU109" s="19"/>
      <c r="AGV109" s="19"/>
      <c r="AGW109" s="19"/>
      <c r="AGX109" s="19"/>
      <c r="AGY109" s="19"/>
      <c r="AGZ109" s="19"/>
      <c r="AHA109" s="19"/>
      <c r="AHB109" s="19"/>
      <c r="AHC109" s="19"/>
      <c r="AHD109" s="19"/>
      <c r="AHE109" s="19"/>
      <c r="AHF109" s="19"/>
      <c r="AHG109" s="19"/>
      <c r="AHH109" s="19"/>
      <c r="AHI109" s="19"/>
      <c r="AHJ109" s="19"/>
      <c r="AHK109" s="19"/>
      <c r="AHL109" s="19"/>
      <c r="AHM109" s="19"/>
      <c r="AHN109" s="19"/>
      <c r="AHO109" s="19"/>
      <c r="AHP109" s="19"/>
      <c r="AHQ109" s="19"/>
      <c r="AHR109" s="19"/>
      <c r="AHS109" s="19"/>
      <c r="AHT109" s="19"/>
      <c r="AHU109" s="19"/>
      <c r="AHV109" s="19"/>
      <c r="AHW109" s="19"/>
      <c r="AHX109" s="19"/>
      <c r="AHY109" s="19"/>
      <c r="AHZ109" s="19"/>
      <c r="AIA109" s="19"/>
      <c r="AIB109" s="19"/>
      <c r="AIC109" s="19"/>
      <c r="AID109" s="19"/>
      <c r="AIE109" s="19"/>
      <c r="AIF109" s="19"/>
      <c r="AIG109" s="19"/>
      <c r="AIH109" s="19"/>
      <c r="AII109" s="19"/>
      <c r="AIJ109" s="19"/>
      <c r="AIK109" s="19"/>
      <c r="AIL109" s="19"/>
      <c r="AIM109" s="19"/>
      <c r="AIN109" s="19"/>
      <c r="AIO109" s="19"/>
      <c r="AIP109" s="19"/>
      <c r="AIQ109" s="19"/>
      <c r="AIR109" s="19"/>
      <c r="AIS109" s="19"/>
      <c r="AIT109" s="19"/>
      <c r="AIU109" s="19"/>
      <c r="AIV109" s="19"/>
      <c r="AIW109" s="19"/>
      <c r="AIX109" s="19"/>
      <c r="AIY109" s="19"/>
      <c r="AIZ109" s="19"/>
      <c r="AJA109" s="19"/>
      <c r="AJB109" s="19"/>
      <c r="AJC109" s="19"/>
      <c r="AJD109" s="19"/>
      <c r="AJE109" s="19"/>
      <c r="AJF109" s="19"/>
      <c r="AJG109" s="19"/>
      <c r="AJH109" s="19"/>
      <c r="AJI109" s="19"/>
      <c r="AJJ109" s="19"/>
      <c r="AJK109" s="19"/>
      <c r="AJL109" s="19"/>
      <c r="AJM109" s="19"/>
      <c r="AJN109" s="19"/>
      <c r="AJO109" s="19"/>
      <c r="AJP109" s="19"/>
      <c r="AJQ109" s="19"/>
      <c r="AJR109" s="19"/>
      <c r="AJS109" s="19"/>
      <c r="AJT109" s="19"/>
      <c r="AJU109" s="19"/>
      <c r="AJV109" s="19"/>
      <c r="AJW109" s="19"/>
      <c r="AJX109" s="19"/>
      <c r="AJY109" s="19"/>
      <c r="AJZ109" s="19"/>
      <c r="AKA109" s="19"/>
      <c r="AKB109" s="19"/>
      <c r="AKC109" s="19"/>
      <c r="AKD109" s="19"/>
      <c r="AKE109" s="19"/>
      <c r="AKF109" s="19"/>
      <c r="AKG109" s="19"/>
      <c r="AKH109" s="19"/>
      <c r="AKI109" s="19"/>
      <c r="AKJ109" s="19"/>
      <c r="AKK109" s="19"/>
      <c r="AKL109" s="19"/>
      <c r="AKM109" s="19"/>
      <c r="AKN109" s="19"/>
      <c r="AKO109" s="19"/>
      <c r="AKP109" s="19"/>
      <c r="AKQ109" s="19"/>
      <c r="AKR109" s="19"/>
      <c r="AKS109" s="19"/>
      <c r="AKT109" s="19"/>
      <c r="AKU109" s="19"/>
      <c r="AKV109" s="19"/>
      <c r="AKW109" s="19"/>
      <c r="AKX109" s="19"/>
      <c r="AKY109" s="19"/>
      <c r="AKZ109" s="19"/>
      <c r="ALA109" s="19"/>
      <c r="ALB109" s="19"/>
      <c r="ALC109" s="19"/>
      <c r="ALD109" s="19"/>
      <c r="ALE109" s="19"/>
      <c r="ALF109" s="19"/>
      <c r="ALG109" s="19"/>
      <c r="ALH109" s="19"/>
      <c r="ALI109" s="19"/>
      <c r="ALJ109" s="19"/>
      <c r="ALK109" s="19"/>
      <c r="ALL109" s="19"/>
      <c r="ALM109" s="19"/>
      <c r="ALN109" s="19"/>
      <c r="ALO109" s="19"/>
      <c r="ALP109" s="19"/>
      <c r="ALQ109" s="19"/>
      <c r="ALR109" s="19"/>
      <c r="ALS109" s="19"/>
      <c r="ALT109" s="19"/>
      <c r="ALU109" s="19"/>
      <c r="ALV109" s="19"/>
      <c r="ALW109" s="19"/>
      <c r="ALX109" s="19"/>
      <c r="ALY109" s="19"/>
      <c r="ALZ109" s="19"/>
      <c r="AMA109" s="19"/>
      <c r="AMB109" s="19"/>
      <c r="AMC109" s="19"/>
      <c r="AMD109" s="19"/>
      <c r="AME109" s="19"/>
      <c r="AMF109" s="19"/>
      <c r="AMG109" s="19"/>
      <c r="AMH109" s="19"/>
      <c r="AMI109" s="19"/>
      <c r="AMJ109" s="19"/>
      <c r="AMK109" s="19"/>
      <c r="AML109" s="19"/>
      <c r="AMM109" s="19"/>
      <c r="AMN109" s="19"/>
      <c r="AMO109" s="19"/>
      <c r="AMP109" s="19"/>
      <c r="AMQ109" s="19"/>
      <c r="AMR109" s="19"/>
      <c r="AMS109" s="19"/>
      <c r="AMT109" s="19"/>
      <c r="AMU109" s="19"/>
      <c r="AMV109" s="19"/>
      <c r="AMW109" s="19"/>
      <c r="AMX109" s="19"/>
      <c r="AMY109" s="19"/>
      <c r="AMZ109" s="19"/>
      <c r="ANA109" s="19"/>
      <c r="ANB109" s="19"/>
      <c r="ANC109" s="19"/>
      <c r="AND109" s="19"/>
      <c r="ANE109" s="19"/>
      <c r="ANF109" s="19"/>
      <c r="ANG109" s="19"/>
      <c r="ANH109" s="19"/>
      <c r="ANI109" s="19"/>
      <c r="ANJ109" s="19"/>
      <c r="ANK109" s="19"/>
      <c r="ANL109" s="19"/>
      <c r="ANM109" s="19"/>
      <c r="ANN109" s="19"/>
      <c r="ANO109" s="19"/>
      <c r="ANP109" s="19"/>
      <c r="ANQ109" s="639"/>
      <c r="ANR109" s="639"/>
      <c r="ANS109" s="19"/>
      <c r="ANT109" s="19"/>
      <c r="ANU109" s="19"/>
      <c r="ANV109" s="19"/>
      <c r="ANW109" s="19"/>
      <c r="ANX109" s="19"/>
      <c r="ANY109" s="19"/>
      <c r="ANZ109" s="19"/>
      <c r="AOA109" s="19"/>
      <c r="AOB109" s="19"/>
      <c r="AOC109" s="19"/>
      <c r="AOD109" s="19"/>
      <c r="AOE109" s="19"/>
      <c r="AOF109" s="19"/>
      <c r="AOG109" s="19"/>
      <c r="AOH109" s="19"/>
      <c r="AOI109" s="19"/>
      <c r="AOJ109" s="19"/>
      <c r="AOK109" s="19"/>
      <c r="AOL109" s="19"/>
      <c r="AOM109" s="19"/>
      <c r="AON109" s="19"/>
      <c r="AOO109" s="19"/>
      <c r="AOP109" s="19"/>
      <c r="AOQ109" s="19"/>
      <c r="AOR109" s="19"/>
      <c r="AOS109" s="19"/>
      <c r="AOT109" s="19"/>
      <c r="AOU109" s="19"/>
      <c r="AOV109" s="19"/>
      <c r="AOW109" s="19"/>
      <c r="AOX109" s="19"/>
      <c r="AOY109" s="19"/>
      <c r="AOZ109" s="19"/>
      <c r="APA109" s="19"/>
      <c r="APB109" s="19"/>
      <c r="APC109" s="19"/>
      <c r="APD109" s="19"/>
      <c r="APE109" s="19"/>
      <c r="APF109" s="19"/>
      <c r="APG109" s="19"/>
      <c r="APH109" s="19"/>
      <c r="API109" s="19"/>
      <c r="APJ109" s="19"/>
      <c r="APK109" s="19"/>
      <c r="APL109" s="19"/>
      <c r="APM109" s="19"/>
      <c r="APN109" s="19"/>
      <c r="APO109" s="19"/>
      <c r="APP109" s="19"/>
      <c r="APQ109" s="19"/>
      <c r="APR109" s="19"/>
      <c r="APS109" s="19"/>
      <c r="APT109" s="19"/>
      <c r="APU109" s="19"/>
      <c r="APV109" s="19"/>
      <c r="APW109" s="19"/>
      <c r="APX109" s="19"/>
      <c r="APY109" s="19"/>
      <c r="APZ109" s="19"/>
      <c r="AQA109" s="19"/>
      <c r="AQB109" s="19"/>
      <c r="AQC109" s="19"/>
      <c r="AQD109" s="19"/>
      <c r="AQE109" s="19"/>
      <c r="AQF109" s="19"/>
      <c r="AQG109" s="19"/>
      <c r="AQH109" s="19"/>
      <c r="AQI109" s="19"/>
      <c r="AQJ109" s="19"/>
      <c r="AQK109" s="19"/>
      <c r="AQL109" s="19"/>
      <c r="AQM109" s="19"/>
      <c r="AQN109" s="19"/>
      <c r="AQO109" s="19"/>
      <c r="AQP109" s="19"/>
      <c r="AQQ109" s="19"/>
      <c r="AQR109" s="19"/>
      <c r="AQS109" s="19"/>
      <c r="AQT109" s="19"/>
      <c r="AQU109" s="19"/>
      <c r="AQV109" s="19"/>
      <c r="AQW109" s="19"/>
      <c r="AQX109" s="19"/>
      <c r="AQY109" s="19"/>
      <c r="AQZ109" s="19"/>
      <c r="ARA109" s="19"/>
      <c r="ARB109" s="19"/>
      <c r="ARC109" s="19"/>
      <c r="ARD109" s="19"/>
      <c r="ARE109" s="19"/>
      <c r="ARF109" s="19"/>
      <c r="ARG109" s="19"/>
      <c r="ARH109" s="19"/>
      <c r="ARI109" s="19"/>
      <c r="ARJ109" s="19"/>
      <c r="ARK109" s="19"/>
      <c r="ARL109" s="19"/>
      <c r="ARM109" s="19"/>
      <c r="ARN109" s="19"/>
      <c r="ARO109" s="19"/>
      <c r="ARP109" s="19"/>
      <c r="ARQ109" s="19"/>
      <c r="ARR109" s="19"/>
      <c r="ARS109" s="19"/>
      <c r="ART109" s="19"/>
      <c r="ARU109" s="19"/>
      <c r="ARV109" s="19"/>
      <c r="ARW109" s="19"/>
      <c r="ARX109" s="19"/>
      <c r="ARY109" s="19"/>
      <c r="ARZ109" s="19"/>
      <c r="ASA109" s="19"/>
      <c r="ASB109" s="19"/>
      <c r="ASC109" s="19"/>
      <c r="ASD109" s="19"/>
      <c r="ASE109" s="19"/>
      <c r="ASF109" s="19"/>
      <c r="ASG109" s="19"/>
      <c r="ASH109" s="19"/>
      <c r="ASI109" s="19"/>
      <c r="ASJ109" s="19"/>
      <c r="ASK109" s="19"/>
      <c r="ASL109" s="19"/>
      <c r="ASM109" s="19"/>
      <c r="ASN109" s="19"/>
      <c r="ASO109" s="19"/>
      <c r="ASP109" s="19"/>
      <c r="ASQ109" s="19"/>
      <c r="ASR109" s="19"/>
      <c r="ASS109" s="19"/>
      <c r="AST109" s="19"/>
      <c r="ASU109" s="19"/>
      <c r="ASV109" s="19"/>
      <c r="ASW109" s="19"/>
      <c r="ASX109" s="19"/>
      <c r="ASY109" s="19"/>
      <c r="ASZ109" s="19"/>
      <c r="ATA109" s="19"/>
      <c r="ATB109" s="19"/>
      <c r="ATC109" s="19"/>
      <c r="ATD109" s="19"/>
      <c r="ATE109" s="19"/>
      <c r="ATF109" s="19"/>
      <c r="ATG109" s="19"/>
      <c r="ATH109" s="19"/>
      <c r="ATI109" s="19"/>
      <c r="ATJ109" s="19"/>
      <c r="ATK109" s="19"/>
      <c r="ATL109" s="19"/>
      <c r="ATM109" s="19"/>
      <c r="ATN109" s="19"/>
      <c r="ATO109" s="19"/>
      <c r="ATP109" s="19"/>
      <c r="ATQ109" s="19"/>
      <c r="ATR109" s="19"/>
      <c r="ATS109" s="19"/>
      <c r="ATT109" s="19"/>
      <c r="ATU109" s="19"/>
      <c r="ATV109" s="19"/>
      <c r="ATW109" s="19"/>
      <c r="ATX109" s="19"/>
      <c r="ATY109" s="19"/>
      <c r="ATZ109" s="19"/>
      <c r="AUA109" s="19"/>
      <c r="AUB109" s="19"/>
      <c r="AUC109" s="19"/>
      <c r="AUD109" s="19"/>
      <c r="AUE109" s="19"/>
      <c r="AUF109" s="19"/>
      <c r="AUG109" s="19"/>
      <c r="AUH109" s="19"/>
      <c r="AUI109" s="19"/>
      <c r="AUJ109" s="19"/>
      <c r="AUK109" s="19"/>
      <c r="AUL109" s="19"/>
      <c r="AUM109" s="19"/>
      <c r="AUN109" s="19"/>
      <c r="AUO109" s="19"/>
      <c r="AUP109" s="19"/>
      <c r="AUQ109" s="19"/>
      <c r="AUR109" s="19"/>
      <c r="AUS109" s="19"/>
      <c r="AUT109" s="19"/>
      <c r="AUU109" s="19"/>
      <c r="AUV109" s="19"/>
      <c r="AUW109" s="19"/>
      <c r="AUX109" s="19"/>
      <c r="AUY109" s="19"/>
      <c r="AUZ109" s="19"/>
      <c r="AVA109" s="19"/>
      <c r="AVB109" s="19"/>
      <c r="AVC109" s="19"/>
      <c r="AVD109" s="19"/>
      <c r="AVE109" s="19"/>
      <c r="AVF109" s="19"/>
      <c r="AVG109" s="19"/>
      <c r="AVH109" s="19"/>
      <c r="AVI109" s="19"/>
      <c r="AVJ109" s="19"/>
      <c r="AVK109" s="19"/>
      <c r="AVL109" s="19"/>
      <c r="AVM109" s="19"/>
      <c r="AVN109" s="19"/>
      <c r="AVO109" s="19"/>
      <c r="AVP109" s="19"/>
      <c r="AVQ109" s="19"/>
      <c r="AVR109" s="19"/>
      <c r="AVS109" s="19"/>
      <c r="AVT109" s="19"/>
      <c r="AVU109" s="19"/>
      <c r="AVV109" s="19"/>
      <c r="AVW109" s="19"/>
      <c r="AVX109" s="19"/>
      <c r="AVY109" s="19"/>
      <c r="AVZ109" s="19"/>
      <c r="AWA109" s="19"/>
      <c r="AWB109" s="19"/>
      <c r="AWC109" s="19"/>
      <c r="AWD109" s="19"/>
      <c r="AWE109" s="19"/>
      <c r="AWF109" s="19"/>
      <c r="AWG109" s="19"/>
      <c r="AWH109" s="19"/>
      <c r="AWI109" s="19"/>
      <c r="AWJ109" s="19"/>
      <c r="AWK109" s="19"/>
      <c r="AWL109" s="19"/>
      <c r="AWM109" s="19"/>
      <c r="AWN109" s="19"/>
      <c r="AWO109" s="19"/>
      <c r="AWP109" s="19"/>
      <c r="AWQ109" s="19"/>
      <c r="AWR109" s="19"/>
      <c r="AWS109" s="19"/>
      <c r="AWT109" s="19"/>
      <c r="AWU109" s="19"/>
      <c r="AWV109" s="19"/>
      <c r="AWW109" s="19"/>
      <c r="AWX109" s="19"/>
      <c r="AWY109" s="19"/>
      <c r="AWZ109" s="19"/>
      <c r="AXA109" s="19"/>
      <c r="AXB109" s="19"/>
      <c r="AXC109" s="19"/>
      <c r="AXD109" s="19"/>
      <c r="AXE109" s="19"/>
      <c r="AXF109" s="19"/>
      <c r="AXG109" s="19"/>
      <c r="AXH109" s="19"/>
      <c r="AXI109" s="19"/>
      <c r="AXJ109" s="19"/>
      <c r="AXK109" s="19"/>
      <c r="AXL109" s="19"/>
      <c r="AXM109" s="19"/>
      <c r="AXN109" s="19"/>
      <c r="AXO109" s="19"/>
      <c r="AXP109" s="19"/>
      <c r="AXQ109" s="19"/>
      <c r="AXR109" s="19"/>
      <c r="AXS109" s="19"/>
      <c r="AXT109" s="19"/>
      <c r="AXU109" s="19"/>
      <c r="AXV109" s="19"/>
      <c r="AXW109" s="19"/>
      <c r="AXX109" s="19"/>
      <c r="AXY109" s="19"/>
      <c r="AXZ109" s="19"/>
      <c r="AYA109" s="19"/>
      <c r="AYB109" s="19"/>
      <c r="AYC109" s="19"/>
      <c r="AYD109" s="19"/>
      <c r="AYE109" s="19"/>
      <c r="AYF109" s="19"/>
      <c r="AYG109" s="19"/>
      <c r="AYH109" s="19"/>
      <c r="AYI109" s="19"/>
      <c r="AYJ109" s="19"/>
      <c r="AYK109" s="19"/>
      <c r="AYL109" s="19"/>
      <c r="AYM109" s="19"/>
      <c r="AYN109" s="19"/>
      <c r="AYO109" s="19"/>
      <c r="AYP109" s="19"/>
      <c r="AYQ109" s="19"/>
      <c r="AYR109" s="19"/>
      <c r="AYS109" s="19"/>
      <c r="AYT109" s="19"/>
      <c r="AYU109" s="19"/>
      <c r="AYV109" s="19"/>
      <c r="AYW109" s="19"/>
      <c r="AYX109" s="19"/>
      <c r="AYY109" s="19"/>
      <c r="AYZ109" s="19"/>
      <c r="AZA109" s="19"/>
      <c r="AZB109" s="19"/>
      <c r="AZC109" s="19"/>
      <c r="AZD109" s="19"/>
      <c r="AZE109" s="19"/>
      <c r="AZF109" s="19"/>
      <c r="AZG109" s="19"/>
      <c r="AZH109" s="19"/>
      <c r="AZI109" s="19"/>
      <c r="AZJ109" s="19"/>
      <c r="AZK109" s="19"/>
      <c r="AZL109" s="19"/>
      <c r="AZM109" s="19"/>
      <c r="AZN109" s="19"/>
      <c r="AZO109" s="19"/>
      <c r="AZP109" s="19"/>
      <c r="AZQ109" s="19"/>
      <c r="AZR109" s="19"/>
      <c r="AZS109" s="19"/>
      <c r="AZT109" s="19"/>
      <c r="AZU109" s="19"/>
      <c r="AZV109" s="19"/>
      <c r="AZW109" s="19"/>
      <c r="AZX109" s="19"/>
      <c r="AZY109" s="19"/>
      <c r="AZZ109" s="19"/>
      <c r="BAA109" s="19"/>
      <c r="BAB109" s="19"/>
      <c r="BAC109" s="19"/>
      <c r="BAD109" s="19"/>
      <c r="BAE109" s="19"/>
      <c r="BAF109" s="19"/>
      <c r="BAG109" s="19"/>
      <c r="BAH109" s="19"/>
      <c r="BAI109" s="19"/>
      <c r="BAJ109" s="19"/>
      <c r="BAK109" s="19"/>
      <c r="BAL109" s="19"/>
      <c r="BAM109" s="19"/>
      <c r="BAN109" s="19"/>
      <c r="BAO109" s="19"/>
      <c r="BAP109" s="19"/>
      <c r="BAQ109" s="19"/>
      <c r="BAR109" s="19"/>
      <c r="BAS109" s="19"/>
      <c r="BAT109" s="19"/>
      <c r="BAU109" s="19"/>
      <c r="BAV109" s="19"/>
      <c r="BAW109" s="19"/>
      <c r="BAX109" s="19"/>
      <c r="BAY109" s="19"/>
      <c r="BAZ109" s="19"/>
      <c r="BBA109" s="19"/>
      <c r="BBB109" s="19"/>
      <c r="BBC109" s="19"/>
      <c r="BBD109" s="19"/>
      <c r="BBE109" s="19"/>
      <c r="BBF109" s="19"/>
      <c r="BBG109" s="19"/>
      <c r="BBH109" s="19"/>
      <c r="BBI109" s="19"/>
      <c r="BBJ109" s="19"/>
      <c r="BBK109" s="19"/>
      <c r="BBL109" s="19"/>
      <c r="BBM109" s="19"/>
      <c r="BBN109" s="19"/>
      <c r="BBO109" s="19"/>
      <c r="BBP109" s="19"/>
      <c r="BBQ109" s="19"/>
      <c r="BBR109" s="19"/>
      <c r="BBS109" s="19"/>
      <c r="BBT109" s="19"/>
      <c r="BBU109" s="19"/>
      <c r="BBV109" s="19"/>
      <c r="BBW109" s="19"/>
      <c r="BBX109" s="19"/>
      <c r="BBY109" s="19"/>
      <c r="BBZ109" s="19"/>
      <c r="BCA109" s="19"/>
      <c r="BCB109" s="19"/>
      <c r="BCC109" s="19"/>
      <c r="BCD109" s="19"/>
      <c r="BCE109" s="19"/>
      <c r="BCF109" s="19"/>
      <c r="BCG109" s="19"/>
      <c r="BCH109" s="19"/>
      <c r="BCI109" s="19"/>
      <c r="BCJ109" s="19"/>
      <c r="BCK109" s="19"/>
      <c r="BCL109" s="19"/>
      <c r="BCM109" s="19"/>
      <c r="BCN109" s="19"/>
      <c r="BCO109" s="19"/>
      <c r="BCP109" s="19"/>
      <c r="BCQ109" s="19"/>
      <c r="BCR109" s="19"/>
      <c r="BCS109" s="19"/>
      <c r="BCT109" s="19"/>
      <c r="BCU109" s="19"/>
      <c r="BCV109" s="19"/>
      <c r="BCW109" s="19"/>
      <c r="BCX109" s="19"/>
      <c r="BCY109" s="19"/>
      <c r="BCZ109" s="19"/>
      <c r="BDA109" s="19"/>
      <c r="BDB109" s="19"/>
      <c r="BDC109" s="19"/>
      <c r="BDD109" s="19"/>
      <c r="BDE109" s="19"/>
      <c r="BDF109" s="19"/>
      <c r="BDG109" s="19"/>
      <c r="BDH109" s="19"/>
      <c r="BDI109" s="19"/>
      <c r="BDJ109" s="19"/>
      <c r="BDK109" s="19"/>
      <c r="BDL109" s="19"/>
      <c r="BDM109" s="19"/>
      <c r="BDN109" s="19"/>
      <c r="BDO109" s="19"/>
      <c r="BDP109" s="19"/>
      <c r="BDQ109" s="19"/>
      <c r="BDR109" s="19"/>
      <c r="BDS109" s="19"/>
      <c r="BDT109" s="19"/>
      <c r="BDU109" s="19"/>
      <c r="BDV109" s="19"/>
      <c r="BDW109" s="19"/>
      <c r="BDX109" s="19"/>
      <c r="BDY109" s="19"/>
      <c r="BDZ109" s="19"/>
      <c r="BEA109" s="19"/>
      <c r="BEB109" s="19"/>
      <c r="BEC109" s="19"/>
      <c r="BED109" s="19"/>
      <c r="BEE109" s="19"/>
      <c r="BEF109" s="19"/>
      <c r="BEG109" s="19"/>
      <c r="BEH109" s="19"/>
      <c r="BEI109" s="19"/>
      <c r="BEJ109" s="19"/>
      <c r="BEK109" s="19"/>
      <c r="BEL109" s="19"/>
      <c r="BEM109" s="19"/>
      <c r="BEN109" s="19"/>
      <c r="BEO109" s="19"/>
      <c r="BEP109" s="19"/>
      <c r="BEQ109" s="19"/>
      <c r="BER109" s="19"/>
      <c r="BES109" s="19"/>
      <c r="BET109" s="19"/>
      <c r="BEU109" s="19"/>
      <c r="BEV109" s="19"/>
      <c r="BEW109" s="19"/>
      <c r="BEX109" s="19"/>
      <c r="BEY109" s="19"/>
      <c r="BEZ109" s="19"/>
      <c r="BFA109" s="19"/>
      <c r="BFB109" s="19"/>
      <c r="BFC109" s="19"/>
      <c r="BFD109" s="19"/>
      <c r="BFE109" s="19"/>
      <c r="BFF109" s="19"/>
      <c r="BFG109" s="19"/>
      <c r="BFH109" s="19"/>
      <c r="BFI109" s="19"/>
      <c r="BFJ109" s="19"/>
      <c r="BFK109" s="19"/>
      <c r="BFL109" s="19"/>
      <c r="BFM109" s="19"/>
      <c r="BFN109" s="19"/>
      <c r="BFO109" s="19"/>
      <c r="BFP109" s="19"/>
      <c r="BFQ109" s="19"/>
      <c r="BFR109" s="19"/>
      <c r="BFS109" s="19"/>
      <c r="BFT109" s="19"/>
      <c r="BFU109" s="19"/>
      <c r="BFV109" s="19"/>
      <c r="BFW109" s="19"/>
      <c r="BFX109" s="19"/>
      <c r="BFY109" s="19"/>
      <c r="BFZ109" s="19"/>
      <c r="BGA109" s="19"/>
      <c r="BGB109" s="19"/>
      <c r="BGC109" s="19"/>
      <c r="BGD109" s="19"/>
      <c r="BGE109" s="19"/>
      <c r="BGF109" s="19"/>
      <c r="BGG109" s="19"/>
      <c r="BGH109" s="19"/>
      <c r="BGI109" s="19"/>
      <c r="BGJ109" s="19"/>
      <c r="BGK109" s="19"/>
      <c r="BGL109" s="19"/>
      <c r="BGM109" s="19"/>
      <c r="BGN109" s="19"/>
      <c r="BGO109" s="19"/>
      <c r="BGP109" s="19"/>
      <c r="BGQ109" s="19"/>
      <c r="BGR109" s="19"/>
      <c r="BGS109" s="19"/>
      <c r="BGT109" s="19"/>
      <c r="BGU109" s="19"/>
      <c r="BGV109" s="19"/>
      <c r="BGW109" s="19"/>
      <c r="BGX109" s="19"/>
      <c r="BGY109" s="19"/>
      <c r="BGZ109" s="19"/>
      <c r="BHA109" s="19"/>
      <c r="BHB109" s="19"/>
      <c r="BHC109" s="19"/>
      <c r="BHD109" s="19"/>
      <c r="BHE109" s="19"/>
      <c r="BHF109" s="19"/>
      <c r="BHG109" s="19"/>
      <c r="BHH109" s="19"/>
      <c r="BHI109" s="19"/>
      <c r="BHJ109" s="19"/>
      <c r="BHK109" s="19"/>
      <c r="BHL109" s="19"/>
      <c r="BHM109" s="19"/>
      <c r="BHN109" s="19"/>
      <c r="BHO109" s="19"/>
      <c r="BHP109" s="19"/>
      <c r="BHQ109" s="19"/>
      <c r="BHR109" s="19"/>
      <c r="BHS109" s="19"/>
      <c r="BHT109" s="19"/>
      <c r="BHU109" s="19"/>
      <c r="BHV109" s="19"/>
      <c r="BHW109" s="19"/>
      <c r="BHX109" s="19"/>
      <c r="BHY109" s="19"/>
      <c r="BHZ109" s="19"/>
      <c r="BIA109" s="19"/>
      <c r="BIB109" s="19"/>
      <c r="BIC109" s="19"/>
      <c r="BID109" s="19"/>
      <c r="BIE109" s="19"/>
      <c r="BIF109" s="19"/>
      <c r="BIG109" s="19"/>
      <c r="BIH109" s="19"/>
      <c r="BII109" s="19"/>
      <c r="BIJ109" s="19"/>
      <c r="BIK109" s="19"/>
      <c r="BIL109" s="19"/>
      <c r="BIM109" s="19"/>
      <c r="BIN109" s="19"/>
      <c r="BIO109" s="19"/>
      <c r="BIP109" s="19"/>
      <c r="BIQ109" s="19"/>
      <c r="BIR109" s="19"/>
      <c r="BIS109" s="19"/>
      <c r="BIT109" s="19"/>
      <c r="BIU109" s="19"/>
      <c r="BIV109" s="19"/>
      <c r="BIW109" s="19"/>
      <c r="BIX109" s="19"/>
      <c r="BIY109" s="19"/>
      <c r="BIZ109" s="19"/>
      <c r="BJA109" s="19"/>
      <c r="BJB109" s="19"/>
      <c r="BJC109" s="19"/>
      <c r="BJD109" s="19"/>
      <c r="BJE109" s="19"/>
      <c r="BJF109" s="19"/>
      <c r="BJG109" s="19"/>
      <c r="BJH109" s="19"/>
      <c r="BJI109" s="19"/>
      <c r="BJJ109" s="19"/>
      <c r="BJK109" s="19"/>
      <c r="BJL109" s="19"/>
      <c r="BJM109" s="19"/>
      <c r="BJN109" s="19"/>
      <c r="BJO109" s="19"/>
      <c r="BJP109" s="19"/>
      <c r="BJQ109" s="19"/>
      <c r="BJR109" s="19"/>
      <c r="BJS109" s="19"/>
      <c r="BJT109" s="19"/>
      <c r="BJU109" s="19"/>
      <c r="BJV109" s="19"/>
      <c r="BJW109" s="19"/>
      <c r="BJX109" s="19"/>
      <c r="BJY109" s="19"/>
      <c r="BJZ109" s="19"/>
      <c r="BKA109" s="19"/>
      <c r="BKB109" s="19"/>
      <c r="BKC109" s="19"/>
      <c r="BKD109" s="19"/>
      <c r="BKE109" s="19"/>
      <c r="BKF109" s="19"/>
      <c r="BKG109" s="19"/>
      <c r="BKH109" s="19"/>
      <c r="BKI109" s="19"/>
      <c r="BKJ109" s="19"/>
      <c r="BKK109" s="19"/>
      <c r="BKL109" s="19"/>
      <c r="BKM109" s="19"/>
      <c r="BKN109" s="19"/>
      <c r="BKO109" s="19"/>
      <c r="BKP109" s="19"/>
      <c r="BKQ109" s="19"/>
      <c r="BKR109" s="19"/>
      <c r="BKS109" s="19"/>
      <c r="BKT109" s="19"/>
      <c r="BKU109" s="19"/>
      <c r="BKV109" s="19"/>
      <c r="BKW109" s="19"/>
      <c r="BKX109" s="19"/>
      <c r="BKY109" s="19"/>
      <c r="BKZ109" s="19"/>
      <c r="BLA109" s="19"/>
      <c r="BLB109" s="19"/>
      <c r="BLC109" s="19"/>
      <c r="BLD109" s="19"/>
      <c r="BLE109" s="19"/>
      <c r="BLF109" s="19"/>
      <c r="BLG109" s="19"/>
      <c r="BLH109" s="19"/>
      <c r="BLI109" s="19"/>
      <c r="BLJ109" s="19"/>
      <c r="BLK109" s="19"/>
      <c r="BLL109" s="19"/>
      <c r="BLM109" s="19"/>
      <c r="BLN109" s="19"/>
      <c r="BLO109" s="19"/>
      <c r="BLP109" s="19"/>
      <c r="BLQ109" s="19"/>
      <c r="BLR109" s="19"/>
      <c r="BLS109" s="19"/>
      <c r="BLT109" s="19"/>
      <c r="BLU109" s="19"/>
      <c r="BLV109" s="19"/>
      <c r="BLW109" s="19"/>
      <c r="BLX109" s="19"/>
      <c r="BLY109" s="19"/>
      <c r="BLZ109" s="19"/>
      <c r="BMA109" s="19"/>
      <c r="BMB109" s="19"/>
      <c r="BMC109" s="19"/>
      <c r="BMD109" s="19"/>
      <c r="BME109" s="19"/>
      <c r="BMF109" s="19"/>
      <c r="BMG109" s="19"/>
      <c r="BMH109" s="19"/>
      <c r="BMI109" s="19"/>
      <c r="BMJ109" s="19"/>
      <c r="BMK109" s="19"/>
      <c r="BML109" s="19"/>
      <c r="BMM109" s="19"/>
      <c r="BMN109" s="19"/>
      <c r="BMO109" s="19"/>
      <c r="BMP109" s="19"/>
      <c r="BMQ109" s="19"/>
      <c r="BMR109" s="19"/>
      <c r="BMS109" s="19"/>
      <c r="BMT109" s="19"/>
      <c r="BMU109" s="19"/>
      <c r="BMV109" s="19"/>
      <c r="BMW109" s="19"/>
      <c r="BMX109" s="19"/>
      <c r="BMY109" s="19"/>
      <c r="BMZ109" s="19"/>
      <c r="BNA109" s="19"/>
      <c r="BNB109" s="19"/>
      <c r="BNC109" s="19"/>
      <c r="BND109" s="19"/>
      <c r="BNE109" s="19"/>
      <c r="BNF109" s="19"/>
      <c r="BNG109" s="19"/>
      <c r="BNH109" s="19"/>
      <c r="BNI109" s="19"/>
      <c r="BNJ109" s="19"/>
      <c r="BNK109" s="19"/>
      <c r="BNL109" s="19"/>
      <c r="BNM109" s="19"/>
      <c r="BNN109" s="19"/>
      <c r="BNO109" s="19"/>
      <c r="BNP109" s="19"/>
      <c r="BNQ109" s="19"/>
      <c r="BNR109" s="19"/>
      <c r="BNS109" s="19"/>
      <c r="BNT109" s="19"/>
      <c r="BNU109" s="19"/>
      <c r="BNV109" s="19"/>
      <c r="BNW109" s="19"/>
      <c r="BNX109" s="19"/>
      <c r="BNY109" s="19"/>
      <c r="BNZ109" s="19"/>
      <c r="BOA109" s="19"/>
      <c r="BOB109" s="19"/>
      <c r="BOC109" s="19"/>
      <c r="BOD109" s="19"/>
      <c r="BOE109" s="19"/>
      <c r="BOF109" s="19"/>
      <c r="BOG109" s="19"/>
      <c r="BOH109" s="19"/>
      <c r="BOI109" s="19"/>
      <c r="BOJ109" s="19"/>
      <c r="BOK109" s="19"/>
      <c r="BOL109" s="19"/>
      <c r="BOM109" s="19"/>
      <c r="BON109" s="19"/>
      <c r="BOO109" s="19"/>
      <c r="BOP109" s="19"/>
      <c r="BOQ109" s="19"/>
      <c r="BOR109" s="19"/>
      <c r="BOS109" s="19"/>
      <c r="BOT109" s="19"/>
      <c r="BOU109" s="19"/>
      <c r="BOV109" s="19"/>
      <c r="BOW109" s="19"/>
      <c r="BOX109" s="19"/>
      <c r="BOY109" s="19"/>
      <c r="BOZ109" s="19"/>
      <c r="BPA109" s="19"/>
      <c r="BPB109" s="19"/>
      <c r="BPC109" s="19"/>
      <c r="BPD109" s="19"/>
      <c r="BPE109" s="19"/>
      <c r="BPF109" s="19"/>
      <c r="BPG109" s="19"/>
      <c r="BPH109" s="19"/>
      <c r="BPI109" s="19"/>
      <c r="BPJ109" s="19"/>
      <c r="BPK109" s="19"/>
      <c r="BPL109" s="19"/>
      <c r="BPM109" s="19"/>
      <c r="BPN109" s="19"/>
      <c r="BPO109" s="19"/>
      <c r="BPP109" s="19"/>
      <c r="BPQ109" s="19"/>
      <c r="BPR109" s="19"/>
      <c r="BPS109" s="19"/>
      <c r="BPT109" s="19"/>
      <c r="BPU109" s="19"/>
      <c r="BPV109" s="19"/>
      <c r="BPW109" s="19"/>
      <c r="BPX109" s="19"/>
      <c r="BPY109" s="19"/>
      <c r="BPZ109" s="19"/>
      <c r="BQA109" s="19"/>
      <c r="BQB109" s="19"/>
      <c r="BQC109" s="19"/>
      <c r="BQD109" s="19"/>
      <c r="BQE109" s="19"/>
      <c r="BQF109" s="19"/>
      <c r="BQG109" s="19"/>
      <c r="BQH109" s="19"/>
      <c r="BQI109" s="19"/>
      <c r="BQJ109" s="19"/>
      <c r="BQK109" s="19"/>
      <c r="BQL109" s="19"/>
      <c r="BQM109" s="19"/>
      <c r="BQN109" s="19"/>
      <c r="BQO109" s="19"/>
      <c r="BQP109" s="19"/>
      <c r="BQQ109" s="19"/>
      <c r="BQR109" s="19"/>
      <c r="BQS109" s="19"/>
      <c r="BQT109" s="19"/>
      <c r="BQU109" s="19"/>
      <c r="BQV109" s="19"/>
      <c r="BQW109" s="19"/>
      <c r="BQX109" s="19"/>
      <c r="BQY109" s="19"/>
      <c r="BQZ109" s="19"/>
      <c r="BRA109" s="19"/>
      <c r="BRB109" s="19"/>
      <c r="BRC109" s="19"/>
      <c r="BRD109" s="19"/>
      <c r="BRE109" s="19"/>
      <c r="BRF109" s="19"/>
      <c r="BRG109" s="19"/>
      <c r="BRH109" s="19"/>
      <c r="BRI109" s="19"/>
      <c r="BRJ109" s="19"/>
      <c r="BRK109" s="19"/>
      <c r="BRL109" s="19"/>
      <c r="BRM109" s="19"/>
      <c r="BRN109" s="19"/>
      <c r="BRO109" s="19"/>
      <c r="BRP109" s="19"/>
      <c r="BRQ109" s="19"/>
      <c r="BRR109" s="19"/>
      <c r="BRS109" s="19"/>
      <c r="BRT109" s="19"/>
      <c r="BRU109" s="19"/>
      <c r="BRV109" s="19"/>
      <c r="BRW109" s="19"/>
      <c r="BRX109" s="19"/>
      <c r="BRY109" s="19"/>
      <c r="BRZ109" s="19"/>
      <c r="BSA109" s="19"/>
      <c r="BSB109" s="19"/>
      <c r="BSC109" s="19"/>
      <c r="BSD109" s="19"/>
      <c r="BSE109" s="19"/>
      <c r="BSF109" s="19"/>
      <c r="BSG109" s="19"/>
      <c r="BSH109" s="19"/>
      <c r="BSI109" s="19"/>
      <c r="BSJ109" s="19"/>
      <c r="BSK109" s="19"/>
      <c r="BSL109" s="19"/>
      <c r="BSM109" s="19"/>
      <c r="BSN109" s="19"/>
      <c r="BSO109" s="19"/>
      <c r="BSP109" s="19"/>
      <c r="BSQ109" s="19"/>
      <c r="BSR109" s="19"/>
      <c r="BSS109" s="19"/>
      <c r="BST109" s="19"/>
      <c r="BSU109" s="19"/>
      <c r="BSV109" s="19"/>
      <c r="BSW109" s="19"/>
      <c r="BSX109" s="19"/>
      <c r="BSY109" s="19"/>
      <c r="BSZ109" s="19"/>
      <c r="BTA109" s="19"/>
      <c r="BTB109" s="19"/>
      <c r="BTC109" s="19"/>
      <c r="BTD109" s="19"/>
      <c r="BTE109" s="19"/>
      <c r="BTF109" s="19"/>
      <c r="BTG109" s="19"/>
      <c r="BTH109" s="19"/>
      <c r="BTI109" s="19"/>
      <c r="BTJ109" s="19"/>
      <c r="BTK109" s="19"/>
      <c r="BTL109" s="19"/>
      <c r="BTM109" s="19"/>
      <c r="BTN109" s="19"/>
      <c r="BTO109" s="19"/>
      <c r="BTP109" s="19"/>
      <c r="BTQ109" s="19"/>
      <c r="BTR109" s="19"/>
      <c r="BTS109" s="19"/>
      <c r="BTT109" s="19"/>
      <c r="BTU109" s="19"/>
      <c r="BTV109" s="19"/>
      <c r="BTW109" s="19"/>
      <c r="BTX109" s="19"/>
      <c r="BTY109" s="19"/>
      <c r="BTZ109" s="19"/>
      <c r="BUA109" s="19"/>
      <c r="BUB109" s="19"/>
      <c r="BUC109" s="19"/>
      <c r="BUD109" s="19"/>
      <c r="BUE109" s="19"/>
      <c r="BUF109" s="19"/>
      <c r="BUG109" s="19"/>
      <c r="BUH109" s="19"/>
      <c r="BUI109" s="19"/>
      <c r="BUJ109" s="19"/>
      <c r="BUK109" s="19"/>
      <c r="BUL109" s="19"/>
      <c r="BUM109" s="19"/>
      <c r="BUN109" s="19"/>
      <c r="BUO109" s="19"/>
      <c r="BUP109" s="19"/>
      <c r="BUQ109" s="19"/>
      <c r="BUR109" s="19"/>
      <c r="BUS109" s="19"/>
      <c r="BUT109" s="19"/>
      <c r="BUU109" s="19"/>
      <c r="BUV109" s="19"/>
      <c r="BUW109" s="19"/>
      <c r="BUX109" s="19"/>
      <c r="BUY109" s="19"/>
      <c r="BUZ109" s="19"/>
      <c r="BVA109" s="19"/>
      <c r="BVB109" s="19"/>
      <c r="BVC109" s="19"/>
      <c r="BVD109" s="19"/>
      <c r="BVE109" s="19"/>
      <c r="BVF109" s="19"/>
      <c r="BVG109" s="19"/>
      <c r="BVH109" s="19"/>
      <c r="BVI109" s="19"/>
      <c r="BVJ109" s="19"/>
      <c r="BVK109" s="19"/>
      <c r="BVL109" s="19"/>
      <c r="BVM109" s="19"/>
      <c r="BVN109" s="19"/>
      <c r="BVO109" s="19"/>
      <c r="BVP109" s="19"/>
      <c r="BVQ109" s="19"/>
      <c r="BVR109" s="19"/>
      <c r="BVS109" s="19"/>
      <c r="BVT109" s="19"/>
      <c r="BVU109" s="19"/>
      <c r="BVV109" s="19"/>
      <c r="BVW109" s="19"/>
      <c r="BVX109" s="19"/>
      <c r="BVY109" s="19"/>
      <c r="BVZ109" s="19"/>
      <c r="BWA109" s="19"/>
      <c r="BWB109" s="19"/>
      <c r="BWC109" s="19"/>
      <c r="BWD109" s="19"/>
      <c r="BWE109" s="19"/>
      <c r="BWF109" s="19"/>
      <c r="BWG109" s="19"/>
      <c r="BWH109" s="19"/>
      <c r="BWI109" s="19"/>
      <c r="BWJ109" s="19"/>
      <c r="BWK109" s="19"/>
      <c r="BWL109" s="19"/>
      <c r="BWM109" s="19"/>
      <c r="BWN109" s="19"/>
      <c r="BWO109" s="19"/>
      <c r="BWP109" s="19"/>
      <c r="BWQ109" s="19"/>
      <c r="BWR109" s="19"/>
      <c r="BWS109" s="19"/>
      <c r="BWT109" s="19"/>
      <c r="BWU109" s="19"/>
      <c r="BWV109" s="19"/>
      <c r="BWW109" s="19"/>
      <c r="BWX109" s="19"/>
      <c r="BWY109" s="19"/>
      <c r="BWZ109" s="19"/>
      <c r="BXA109" s="19"/>
      <c r="BXB109" s="19"/>
      <c r="BXC109" s="19"/>
      <c r="BXD109" s="19"/>
      <c r="BXE109" s="19"/>
      <c r="BXF109" s="19"/>
      <c r="BXG109" s="19"/>
      <c r="BXH109" s="19"/>
      <c r="BXI109" s="19"/>
      <c r="BXJ109" s="19"/>
      <c r="BXK109" s="19"/>
      <c r="BXL109" s="19"/>
      <c r="BXM109" s="19"/>
      <c r="BXN109" s="19"/>
      <c r="BXO109" s="19"/>
      <c r="BXP109" s="19"/>
      <c r="BXQ109" s="19"/>
      <c r="BXR109" s="19"/>
      <c r="BXS109" s="19"/>
      <c r="BXT109" s="19"/>
      <c r="BXU109" s="19"/>
      <c r="BXV109" s="19"/>
      <c r="BXW109" s="19"/>
      <c r="BXX109" s="19"/>
      <c r="BXY109" s="19"/>
      <c r="BXZ109" s="19"/>
      <c r="BYA109" s="19"/>
      <c r="BYB109" s="19"/>
      <c r="BYC109" s="19"/>
      <c r="BYD109" s="19"/>
      <c r="BYE109" s="19"/>
      <c r="BYF109" s="19"/>
      <c r="BYG109" s="19"/>
      <c r="BYH109" s="19"/>
      <c r="BYI109" s="19"/>
      <c r="BYJ109" s="19"/>
      <c r="BYK109" s="19"/>
      <c r="BYL109" s="19"/>
      <c r="BYM109" s="19"/>
      <c r="BYN109" s="19"/>
      <c r="BYO109" s="19"/>
      <c r="BYP109" s="19"/>
      <c r="BYQ109" s="19"/>
      <c r="BYR109" s="19"/>
      <c r="BYS109" s="19"/>
      <c r="BYT109" s="19"/>
      <c r="BYU109" s="19"/>
      <c r="BYV109" s="19"/>
      <c r="BYW109" s="19"/>
      <c r="BYX109" s="19"/>
      <c r="BYY109" s="19"/>
      <c r="BYZ109" s="19"/>
      <c r="BZA109" s="19"/>
      <c r="BZB109" s="19"/>
      <c r="BZC109" s="19"/>
      <c r="BZD109" s="19"/>
      <c r="BZE109" s="19"/>
      <c r="BZF109" s="19"/>
      <c r="BZG109" s="19"/>
      <c r="BZH109" s="19"/>
      <c r="BZI109" s="19"/>
      <c r="BZJ109" s="19"/>
      <c r="BZK109" s="19"/>
      <c r="BZL109" s="19"/>
      <c r="BZM109" s="19"/>
      <c r="BZN109" s="19"/>
      <c r="BZO109" s="19"/>
      <c r="BZP109" s="19"/>
      <c r="BZQ109" s="19"/>
      <c r="BZR109" s="19"/>
      <c r="BZS109" s="19"/>
      <c r="BZT109" s="19"/>
      <c r="BZU109" s="19"/>
      <c r="BZV109" s="19"/>
      <c r="BZW109" s="19"/>
      <c r="BZX109" s="19"/>
      <c r="BZY109" s="19"/>
      <c r="BZZ109" s="19"/>
      <c r="CAA109" s="19"/>
      <c r="CAB109" s="19"/>
      <c r="CAC109" s="19"/>
      <c r="CAD109" s="19"/>
      <c r="CAE109" s="19"/>
      <c r="CAF109" s="19"/>
      <c r="CAG109" s="19"/>
      <c r="CAH109" s="19"/>
      <c r="CAI109" s="19"/>
      <c r="CAJ109" s="19"/>
      <c r="CAK109" s="19"/>
      <c r="CAL109" s="19"/>
      <c r="CAM109" s="19"/>
      <c r="CAN109" s="19"/>
      <c r="CAO109" s="19"/>
      <c r="CAP109" s="19"/>
      <c r="CAQ109" s="19"/>
      <c r="CAR109" s="19"/>
      <c r="CAS109" s="19"/>
      <c r="CAT109" s="19"/>
      <c r="CAU109" s="19"/>
      <c r="CAV109" s="19"/>
      <c r="CAW109" s="19"/>
      <c r="CAX109" s="19"/>
      <c r="CAY109" s="19"/>
      <c r="CAZ109" s="19"/>
      <c r="CBF109" s="19"/>
      <c r="CBG109" s="19"/>
      <c r="CBH109" s="19"/>
      <c r="CBI109" s="19"/>
      <c r="CBJ109" s="19"/>
      <c r="CBK109" s="19"/>
      <c r="CBL109" s="19"/>
      <c r="CBM109" s="19"/>
      <c r="CBN109" s="19"/>
      <c r="CBO109" s="19"/>
      <c r="CBP109" s="19"/>
      <c r="CBQ109" s="19"/>
      <c r="CBR109" s="19"/>
      <c r="CBS109" s="19"/>
      <c r="CBT109" s="19"/>
      <c r="CBU109" s="19"/>
      <c r="CBV109" s="19"/>
      <c r="CBW109" s="19"/>
      <c r="CBX109" s="19"/>
      <c r="CBY109" s="19"/>
      <c r="CBZ109" s="19"/>
      <c r="CCA109" s="19"/>
      <c r="CCB109" s="19"/>
      <c r="CCC109" s="19"/>
      <c r="CCD109" s="19"/>
      <c r="CCE109" s="19"/>
      <c r="CCF109" s="19"/>
      <c r="CCG109" s="19"/>
      <c r="CCH109" s="19"/>
      <c r="CCI109" s="19"/>
      <c r="CCJ109" s="19"/>
      <c r="CCK109" s="19"/>
      <c r="CCL109" s="19"/>
      <c r="CCM109" s="19"/>
      <c r="CCN109" s="19"/>
      <c r="CCO109" s="19"/>
      <c r="CCP109" s="19"/>
      <c r="CCQ109" s="19"/>
      <c r="CCR109" s="19"/>
      <c r="CCS109" s="19"/>
      <c r="CCT109" s="19"/>
      <c r="CCU109" s="19"/>
      <c r="CCV109" s="19"/>
      <c r="CCW109" s="19"/>
      <c r="CCX109" s="19"/>
      <c r="CCY109" s="19"/>
      <c r="CCZ109" s="19"/>
      <c r="CDA109" s="19"/>
      <c r="CDB109" s="19"/>
      <c r="CDC109" s="19"/>
      <c r="CDD109" s="19"/>
      <c r="CDE109" s="19"/>
      <c r="CDF109" s="19"/>
      <c r="CDG109" s="19"/>
      <c r="CDH109" s="19"/>
      <c r="CDI109" s="19"/>
      <c r="CDJ109" s="19"/>
      <c r="CDK109" s="19"/>
      <c r="CDL109" s="19"/>
      <c r="CDM109" s="19"/>
      <c r="CDN109" s="19"/>
      <c r="CDO109" s="19"/>
      <c r="CDP109" s="19"/>
      <c r="CDQ109" s="19"/>
      <c r="CDR109" s="19"/>
      <c r="CDS109" s="19"/>
      <c r="CDT109" s="19"/>
      <c r="CDU109" s="19"/>
      <c r="CDV109" s="19"/>
      <c r="CDW109" s="19"/>
      <c r="CDX109" s="19"/>
      <c r="CDY109" s="19"/>
      <c r="CDZ109" s="19"/>
      <c r="CEA109" s="19"/>
      <c r="CEB109" s="19"/>
      <c r="CEC109" s="19"/>
      <c r="CED109" s="19"/>
      <c r="CEE109" s="19"/>
    </row>
    <row r="110" spans="1:2297 10881:10881" ht="16.05" customHeight="1">
      <c r="A110" s="19" t="s">
        <v>686</v>
      </c>
      <c r="B110" s="19" t="s">
        <v>746</v>
      </c>
      <c r="C110" s="643"/>
      <c r="D110" s="428" t="str">
        <f t="shared" ca="1" si="279"/>
        <v>Catar</v>
      </c>
      <c r="E110" s="643" t="s">
        <v>6</v>
      </c>
      <c r="F110" s="643" t="s">
        <v>740</v>
      </c>
      <c r="G110" s="424" t="s">
        <v>5</v>
      </c>
      <c r="H110" s="624">
        <f t="shared" ca="1" si="280"/>
        <v>12</v>
      </c>
      <c r="I110" s="10"/>
      <c r="J110" s="19">
        <v>82</v>
      </c>
      <c r="K110" s="439">
        <v>46204.75</v>
      </c>
      <c r="L110" s="19" t="s">
        <v>713</v>
      </c>
      <c r="M110" s="19" t="str">
        <f t="shared" ca="1" si="281"/>
        <v>Bélgica</v>
      </c>
      <c r="N110" s="19"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PO D: DEN/MKD/CZE/IRL</v>
      </c>
      <c r="O110" s="19"/>
      <c r="P110" s="19"/>
      <c r="Q110" s="19"/>
      <c r="R110" s="19"/>
      <c r="S110" s="19"/>
      <c r="T110" s="19"/>
      <c r="U110" s="19"/>
      <c r="V110" s="20"/>
      <c r="W110" s="671"/>
      <c r="X110" s="27">
        <f ca="1">Horarios!C110</f>
        <v>46205.083333333336</v>
      </c>
      <c r="Y110" s="28">
        <f ca="1">Horarios!C110</f>
        <v>46205.083333333336</v>
      </c>
      <c r="Z110" s="289">
        <f t="shared" si="286"/>
        <v>81</v>
      </c>
      <c r="AA110" s="96" t="str">
        <f t="shared" ca="1" si="282"/>
        <v>Estados Unidos</v>
      </c>
      <c r="AB110" s="97"/>
      <c r="AC110" s="100">
        <v>0</v>
      </c>
      <c r="AD110" s="100">
        <v>1</v>
      </c>
      <c r="AE110" s="97"/>
      <c r="AF110" s="99" t="str">
        <f t="shared" ca="1" si="283"/>
        <v>Catar</v>
      </c>
      <c r="AG110" s="339">
        <f t="shared" ca="1" si="284"/>
        <v>1</v>
      </c>
      <c r="AH110" s="204">
        <v>81</v>
      </c>
      <c r="AI110" s="191">
        <v>9</v>
      </c>
      <c r="AJ110" s="46">
        <v>9</v>
      </c>
      <c r="AK110" s="40" t="str">
        <f ca="1">IFERROR(INDEX(Equipos!$L$2:$L$49,MATCH(WORLDCUP!AL110,Equipos!$K$2:$K$49,0)),"")</f>
        <v>🇦🇺</v>
      </c>
      <c r="AL110" s="93" t="str">
        <f t="shared" ca="1" si="287"/>
        <v>Australia</v>
      </c>
      <c r="AM110" s="334">
        <f t="shared" ca="1" si="288"/>
        <v>2</v>
      </c>
      <c r="AN110" s="94">
        <f t="shared" ca="1" si="288"/>
        <v>3</v>
      </c>
      <c r="AO110" s="94">
        <f t="shared" ca="1" si="288"/>
        <v>0</v>
      </c>
      <c r="AP110" s="94">
        <f t="shared" ca="1" si="288"/>
        <v>2</v>
      </c>
      <c r="AQ110" s="94">
        <f t="shared" ca="1" si="288"/>
        <v>1</v>
      </c>
      <c r="AR110" s="94">
        <f t="shared" ca="1" si="288"/>
        <v>1</v>
      </c>
      <c r="AS110" s="94">
        <f t="shared" ca="1" si="288"/>
        <v>3</v>
      </c>
      <c r="AT110" s="95">
        <f t="shared" ca="1" si="288"/>
        <v>-2</v>
      </c>
      <c r="AU110" s="342">
        <f t="shared" ca="1" si="289"/>
        <v>1</v>
      </c>
      <c r="AV110" s="191" t="str">
        <f t="shared" ca="1" si="290"/>
        <v>Australia</v>
      </c>
      <c r="AW110" s="224"/>
      <c r="AX110" s="178"/>
      <c r="AY110" s="285"/>
      <c r="AZ110" s="288" t="str">
        <f t="shared" ca="1" si="291"/>
        <v>1L - 3I</v>
      </c>
      <c r="BA110" s="155"/>
      <c r="BB110" s="19"/>
      <c r="BC110" s="19"/>
      <c r="BD110" s="19"/>
      <c r="BF110" s="19" t="str">
        <f t="shared" ca="1" si="292"/>
        <v>G</v>
      </c>
      <c r="BG110" s="19">
        <f t="shared" ca="1" si="293"/>
        <v>5</v>
      </c>
      <c r="BH110" s="19"/>
      <c r="BI110" s="10">
        <v>8</v>
      </c>
      <c r="BJ110" s="19" t="str">
        <f t="shared" ca="1" si="294"/>
        <v>L</v>
      </c>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19"/>
      <c r="MI110" s="19"/>
      <c r="MJ110" s="19"/>
      <c r="MK110" s="19"/>
      <c r="ML110" s="19"/>
      <c r="MM110" s="19"/>
      <c r="MN110" s="19"/>
      <c r="MO110" s="19"/>
      <c r="MP110" s="19"/>
      <c r="MQ110" s="19"/>
      <c r="MR110" s="19"/>
      <c r="MS110" s="19"/>
      <c r="MT110" s="19"/>
      <c r="MU110" s="19"/>
      <c r="MV110" s="19"/>
      <c r="MW110" s="19"/>
      <c r="MX110" s="19"/>
      <c r="MY110" s="19"/>
      <c r="MZ110" s="19"/>
      <c r="NA110" s="19"/>
      <c r="NB110" s="19"/>
      <c r="NC110" s="19"/>
      <c r="ND110" s="19"/>
      <c r="NE110" s="19"/>
      <c r="NF110" s="19"/>
      <c r="NG110" s="19"/>
      <c r="NH110" s="19"/>
      <c r="NI110" s="19"/>
      <c r="NJ110" s="19"/>
      <c r="NK110" s="19"/>
      <c r="NL110" s="19"/>
      <c r="NM110" s="19"/>
      <c r="NN110" s="19"/>
      <c r="NO110" s="19"/>
      <c r="NP110" s="19"/>
      <c r="NQ110" s="19"/>
      <c r="NR110" s="19"/>
      <c r="NS110" s="19"/>
      <c r="NT110" s="19"/>
      <c r="NU110" s="19"/>
      <c r="NV110" s="19"/>
      <c r="NW110" s="19"/>
      <c r="NX110" s="19"/>
      <c r="NY110" s="19"/>
      <c r="NZ110" s="19"/>
      <c r="OA110" s="19"/>
      <c r="OB110" s="19"/>
      <c r="OC110" s="19"/>
      <c r="OD110" s="19"/>
      <c r="OE110" s="19"/>
      <c r="OF110" s="19"/>
      <c r="OG110" s="19"/>
      <c r="OH110" s="19"/>
      <c r="OI110" s="19"/>
      <c r="OJ110" s="19"/>
      <c r="OK110" s="19"/>
      <c r="OL110" s="19"/>
      <c r="OM110" s="19"/>
      <c r="ON110" s="19"/>
      <c r="OO110" s="19"/>
      <c r="OP110" s="19"/>
      <c r="OQ110" s="19"/>
      <c r="OR110" s="19"/>
      <c r="OS110" s="19"/>
      <c r="OT110" s="19"/>
      <c r="OU110" s="19"/>
      <c r="OV110" s="19"/>
      <c r="OW110" s="19"/>
      <c r="OX110" s="19"/>
      <c r="OY110" s="19"/>
      <c r="OZ110" s="19"/>
      <c r="PA110" s="19"/>
      <c r="PB110" s="19"/>
      <c r="PC110" s="19"/>
      <c r="PD110" s="19"/>
      <c r="PE110" s="19"/>
      <c r="PF110" s="19"/>
      <c r="PG110" s="19"/>
      <c r="PH110" s="19"/>
      <c r="PI110" s="19"/>
      <c r="PJ110" s="19"/>
      <c r="PK110" s="19"/>
      <c r="PL110" s="19"/>
      <c r="PM110" s="19"/>
      <c r="PN110" s="19"/>
      <c r="PO110" s="19"/>
      <c r="PP110" s="19"/>
      <c r="PQ110" s="19"/>
      <c r="PR110" s="19"/>
      <c r="PS110" s="19"/>
      <c r="PT110" s="19"/>
      <c r="PU110" s="19"/>
      <c r="PV110" s="19"/>
      <c r="PW110" s="19"/>
      <c r="PX110" s="19"/>
      <c r="PY110" s="19"/>
      <c r="PZ110" s="19"/>
      <c r="QA110" s="19"/>
      <c r="QB110" s="19"/>
      <c r="QC110" s="19"/>
      <c r="QD110" s="19"/>
      <c r="QE110" s="19"/>
      <c r="QF110" s="19"/>
      <c r="QG110" s="19"/>
      <c r="QH110" s="19"/>
      <c r="QI110" s="19"/>
      <c r="QJ110" s="19"/>
      <c r="QK110" s="19"/>
      <c r="QL110" s="19"/>
      <c r="QM110" s="19"/>
      <c r="QN110" s="19"/>
      <c r="QO110" s="19"/>
      <c r="QP110" s="19"/>
      <c r="QQ110" s="19"/>
      <c r="QR110" s="19"/>
      <c r="QS110" s="19"/>
      <c r="QT110" s="19"/>
      <c r="QU110" s="19"/>
      <c r="QV110" s="19"/>
      <c r="QW110" s="19"/>
      <c r="QX110" s="19"/>
      <c r="QY110" s="19"/>
      <c r="QZ110" s="19"/>
      <c r="RA110" s="19"/>
      <c r="RB110" s="19"/>
      <c r="RC110" s="19"/>
      <c r="RD110" s="19"/>
      <c r="RE110" s="19"/>
      <c r="RF110" s="19"/>
      <c r="RG110" s="19"/>
      <c r="RH110" s="19"/>
      <c r="RI110" s="19"/>
      <c r="RJ110" s="19"/>
      <c r="RK110" s="19"/>
      <c r="RL110" s="19"/>
      <c r="RM110" s="19"/>
      <c r="RN110" s="19"/>
      <c r="RO110" s="19"/>
      <c r="RP110" s="19"/>
      <c r="RQ110" s="19"/>
      <c r="RR110" s="19"/>
      <c r="RS110" s="19"/>
      <c r="RT110" s="19"/>
      <c r="RU110" s="19"/>
      <c r="RV110" s="19"/>
      <c r="RW110" s="19"/>
      <c r="RX110" s="19"/>
      <c r="RY110" s="19"/>
      <c r="RZ110" s="19"/>
      <c r="SA110" s="19"/>
      <c r="SB110" s="19"/>
      <c r="SC110" s="19"/>
      <c r="SD110" s="19"/>
      <c r="SE110" s="19"/>
      <c r="SF110" s="19"/>
      <c r="SG110" s="19"/>
      <c r="SH110" s="19"/>
      <c r="SI110" s="19"/>
      <c r="SJ110" s="19"/>
      <c r="SK110" s="19"/>
      <c r="SL110" s="19"/>
      <c r="SM110" s="19"/>
      <c r="SN110" s="19"/>
      <c r="SO110" s="19"/>
      <c r="SP110" s="19"/>
      <c r="SQ110" s="19"/>
      <c r="SR110" s="19"/>
      <c r="SS110" s="19"/>
      <c r="ST110" s="19"/>
      <c r="SU110" s="19"/>
      <c r="SV110" s="19"/>
      <c r="SW110" s="19"/>
      <c r="SX110" s="19"/>
      <c r="SY110" s="19"/>
      <c r="SZ110" s="19"/>
      <c r="TA110" s="19"/>
      <c r="TB110" s="19"/>
      <c r="TC110" s="19"/>
      <c r="TD110" s="19"/>
      <c r="TE110" s="19"/>
      <c r="TF110" s="19"/>
      <c r="TG110" s="19"/>
      <c r="TH110" s="19"/>
      <c r="TI110" s="19"/>
      <c r="TJ110" s="19"/>
      <c r="TK110" s="19"/>
      <c r="TL110" s="19"/>
      <c r="TM110" s="19"/>
      <c r="TN110" s="19"/>
      <c r="TO110" s="19"/>
      <c r="TP110" s="19"/>
      <c r="TQ110" s="19"/>
      <c r="TR110" s="19"/>
      <c r="TS110" s="19"/>
      <c r="TT110" s="19"/>
      <c r="TU110" s="19"/>
      <c r="TV110" s="19"/>
      <c r="TW110" s="19"/>
      <c r="TX110" s="19"/>
      <c r="TY110" s="19"/>
      <c r="TZ110" s="19"/>
      <c r="UA110" s="19"/>
      <c r="UB110" s="19"/>
      <c r="UC110" s="19"/>
      <c r="UD110" s="19"/>
      <c r="UE110" s="19"/>
      <c r="UF110" s="19"/>
      <c r="UG110" s="19"/>
      <c r="UH110" s="19"/>
      <c r="UI110" s="19"/>
      <c r="UJ110" s="19"/>
      <c r="UK110" s="19"/>
      <c r="UL110" s="19"/>
      <c r="UM110" s="19"/>
      <c r="UN110" s="19"/>
      <c r="UO110" s="19"/>
      <c r="UP110" s="19"/>
      <c r="UQ110" s="19"/>
      <c r="UR110" s="19"/>
      <c r="US110" s="19"/>
      <c r="UT110" s="19"/>
      <c r="UU110" s="19"/>
      <c r="UV110" s="19"/>
      <c r="UW110" s="19"/>
      <c r="UX110" s="19"/>
      <c r="UY110" s="19"/>
      <c r="UZ110" s="19"/>
      <c r="VA110" s="19"/>
      <c r="VB110" s="19"/>
      <c r="VC110" s="19"/>
      <c r="VD110" s="19"/>
      <c r="VE110" s="19"/>
      <c r="VF110" s="19"/>
      <c r="VG110" s="19"/>
      <c r="VH110" s="19"/>
      <c r="VI110" s="19"/>
      <c r="VJ110" s="19"/>
      <c r="VK110" s="19"/>
      <c r="VL110" s="19"/>
      <c r="VM110" s="19"/>
      <c r="VN110" s="19"/>
      <c r="VO110" s="19"/>
      <c r="VP110" s="19"/>
      <c r="VQ110" s="19"/>
      <c r="VR110" s="19"/>
      <c r="VS110" s="19"/>
      <c r="VT110" s="19"/>
      <c r="VU110" s="19"/>
      <c r="VV110" s="19"/>
      <c r="VW110" s="19"/>
      <c r="VX110" s="19"/>
      <c r="VY110" s="19"/>
      <c r="VZ110" s="19"/>
      <c r="WA110" s="19"/>
      <c r="WB110" s="19"/>
      <c r="WC110" s="19"/>
      <c r="WD110" s="19"/>
      <c r="WE110" s="19"/>
      <c r="WF110" s="19"/>
      <c r="WG110" s="19"/>
      <c r="WH110" s="19"/>
      <c r="WI110" s="19"/>
      <c r="WJ110" s="19"/>
      <c r="WK110" s="19"/>
      <c r="WL110" s="19"/>
      <c r="WM110" s="19"/>
      <c r="WN110" s="19"/>
      <c r="WO110" s="19"/>
      <c r="WP110" s="19"/>
      <c r="WQ110" s="19"/>
      <c r="WR110" s="19"/>
      <c r="WS110" s="19"/>
      <c r="WT110" s="19"/>
      <c r="WU110" s="19"/>
      <c r="WV110" s="19"/>
      <c r="WW110" s="19"/>
      <c r="WX110" s="19"/>
      <c r="WY110" s="19"/>
      <c r="WZ110" s="19"/>
      <c r="XA110" s="19"/>
      <c r="XB110" s="19"/>
      <c r="XC110" s="19"/>
      <c r="XD110" s="19"/>
      <c r="XE110" s="19"/>
      <c r="XF110" s="19"/>
      <c r="XG110" s="19"/>
      <c r="XH110" s="19"/>
      <c r="XI110" s="19"/>
      <c r="XJ110" s="19"/>
      <c r="XK110" s="19"/>
      <c r="XL110" s="19"/>
      <c r="XM110" s="19"/>
      <c r="XN110" s="19"/>
      <c r="XO110" s="19"/>
      <c r="XP110" s="19"/>
      <c r="XQ110" s="19"/>
      <c r="XR110" s="19"/>
      <c r="XS110" s="19"/>
      <c r="XT110" s="19"/>
      <c r="XU110" s="19"/>
      <c r="XV110" s="19"/>
      <c r="XW110" s="19"/>
      <c r="XX110" s="19"/>
      <c r="XY110" s="19"/>
      <c r="XZ110" s="19"/>
      <c r="YA110" s="19"/>
      <c r="YB110" s="19"/>
      <c r="YC110" s="19"/>
      <c r="YD110" s="19"/>
      <c r="YE110" s="19"/>
      <c r="YF110" s="19"/>
      <c r="YG110" s="19"/>
      <c r="YH110" s="19"/>
      <c r="YI110" s="19"/>
      <c r="YJ110" s="19"/>
      <c r="YK110" s="19"/>
      <c r="YL110" s="19"/>
      <c r="YM110" s="19"/>
      <c r="YN110" s="19"/>
      <c r="YO110" s="19"/>
      <c r="YP110" s="19"/>
      <c r="YQ110" s="19"/>
      <c r="YR110" s="19"/>
      <c r="YS110" s="19"/>
      <c r="YT110" s="19"/>
      <c r="YU110" s="19"/>
      <c r="YV110" s="19"/>
      <c r="YW110" s="19"/>
      <c r="YX110" s="19"/>
      <c r="YY110" s="19"/>
      <c r="YZ110" s="19"/>
      <c r="ZA110" s="19"/>
      <c r="ZB110" s="19"/>
      <c r="ZC110" s="19"/>
      <c r="ZD110" s="19"/>
      <c r="ZE110" s="19"/>
      <c r="ZF110" s="19"/>
      <c r="ZG110" s="19"/>
      <c r="ZH110" s="19"/>
      <c r="ZI110" s="19"/>
      <c r="ZJ110" s="19"/>
      <c r="ZK110" s="19"/>
      <c r="ZL110" s="19"/>
      <c r="ZM110" s="19"/>
      <c r="ZN110" s="19"/>
      <c r="ZO110" s="19"/>
      <c r="ZP110" s="19"/>
      <c r="ZQ110" s="19"/>
      <c r="ZR110" s="19"/>
      <c r="ZS110" s="19"/>
      <c r="ZT110" s="19"/>
      <c r="ZU110" s="19"/>
      <c r="ZV110" s="19"/>
      <c r="ZW110" s="19"/>
      <c r="ZX110" s="19"/>
      <c r="ZY110" s="19"/>
      <c r="ZZ110" s="19"/>
      <c r="AAA110" s="19"/>
      <c r="AAB110" s="19"/>
      <c r="AAC110" s="19"/>
      <c r="AAD110" s="19"/>
      <c r="AAE110" s="19"/>
      <c r="AAF110" s="19"/>
      <c r="AAG110" s="19"/>
      <c r="AAH110" s="19"/>
      <c r="AAI110" s="19"/>
      <c r="AAJ110" s="19"/>
      <c r="AAK110" s="19"/>
      <c r="AAL110" s="19"/>
      <c r="AAM110" s="19"/>
      <c r="AAN110" s="19"/>
      <c r="AAO110" s="19"/>
      <c r="AAP110" s="19"/>
      <c r="AAQ110" s="19"/>
      <c r="AAR110" s="19"/>
      <c r="AAS110" s="19"/>
      <c r="AAT110" s="19"/>
      <c r="AAU110" s="19"/>
      <c r="AAV110" s="19"/>
      <c r="AAW110" s="19"/>
      <c r="AAX110" s="19"/>
      <c r="AAY110" s="19"/>
      <c r="AAZ110" s="19"/>
      <c r="ABA110" s="19"/>
      <c r="ABB110" s="19"/>
      <c r="ABC110" s="19"/>
      <c r="ABD110" s="19"/>
      <c r="ABE110" s="19"/>
      <c r="ABF110" s="19"/>
      <c r="ABG110" s="19"/>
      <c r="ABH110" s="19"/>
      <c r="ABI110" s="19"/>
      <c r="ABJ110" s="19"/>
      <c r="ABK110" s="19"/>
      <c r="ABL110" s="19"/>
      <c r="ABM110" s="19"/>
      <c r="ABN110" s="19"/>
      <c r="ABO110" s="19"/>
      <c r="ABP110" s="19"/>
      <c r="ABQ110" s="19"/>
      <c r="ABR110" s="19"/>
      <c r="ABS110" s="19"/>
      <c r="ABT110" s="19"/>
      <c r="ABU110" s="19"/>
      <c r="ABV110" s="19"/>
      <c r="ABW110" s="19"/>
      <c r="ABX110" s="19"/>
      <c r="ABY110" s="19"/>
      <c r="ABZ110" s="19"/>
      <c r="ACA110" s="19"/>
      <c r="ACB110" s="19"/>
      <c r="ACC110" s="19"/>
      <c r="ACD110" s="19"/>
      <c r="ACE110" s="19"/>
      <c r="ACF110" s="19"/>
      <c r="ACG110" s="19"/>
      <c r="ACH110" s="19"/>
      <c r="ACI110" s="19"/>
      <c r="ACJ110" s="19"/>
      <c r="ACK110" s="19"/>
      <c r="ACL110" s="19"/>
      <c r="ACM110" s="19"/>
      <c r="ACN110" s="19"/>
      <c r="ACO110" s="19"/>
      <c r="ACP110" s="19"/>
      <c r="ACQ110" s="19"/>
      <c r="ACR110" s="19"/>
      <c r="ACS110" s="19"/>
      <c r="ACT110" s="19"/>
      <c r="ACU110" s="19"/>
      <c r="ACV110" s="19"/>
      <c r="ACW110" s="19"/>
      <c r="ACX110" s="19"/>
      <c r="ACY110" s="19"/>
      <c r="ACZ110" s="19"/>
      <c r="ADA110" s="19"/>
      <c r="ADB110" s="19"/>
      <c r="ADC110" s="19"/>
      <c r="ADD110" s="19"/>
      <c r="ADE110" s="19"/>
      <c r="ADF110" s="19"/>
      <c r="ADG110" s="19"/>
      <c r="ADH110" s="19"/>
      <c r="ADI110" s="19"/>
      <c r="ADJ110" s="19"/>
      <c r="ADK110" s="19"/>
      <c r="ADL110" s="19"/>
      <c r="ADM110" s="19"/>
      <c r="ADN110" s="19"/>
      <c r="ADO110" s="19"/>
      <c r="ADP110" s="19"/>
      <c r="ADQ110" s="19"/>
      <c r="ADR110" s="19"/>
      <c r="ADS110" s="19"/>
      <c r="ADT110" s="19"/>
      <c r="ADU110" s="19"/>
      <c r="ADV110" s="19"/>
      <c r="ADW110" s="19"/>
      <c r="ADX110" s="19"/>
      <c r="ADY110" s="19"/>
      <c r="ADZ110" s="19"/>
      <c r="AEA110" s="19"/>
      <c r="AEB110" s="19"/>
      <c r="AEC110" s="19"/>
      <c r="AED110" s="19"/>
      <c r="AEE110" s="19"/>
      <c r="AEF110" s="19"/>
      <c r="AEG110" s="19"/>
      <c r="AEH110" s="19"/>
      <c r="AEI110" s="19"/>
      <c r="AEJ110" s="19"/>
      <c r="AEK110" s="19"/>
      <c r="AEL110" s="19"/>
      <c r="AEM110" s="19"/>
      <c r="AEN110" s="19"/>
      <c r="AEO110" s="19"/>
      <c r="AEP110" s="19"/>
      <c r="AEQ110" s="19"/>
      <c r="AER110" s="19"/>
      <c r="AES110" s="19"/>
      <c r="AET110" s="19"/>
      <c r="AEU110" s="19"/>
      <c r="AEV110" s="19"/>
      <c r="AEW110" s="19"/>
      <c r="AEX110" s="19"/>
      <c r="AEY110" s="19"/>
      <c r="AEZ110" s="19"/>
      <c r="AFA110" s="19"/>
      <c r="AFB110" s="19"/>
      <c r="AFC110" s="19"/>
      <c r="AFD110" s="19"/>
      <c r="AFE110" s="19"/>
      <c r="AFF110" s="19"/>
      <c r="AFG110" s="19"/>
      <c r="AFH110" s="19"/>
      <c r="AFI110" s="19"/>
      <c r="AFJ110" s="19"/>
      <c r="AFK110" s="19"/>
      <c r="AFL110" s="19"/>
      <c r="AFM110" s="19"/>
      <c r="AFN110" s="19"/>
      <c r="AFO110" s="19"/>
      <c r="AFP110" s="19"/>
      <c r="AFQ110" s="19"/>
      <c r="AFR110" s="19"/>
      <c r="AFS110" s="19"/>
      <c r="AFT110" s="19"/>
      <c r="AFU110" s="19"/>
      <c r="AFV110" s="19"/>
      <c r="AFW110" s="19"/>
      <c r="AFX110" s="19"/>
      <c r="AFY110" s="19"/>
      <c r="AFZ110" s="19"/>
      <c r="AGA110" s="19"/>
      <c r="AGB110" s="19"/>
      <c r="AGC110" s="19"/>
      <c r="AGD110" s="19"/>
      <c r="AGE110" s="19"/>
      <c r="AGF110" s="19"/>
      <c r="AGG110" s="19"/>
      <c r="AGH110" s="19"/>
      <c r="AGI110" s="19"/>
      <c r="AGJ110" s="19"/>
      <c r="AGK110" s="19"/>
      <c r="AGL110" s="19"/>
      <c r="AGM110" s="19"/>
      <c r="AGN110" s="19"/>
      <c r="AGO110" s="19"/>
      <c r="AGP110" s="19"/>
      <c r="AGQ110" s="19"/>
      <c r="AGR110" s="19"/>
      <c r="AGS110" s="19"/>
      <c r="AGT110" s="19"/>
      <c r="AGU110" s="19"/>
      <c r="AGV110" s="19"/>
      <c r="AGW110" s="19"/>
      <c r="AGX110" s="19"/>
      <c r="AGY110" s="19"/>
      <c r="AGZ110" s="19"/>
      <c r="AHA110" s="19"/>
      <c r="AHB110" s="19"/>
      <c r="AHC110" s="19"/>
      <c r="AHD110" s="19"/>
      <c r="AHE110" s="19"/>
      <c r="AHF110" s="19"/>
      <c r="AHG110" s="19"/>
      <c r="AHH110" s="19"/>
      <c r="AHI110" s="19"/>
      <c r="AHJ110" s="19"/>
      <c r="AHK110" s="19"/>
      <c r="AHL110" s="19"/>
      <c r="AHM110" s="19"/>
      <c r="AHN110" s="19"/>
      <c r="AHO110" s="19"/>
      <c r="AHP110" s="19"/>
      <c r="AHQ110" s="19"/>
      <c r="AHR110" s="19"/>
      <c r="AHS110" s="19"/>
      <c r="AHT110" s="19"/>
      <c r="AHU110" s="19"/>
      <c r="AHV110" s="19"/>
      <c r="AHW110" s="19"/>
      <c r="AHX110" s="19"/>
      <c r="AHY110" s="19"/>
      <c r="AHZ110" s="19"/>
      <c r="AIA110" s="19"/>
      <c r="AIB110" s="19"/>
      <c r="AIC110" s="19"/>
      <c r="AID110" s="19"/>
      <c r="AIE110" s="19"/>
      <c r="AIF110" s="19"/>
      <c r="AIG110" s="19"/>
      <c r="AIH110" s="19"/>
      <c r="AII110" s="19"/>
      <c r="AIJ110" s="19"/>
      <c r="AIK110" s="19"/>
      <c r="AIL110" s="19"/>
      <c r="AIM110" s="19"/>
      <c r="AIN110" s="19"/>
      <c r="AIO110" s="19"/>
      <c r="AIP110" s="19"/>
      <c r="AIQ110" s="19"/>
      <c r="AIR110" s="19"/>
      <c r="AIS110" s="19"/>
      <c r="AIT110" s="19"/>
      <c r="AIU110" s="19"/>
      <c r="AIV110" s="19"/>
      <c r="AIW110" s="19"/>
      <c r="AIX110" s="19"/>
      <c r="AIY110" s="19"/>
      <c r="AIZ110" s="19"/>
      <c r="AJA110" s="19"/>
      <c r="AJB110" s="19"/>
      <c r="AJC110" s="19"/>
      <c r="AJD110" s="19"/>
      <c r="AJE110" s="19"/>
      <c r="AJF110" s="19"/>
      <c r="AJG110" s="19"/>
      <c r="AJH110" s="19"/>
      <c r="AJI110" s="19"/>
      <c r="AJJ110" s="19"/>
      <c r="AJK110" s="19"/>
      <c r="AJL110" s="19"/>
      <c r="AJM110" s="19"/>
      <c r="AJN110" s="19"/>
      <c r="AJO110" s="19"/>
      <c r="AJP110" s="19"/>
      <c r="AJQ110" s="19"/>
      <c r="AJR110" s="19"/>
      <c r="AJS110" s="19"/>
      <c r="AJT110" s="19"/>
      <c r="AJU110" s="19"/>
      <c r="AJV110" s="19"/>
      <c r="AJW110" s="19"/>
      <c r="AJX110" s="19"/>
      <c r="AJY110" s="19"/>
      <c r="AJZ110" s="19"/>
      <c r="AKA110" s="19"/>
      <c r="AKB110" s="19"/>
      <c r="AKC110" s="19"/>
      <c r="AKD110" s="19"/>
      <c r="AKE110" s="19"/>
      <c r="AKF110" s="19"/>
      <c r="AKG110" s="19"/>
      <c r="AKH110" s="19"/>
      <c r="AKI110" s="19"/>
      <c r="AKJ110" s="19"/>
      <c r="AKK110" s="19"/>
      <c r="AKL110" s="19"/>
      <c r="AKM110" s="19"/>
      <c r="AKN110" s="19"/>
      <c r="AKO110" s="19"/>
      <c r="AKP110" s="19"/>
      <c r="AKQ110" s="19"/>
      <c r="AKR110" s="19"/>
      <c r="AKS110" s="19"/>
      <c r="AKT110" s="19"/>
      <c r="AKU110" s="19"/>
      <c r="AKV110" s="19"/>
      <c r="AKW110" s="19"/>
      <c r="AKX110" s="19"/>
      <c r="AKY110" s="19"/>
      <c r="AKZ110" s="19"/>
      <c r="ALA110" s="19"/>
      <c r="ALB110" s="19"/>
      <c r="ALC110" s="19"/>
      <c r="ALD110" s="19"/>
      <c r="ALE110" s="19"/>
      <c r="ALF110" s="19"/>
      <c r="ALG110" s="19"/>
      <c r="ALH110" s="19"/>
      <c r="ALI110" s="19"/>
      <c r="ALJ110" s="19"/>
      <c r="ALK110" s="19"/>
      <c r="ALL110" s="19"/>
      <c r="ALM110" s="19"/>
      <c r="ALN110" s="19"/>
      <c r="ALO110" s="19"/>
      <c r="ALP110" s="19"/>
      <c r="ALQ110" s="19"/>
      <c r="ALR110" s="19"/>
      <c r="ALS110" s="19"/>
      <c r="ALT110" s="19"/>
      <c r="ALU110" s="19"/>
      <c r="ALV110" s="19"/>
      <c r="ALW110" s="19"/>
      <c r="ALX110" s="19"/>
      <c r="ALY110" s="19"/>
      <c r="ALZ110" s="19"/>
      <c r="AMA110" s="19"/>
      <c r="AMB110" s="19"/>
      <c r="AMC110" s="19"/>
      <c r="AMD110" s="19"/>
      <c r="AME110" s="19"/>
      <c r="AMF110" s="19"/>
      <c r="AMG110" s="19"/>
      <c r="AMH110" s="19"/>
      <c r="AMI110" s="19"/>
      <c r="AMJ110" s="19"/>
      <c r="AMK110" s="19"/>
      <c r="AML110" s="19"/>
      <c r="AMM110" s="19"/>
      <c r="AMN110" s="19"/>
      <c r="AMO110" s="19"/>
      <c r="AMP110" s="19"/>
      <c r="AMQ110" s="19"/>
      <c r="AMR110" s="19"/>
      <c r="AMS110" s="19"/>
      <c r="AMT110" s="19"/>
      <c r="AMU110" s="19"/>
      <c r="AMV110" s="19"/>
      <c r="AMW110" s="19"/>
      <c r="AMX110" s="19"/>
      <c r="AMY110" s="19"/>
      <c r="AMZ110" s="19"/>
      <c r="ANA110" s="19"/>
      <c r="ANB110" s="19"/>
      <c r="ANC110" s="19"/>
      <c r="AND110" s="19"/>
      <c r="ANE110" s="19"/>
      <c r="ANF110" s="19"/>
      <c r="ANG110" s="19"/>
      <c r="ANH110" s="19"/>
      <c r="ANI110" s="19"/>
      <c r="ANJ110" s="19"/>
      <c r="ANK110" s="19"/>
      <c r="ANL110" s="19"/>
      <c r="ANM110" s="19"/>
      <c r="ANN110" s="19"/>
      <c r="ANO110" s="19"/>
      <c r="ANP110" s="19"/>
      <c r="ANQ110" s="639"/>
      <c r="ANR110" s="639"/>
      <c r="ANS110" s="19"/>
      <c r="ANT110" s="19"/>
      <c r="ANU110" s="19"/>
      <c r="ANV110" s="19"/>
      <c r="ANW110" s="19"/>
      <c r="ANX110" s="19"/>
      <c r="ANY110" s="19"/>
      <c r="ANZ110" s="19"/>
      <c r="AOA110" s="19"/>
      <c r="AOB110" s="19"/>
      <c r="AOC110" s="19"/>
      <c r="AOD110" s="19"/>
      <c r="AOE110" s="19"/>
      <c r="AOF110" s="19"/>
      <c r="AOG110" s="19"/>
      <c r="AOH110" s="19"/>
      <c r="AOI110" s="19"/>
      <c r="AOJ110" s="19"/>
      <c r="AOK110" s="19"/>
      <c r="AOL110" s="19"/>
      <c r="AOM110" s="19"/>
      <c r="AON110" s="19"/>
      <c r="AOO110" s="19"/>
      <c r="AOP110" s="19"/>
      <c r="AOQ110" s="19"/>
      <c r="AOR110" s="19"/>
      <c r="AOS110" s="19"/>
      <c r="AOT110" s="19"/>
      <c r="AOU110" s="19"/>
      <c r="AOV110" s="19"/>
      <c r="AOW110" s="19"/>
      <c r="AOX110" s="19"/>
      <c r="AOY110" s="19"/>
      <c r="AOZ110" s="19"/>
      <c r="APA110" s="19"/>
      <c r="APB110" s="19"/>
      <c r="APC110" s="19"/>
      <c r="APD110" s="19"/>
      <c r="APE110" s="19"/>
      <c r="APF110" s="19"/>
      <c r="APG110" s="19"/>
      <c r="APH110" s="19"/>
      <c r="API110" s="19"/>
      <c r="APJ110" s="19"/>
      <c r="APK110" s="19"/>
      <c r="APL110" s="19"/>
      <c r="APM110" s="19"/>
      <c r="APN110" s="19"/>
      <c r="APO110" s="19"/>
      <c r="APP110" s="19"/>
      <c r="APQ110" s="19"/>
      <c r="APR110" s="19"/>
      <c r="APS110" s="19"/>
      <c r="APT110" s="19"/>
      <c r="APU110" s="19"/>
      <c r="APV110" s="19"/>
      <c r="APW110" s="19"/>
      <c r="APX110" s="19"/>
      <c r="APY110" s="19"/>
      <c r="APZ110" s="19"/>
      <c r="AQA110" s="19"/>
      <c r="AQB110" s="19"/>
      <c r="AQC110" s="19"/>
      <c r="AQD110" s="19"/>
      <c r="AQE110" s="19"/>
      <c r="AQF110" s="19"/>
      <c r="AQG110" s="19"/>
      <c r="AQH110" s="19"/>
      <c r="AQI110" s="19"/>
      <c r="AQJ110" s="19"/>
      <c r="AQK110" s="19"/>
      <c r="AQL110" s="19"/>
      <c r="AQM110" s="19"/>
      <c r="AQN110" s="19"/>
      <c r="AQO110" s="19"/>
      <c r="AQP110" s="19"/>
      <c r="AQQ110" s="19"/>
      <c r="AQR110" s="19"/>
      <c r="AQS110" s="19"/>
      <c r="AQT110" s="19"/>
      <c r="AQU110" s="19"/>
      <c r="AQV110" s="19"/>
      <c r="AQW110" s="19"/>
      <c r="AQX110" s="19"/>
      <c r="AQY110" s="19"/>
      <c r="AQZ110" s="19"/>
      <c r="ARA110" s="19"/>
      <c r="ARB110" s="19"/>
      <c r="ARC110" s="19"/>
      <c r="ARD110" s="19"/>
      <c r="ARE110" s="19"/>
      <c r="ARF110" s="19"/>
      <c r="ARG110" s="19"/>
      <c r="ARH110" s="19"/>
      <c r="ARI110" s="19"/>
      <c r="ARJ110" s="19"/>
      <c r="ARK110" s="19"/>
      <c r="ARL110" s="19"/>
      <c r="ARM110" s="19"/>
      <c r="ARN110" s="19"/>
      <c r="ARO110" s="19"/>
      <c r="ARP110" s="19"/>
      <c r="ARQ110" s="19"/>
      <c r="ARR110" s="19"/>
      <c r="ARS110" s="19"/>
      <c r="ART110" s="19"/>
      <c r="ARU110" s="19"/>
      <c r="ARV110" s="19"/>
      <c r="ARW110" s="19"/>
      <c r="ARX110" s="19"/>
      <c r="ARY110" s="19"/>
      <c r="ARZ110" s="19"/>
      <c r="ASA110" s="19"/>
      <c r="ASB110" s="19"/>
      <c r="ASC110" s="19"/>
      <c r="ASD110" s="19"/>
      <c r="ASE110" s="19"/>
      <c r="ASF110" s="19"/>
      <c r="ASG110" s="19"/>
      <c r="ASH110" s="19"/>
      <c r="ASI110" s="19"/>
      <c r="ASJ110" s="19"/>
      <c r="ASK110" s="19"/>
      <c r="ASL110" s="19"/>
      <c r="ASM110" s="19"/>
      <c r="ASN110" s="19"/>
      <c r="ASO110" s="19"/>
      <c r="ASP110" s="19"/>
      <c r="ASQ110" s="19"/>
      <c r="ASR110" s="19"/>
      <c r="ASS110" s="19"/>
      <c r="AST110" s="19"/>
      <c r="ASU110" s="19"/>
      <c r="ASV110" s="19"/>
      <c r="ASW110" s="19"/>
      <c r="ASX110" s="19"/>
      <c r="ASY110" s="19"/>
      <c r="ASZ110" s="19"/>
      <c r="ATA110" s="19"/>
      <c r="ATB110" s="19"/>
      <c r="ATC110" s="19"/>
      <c r="ATD110" s="19"/>
      <c r="ATE110" s="19"/>
      <c r="ATF110" s="19"/>
      <c r="ATG110" s="19"/>
      <c r="ATH110" s="19"/>
      <c r="ATI110" s="19"/>
      <c r="ATJ110" s="19"/>
      <c r="ATK110" s="19"/>
      <c r="ATL110" s="19"/>
      <c r="ATM110" s="19"/>
      <c r="ATN110" s="19"/>
      <c r="ATO110" s="19"/>
      <c r="ATP110" s="19"/>
      <c r="ATQ110" s="19"/>
      <c r="ATR110" s="19"/>
      <c r="ATS110" s="19"/>
      <c r="ATT110" s="19"/>
      <c r="ATU110" s="19"/>
      <c r="ATV110" s="19"/>
      <c r="ATW110" s="19"/>
      <c r="ATX110" s="19"/>
      <c r="ATY110" s="19"/>
      <c r="ATZ110" s="19"/>
      <c r="AUA110" s="19"/>
      <c r="AUB110" s="19"/>
      <c r="AUC110" s="19"/>
      <c r="AUD110" s="19"/>
      <c r="AUE110" s="19"/>
      <c r="AUF110" s="19"/>
      <c r="AUG110" s="19"/>
      <c r="AUH110" s="19"/>
      <c r="AUI110" s="19"/>
      <c r="AUJ110" s="19"/>
      <c r="AUK110" s="19"/>
      <c r="AUL110" s="19"/>
      <c r="AUM110" s="19"/>
      <c r="AUN110" s="19"/>
      <c r="AUO110" s="19"/>
      <c r="AUP110" s="19"/>
      <c r="AUQ110" s="19"/>
      <c r="AUR110" s="19"/>
      <c r="AUS110" s="19"/>
      <c r="AUT110" s="19"/>
      <c r="AUU110" s="19"/>
      <c r="AUV110" s="19"/>
      <c r="AUW110" s="19"/>
      <c r="AUX110" s="19"/>
      <c r="AUY110" s="19"/>
      <c r="AUZ110" s="19"/>
      <c r="AVA110" s="19"/>
      <c r="AVB110" s="19"/>
      <c r="AVC110" s="19"/>
      <c r="AVD110" s="19"/>
      <c r="AVE110" s="19"/>
      <c r="AVF110" s="19"/>
      <c r="AVG110" s="19"/>
      <c r="AVH110" s="19"/>
      <c r="AVI110" s="19"/>
      <c r="AVJ110" s="19"/>
      <c r="AVK110" s="19"/>
      <c r="AVL110" s="19"/>
      <c r="AVM110" s="19"/>
      <c r="AVN110" s="19"/>
      <c r="AVO110" s="19"/>
      <c r="AVP110" s="19"/>
      <c r="AVQ110" s="19"/>
      <c r="AVR110" s="19"/>
      <c r="AVS110" s="19"/>
      <c r="AVT110" s="19"/>
      <c r="AVU110" s="19"/>
      <c r="AVV110" s="19"/>
      <c r="AVW110" s="19"/>
      <c r="AVX110" s="19"/>
      <c r="AVY110" s="19"/>
      <c r="AVZ110" s="19"/>
      <c r="AWA110" s="19"/>
      <c r="AWB110" s="19"/>
      <c r="AWC110" s="19"/>
      <c r="AWD110" s="19"/>
      <c r="AWE110" s="19"/>
      <c r="AWF110" s="19"/>
      <c r="AWG110" s="19"/>
      <c r="AWH110" s="19"/>
      <c r="AWI110" s="19"/>
      <c r="AWJ110" s="19"/>
      <c r="AWK110" s="19"/>
      <c r="AWL110" s="19"/>
      <c r="AWM110" s="19"/>
      <c r="AWN110" s="19"/>
      <c r="AWO110" s="19"/>
      <c r="AWP110" s="19"/>
      <c r="AWQ110" s="19"/>
      <c r="AWR110" s="19"/>
      <c r="AWS110" s="19"/>
      <c r="AWT110" s="19"/>
      <c r="AWU110" s="19"/>
      <c r="AWV110" s="19"/>
      <c r="AWW110" s="19"/>
      <c r="AWX110" s="19"/>
      <c r="AWY110" s="19"/>
      <c r="AWZ110" s="19"/>
      <c r="AXA110" s="19"/>
      <c r="AXB110" s="19"/>
      <c r="AXC110" s="19"/>
      <c r="AXD110" s="19"/>
      <c r="AXE110" s="19"/>
      <c r="AXF110" s="19"/>
      <c r="AXG110" s="19"/>
      <c r="AXH110" s="19"/>
      <c r="AXI110" s="19"/>
      <c r="AXJ110" s="19"/>
      <c r="AXK110" s="19"/>
      <c r="AXL110" s="19"/>
      <c r="AXM110" s="19"/>
      <c r="AXN110" s="19"/>
      <c r="AXO110" s="19"/>
      <c r="AXP110" s="19"/>
      <c r="AXQ110" s="19"/>
      <c r="AXR110" s="19"/>
      <c r="AXS110" s="19"/>
      <c r="AXT110" s="19"/>
      <c r="AXU110" s="19"/>
      <c r="AXV110" s="19"/>
      <c r="AXW110" s="19"/>
      <c r="AXX110" s="19"/>
      <c r="AXY110" s="19"/>
      <c r="AXZ110" s="19"/>
      <c r="AYA110" s="19"/>
      <c r="AYB110" s="19"/>
      <c r="AYC110" s="19"/>
      <c r="AYD110" s="19"/>
      <c r="AYE110" s="19"/>
      <c r="AYF110" s="19"/>
      <c r="AYG110" s="19"/>
      <c r="AYH110" s="19"/>
      <c r="AYI110" s="19"/>
      <c r="AYJ110" s="19"/>
      <c r="AYK110" s="19"/>
      <c r="AYL110" s="19"/>
      <c r="AYM110" s="19"/>
      <c r="AYN110" s="19"/>
      <c r="AYO110" s="19"/>
      <c r="AYP110" s="19"/>
      <c r="AYQ110" s="19"/>
      <c r="AYR110" s="19"/>
      <c r="AYS110" s="19"/>
      <c r="AYT110" s="19"/>
      <c r="AYU110" s="19"/>
      <c r="AYV110" s="19"/>
      <c r="AYW110" s="19"/>
      <c r="AYX110" s="19"/>
      <c r="AYY110" s="19"/>
      <c r="AYZ110" s="19"/>
      <c r="AZA110" s="19"/>
      <c r="AZB110" s="19"/>
      <c r="AZC110" s="19"/>
      <c r="AZD110" s="19"/>
      <c r="AZE110" s="19"/>
      <c r="AZF110" s="19"/>
      <c r="AZG110" s="19"/>
      <c r="AZH110" s="19"/>
      <c r="AZI110" s="19"/>
      <c r="AZJ110" s="19"/>
      <c r="AZK110" s="19"/>
      <c r="AZL110" s="19"/>
      <c r="AZM110" s="19"/>
      <c r="AZN110" s="19"/>
      <c r="AZO110" s="19"/>
      <c r="AZP110" s="19"/>
      <c r="AZQ110" s="19"/>
      <c r="AZR110" s="19"/>
      <c r="AZS110" s="19"/>
      <c r="AZT110" s="19"/>
      <c r="AZU110" s="19"/>
      <c r="AZV110" s="19"/>
      <c r="AZW110" s="19"/>
      <c r="AZX110" s="19"/>
      <c r="AZY110" s="19"/>
      <c r="AZZ110" s="19"/>
      <c r="BAA110" s="19"/>
      <c r="BAB110" s="19"/>
      <c r="BAC110" s="19"/>
      <c r="BAD110" s="19"/>
      <c r="BAE110" s="19"/>
      <c r="BAF110" s="19"/>
      <c r="BAG110" s="19"/>
      <c r="BAH110" s="19"/>
      <c r="BAI110" s="19"/>
      <c r="BAJ110" s="19"/>
      <c r="BAK110" s="19"/>
      <c r="BAL110" s="19"/>
      <c r="BAM110" s="19"/>
      <c r="BAN110" s="19"/>
      <c r="BAO110" s="19"/>
      <c r="BAP110" s="19"/>
      <c r="BAQ110" s="19"/>
      <c r="BAR110" s="19"/>
      <c r="BAS110" s="19"/>
      <c r="BAT110" s="19"/>
      <c r="BAU110" s="19"/>
      <c r="BAV110" s="19"/>
      <c r="BAW110" s="19"/>
      <c r="BAX110" s="19"/>
      <c r="BAY110" s="19"/>
      <c r="BAZ110" s="19"/>
      <c r="BBA110" s="19"/>
      <c r="BBB110" s="19"/>
      <c r="BBC110" s="19"/>
      <c r="BBD110" s="19"/>
      <c r="BBE110" s="19"/>
      <c r="BBF110" s="19"/>
      <c r="BBG110" s="19"/>
      <c r="BBH110" s="19"/>
      <c r="BBI110" s="19"/>
      <c r="BBJ110" s="19"/>
      <c r="BBK110" s="19"/>
      <c r="BBL110" s="19"/>
      <c r="BBM110" s="19"/>
      <c r="BBN110" s="19"/>
      <c r="BBO110" s="19"/>
      <c r="BBP110" s="19"/>
      <c r="BBQ110" s="19"/>
      <c r="BBR110" s="19"/>
      <c r="BBS110" s="19"/>
      <c r="BBT110" s="19"/>
      <c r="BBU110" s="19"/>
      <c r="BBV110" s="19"/>
      <c r="BBW110" s="19"/>
      <c r="BBX110" s="19"/>
      <c r="BBY110" s="19"/>
      <c r="BBZ110" s="19"/>
      <c r="BCA110" s="19"/>
      <c r="BCB110" s="19"/>
      <c r="BCC110" s="19"/>
      <c r="BCD110" s="19"/>
      <c r="BCE110" s="19"/>
      <c r="BCF110" s="19"/>
      <c r="BCG110" s="19"/>
      <c r="BCH110" s="19"/>
      <c r="BCI110" s="19"/>
      <c r="BCJ110" s="19"/>
      <c r="BCK110" s="19"/>
      <c r="BCL110" s="19"/>
      <c r="BCM110" s="19"/>
      <c r="BCN110" s="19"/>
      <c r="BCO110" s="19"/>
      <c r="BCP110" s="19"/>
      <c r="BCQ110" s="19"/>
      <c r="BCR110" s="19"/>
      <c r="BCS110" s="19"/>
      <c r="BCT110" s="19"/>
      <c r="BCU110" s="19"/>
      <c r="BCV110" s="19"/>
      <c r="BCW110" s="19"/>
      <c r="BCX110" s="19"/>
      <c r="BCY110" s="19"/>
      <c r="BCZ110" s="19"/>
      <c r="BDA110" s="19"/>
      <c r="BDB110" s="19"/>
      <c r="BDC110" s="19"/>
      <c r="BDD110" s="19"/>
      <c r="BDE110" s="19"/>
      <c r="BDF110" s="19"/>
      <c r="BDG110" s="19"/>
      <c r="BDH110" s="19"/>
      <c r="BDI110" s="19"/>
      <c r="BDJ110" s="19"/>
      <c r="BDK110" s="19"/>
      <c r="BDL110" s="19"/>
      <c r="BDM110" s="19"/>
      <c r="BDN110" s="19"/>
      <c r="BDO110" s="19"/>
      <c r="BDP110" s="19"/>
      <c r="BDQ110" s="19"/>
      <c r="BDR110" s="19"/>
      <c r="BDS110" s="19"/>
      <c r="BDT110" s="19"/>
      <c r="BDU110" s="19"/>
      <c r="BDV110" s="19"/>
      <c r="BDW110" s="19"/>
      <c r="BDX110" s="19"/>
      <c r="BDY110" s="19"/>
      <c r="BDZ110" s="19"/>
      <c r="BEA110" s="19"/>
      <c r="BEB110" s="19"/>
      <c r="BEC110" s="19"/>
      <c r="BED110" s="19"/>
      <c r="BEE110" s="19"/>
      <c r="BEF110" s="19"/>
      <c r="BEG110" s="19"/>
      <c r="BEH110" s="19"/>
      <c r="BEI110" s="19"/>
      <c r="BEJ110" s="19"/>
      <c r="BEK110" s="19"/>
      <c r="BEL110" s="19"/>
      <c r="BEM110" s="19"/>
      <c r="BEN110" s="19"/>
      <c r="BEO110" s="19"/>
      <c r="BEP110" s="19"/>
      <c r="BEQ110" s="19"/>
      <c r="BER110" s="19"/>
      <c r="BES110" s="19"/>
      <c r="BET110" s="19"/>
      <c r="BEU110" s="19"/>
      <c r="BEV110" s="19"/>
      <c r="BEW110" s="19"/>
      <c r="BEX110" s="19"/>
      <c r="BEY110" s="19"/>
      <c r="BEZ110" s="19"/>
      <c r="BFA110" s="19"/>
      <c r="BFB110" s="19"/>
      <c r="BFC110" s="19"/>
      <c r="BFD110" s="19"/>
      <c r="BFE110" s="19"/>
      <c r="BFF110" s="19"/>
      <c r="BFG110" s="19"/>
      <c r="BFH110" s="19"/>
      <c r="BFI110" s="19"/>
      <c r="BFJ110" s="19"/>
      <c r="BFK110" s="19"/>
      <c r="BFL110" s="19"/>
      <c r="BFM110" s="19"/>
      <c r="BFN110" s="19"/>
      <c r="BFO110" s="19"/>
      <c r="BFP110" s="19"/>
      <c r="BFQ110" s="19"/>
      <c r="BFR110" s="19"/>
      <c r="BFS110" s="19"/>
      <c r="BFT110" s="19"/>
      <c r="BFU110" s="19"/>
      <c r="BFV110" s="19"/>
      <c r="BFW110" s="19"/>
      <c r="BFX110" s="19"/>
      <c r="BFY110" s="19"/>
      <c r="BFZ110" s="19"/>
      <c r="BGA110" s="19"/>
      <c r="BGB110" s="19"/>
      <c r="BGC110" s="19"/>
      <c r="BGD110" s="19"/>
      <c r="BGE110" s="19"/>
      <c r="BGF110" s="19"/>
      <c r="BGG110" s="19"/>
      <c r="BGH110" s="19"/>
      <c r="BGI110" s="19"/>
      <c r="BGJ110" s="19"/>
      <c r="BGK110" s="19"/>
      <c r="BGL110" s="19"/>
      <c r="BGM110" s="19"/>
      <c r="BGN110" s="19"/>
      <c r="BGO110" s="19"/>
      <c r="BGP110" s="19"/>
      <c r="BGQ110" s="19"/>
      <c r="BGR110" s="19"/>
      <c r="BGS110" s="19"/>
      <c r="BGT110" s="19"/>
      <c r="BGU110" s="19"/>
      <c r="BGV110" s="19"/>
      <c r="BGW110" s="19"/>
      <c r="BGX110" s="19"/>
      <c r="BGY110" s="19"/>
      <c r="BGZ110" s="19"/>
      <c r="BHA110" s="19"/>
      <c r="BHB110" s="19"/>
      <c r="BHC110" s="19"/>
      <c r="BHD110" s="19"/>
      <c r="BHE110" s="19"/>
      <c r="BHF110" s="19"/>
      <c r="BHG110" s="19"/>
      <c r="BHH110" s="19"/>
      <c r="BHI110" s="19"/>
      <c r="BHJ110" s="19"/>
      <c r="BHK110" s="19"/>
      <c r="BHL110" s="19"/>
      <c r="BHM110" s="19"/>
      <c r="BHN110" s="19"/>
      <c r="BHO110" s="19"/>
      <c r="BHP110" s="19"/>
      <c r="BHQ110" s="19"/>
      <c r="BHR110" s="19"/>
      <c r="BHS110" s="19"/>
      <c r="BHT110" s="19"/>
      <c r="BHU110" s="19"/>
      <c r="BHV110" s="19"/>
      <c r="BHW110" s="19"/>
      <c r="BHX110" s="19"/>
      <c r="BHY110" s="19"/>
      <c r="BHZ110" s="19"/>
      <c r="BIA110" s="19"/>
      <c r="BIB110" s="19"/>
      <c r="BIC110" s="19"/>
      <c r="BID110" s="19"/>
      <c r="BIE110" s="19"/>
      <c r="BIF110" s="19"/>
      <c r="BIG110" s="19"/>
      <c r="BIH110" s="19"/>
      <c r="BII110" s="19"/>
      <c r="BIJ110" s="19"/>
      <c r="BIK110" s="19"/>
      <c r="BIL110" s="19"/>
      <c r="BIM110" s="19"/>
      <c r="BIN110" s="19"/>
      <c r="BIO110" s="19"/>
      <c r="BIP110" s="19"/>
      <c r="BIQ110" s="19"/>
      <c r="BIR110" s="19"/>
      <c r="BIS110" s="19"/>
      <c r="BIT110" s="19"/>
      <c r="BIU110" s="19"/>
      <c r="BIV110" s="19"/>
      <c r="BIW110" s="19"/>
      <c r="BIX110" s="19"/>
      <c r="BIY110" s="19"/>
      <c r="BIZ110" s="19"/>
      <c r="BJA110" s="19"/>
      <c r="BJB110" s="19"/>
      <c r="BJC110" s="19"/>
      <c r="BJD110" s="19"/>
      <c r="BJE110" s="19"/>
      <c r="BJF110" s="19"/>
      <c r="BJG110" s="19"/>
      <c r="BJH110" s="19"/>
      <c r="BJI110" s="19"/>
      <c r="BJJ110" s="19"/>
      <c r="BJK110" s="19"/>
      <c r="BJL110" s="19"/>
      <c r="BJM110" s="19"/>
      <c r="BJN110" s="19"/>
      <c r="BJO110" s="19"/>
      <c r="BJP110" s="19"/>
      <c r="BJQ110" s="19"/>
      <c r="BJR110" s="19"/>
      <c r="BJS110" s="19"/>
      <c r="BJT110" s="19"/>
      <c r="BJU110" s="19"/>
      <c r="BJV110" s="19"/>
      <c r="BJW110" s="19"/>
      <c r="BJX110" s="19"/>
      <c r="BJY110" s="19"/>
      <c r="BJZ110" s="19"/>
      <c r="BKA110" s="19"/>
      <c r="BKB110" s="19"/>
      <c r="BKC110" s="19"/>
      <c r="BKD110" s="19"/>
      <c r="BKE110" s="19"/>
      <c r="BKF110" s="19"/>
      <c r="BKG110" s="19"/>
      <c r="BKH110" s="19"/>
      <c r="BKI110" s="19"/>
      <c r="BKJ110" s="19"/>
      <c r="BKK110" s="19"/>
      <c r="BKL110" s="19"/>
      <c r="BKM110" s="19"/>
      <c r="BKN110" s="19"/>
      <c r="BKO110" s="19"/>
      <c r="BKP110" s="19"/>
      <c r="BKQ110" s="19"/>
      <c r="BKR110" s="19"/>
      <c r="BKS110" s="19"/>
      <c r="BKT110" s="19"/>
      <c r="BKU110" s="19"/>
      <c r="BKV110" s="19"/>
      <c r="BKW110" s="19"/>
      <c r="BKX110" s="19"/>
      <c r="BKY110" s="19"/>
      <c r="BKZ110" s="19"/>
      <c r="BLA110" s="19"/>
      <c r="BLB110" s="19"/>
      <c r="BLC110" s="19"/>
      <c r="BLD110" s="19"/>
      <c r="BLE110" s="19"/>
      <c r="BLF110" s="19"/>
      <c r="BLG110" s="19"/>
      <c r="BLH110" s="19"/>
      <c r="BLI110" s="19"/>
      <c r="BLJ110" s="19"/>
      <c r="BLK110" s="19"/>
      <c r="BLL110" s="19"/>
      <c r="BLM110" s="19"/>
      <c r="BLN110" s="19"/>
      <c r="BLO110" s="19"/>
      <c r="BLP110" s="19"/>
      <c r="BLQ110" s="19"/>
      <c r="BLR110" s="19"/>
      <c r="BLS110" s="19"/>
      <c r="BLT110" s="19"/>
      <c r="BLU110" s="19"/>
      <c r="BLV110" s="19"/>
      <c r="BLW110" s="19"/>
      <c r="BLX110" s="19"/>
      <c r="BLY110" s="19"/>
      <c r="BLZ110" s="19"/>
      <c r="BMA110" s="19"/>
      <c r="BMB110" s="19"/>
      <c r="BMC110" s="19"/>
      <c r="BMD110" s="19"/>
      <c r="BME110" s="19"/>
      <c r="BMF110" s="19"/>
      <c r="BMG110" s="19"/>
      <c r="BMH110" s="19"/>
      <c r="BMI110" s="19"/>
      <c r="BMJ110" s="19"/>
      <c r="BMK110" s="19"/>
      <c r="BML110" s="19"/>
      <c r="BMM110" s="19"/>
      <c r="BMN110" s="19"/>
      <c r="BMO110" s="19"/>
      <c r="BMP110" s="19"/>
      <c r="BMQ110" s="19"/>
      <c r="BMR110" s="19"/>
      <c r="BMS110" s="19"/>
      <c r="BMT110" s="19"/>
      <c r="BMU110" s="19"/>
      <c r="BMV110" s="19"/>
      <c r="BMW110" s="19"/>
      <c r="BMX110" s="19"/>
      <c r="BMY110" s="19"/>
      <c r="BMZ110" s="19"/>
      <c r="BNA110" s="19"/>
      <c r="BNB110" s="19"/>
      <c r="BNC110" s="19"/>
      <c r="BND110" s="19"/>
      <c r="BNE110" s="19"/>
      <c r="BNF110" s="19"/>
      <c r="BNG110" s="19"/>
      <c r="BNH110" s="19"/>
      <c r="BNI110" s="19"/>
      <c r="BNJ110" s="19"/>
      <c r="BNK110" s="19"/>
      <c r="BNL110" s="19"/>
      <c r="BNM110" s="19"/>
      <c r="BNN110" s="19"/>
      <c r="BNO110" s="19"/>
      <c r="BNP110" s="19"/>
      <c r="BNQ110" s="19"/>
      <c r="BNR110" s="19"/>
      <c r="BNS110" s="19"/>
      <c r="BNT110" s="19"/>
      <c r="BNU110" s="19"/>
      <c r="BNV110" s="19"/>
      <c r="BNW110" s="19"/>
      <c r="BNX110" s="19"/>
      <c r="BNY110" s="19"/>
      <c r="BNZ110" s="19"/>
      <c r="BOA110" s="19"/>
      <c r="BOB110" s="19"/>
      <c r="BOC110" s="19"/>
      <c r="BOD110" s="19"/>
      <c r="BOE110" s="19"/>
      <c r="BOF110" s="19"/>
      <c r="BOG110" s="19"/>
      <c r="BOH110" s="19"/>
      <c r="BOI110" s="19"/>
      <c r="BOJ110" s="19"/>
      <c r="BOK110" s="19"/>
      <c r="BOL110" s="19"/>
      <c r="BOM110" s="19"/>
      <c r="BON110" s="19"/>
      <c r="BOO110" s="19"/>
      <c r="BOP110" s="19"/>
      <c r="BOQ110" s="19"/>
      <c r="BOR110" s="19"/>
      <c r="BOS110" s="19"/>
      <c r="BOT110" s="19"/>
      <c r="BOU110" s="19"/>
      <c r="BOV110" s="19"/>
      <c r="BOW110" s="19"/>
      <c r="BOX110" s="19"/>
      <c r="BOY110" s="19"/>
      <c r="BOZ110" s="19"/>
      <c r="BPA110" s="19"/>
      <c r="BPB110" s="19"/>
      <c r="BPC110" s="19"/>
      <c r="BPD110" s="19"/>
      <c r="BPE110" s="19"/>
      <c r="BPF110" s="19"/>
      <c r="BPG110" s="19"/>
      <c r="BPH110" s="19"/>
      <c r="BPI110" s="19"/>
      <c r="BPJ110" s="19"/>
      <c r="BPK110" s="19"/>
      <c r="BPL110" s="19"/>
      <c r="BPM110" s="19"/>
      <c r="BPN110" s="19"/>
      <c r="BPO110" s="19"/>
      <c r="BPP110" s="19"/>
      <c r="BPQ110" s="19"/>
      <c r="BPR110" s="19"/>
      <c r="BPS110" s="19"/>
      <c r="BPT110" s="19"/>
      <c r="BPU110" s="19"/>
      <c r="BPV110" s="19"/>
      <c r="BPW110" s="19"/>
      <c r="BPX110" s="19"/>
      <c r="BPY110" s="19"/>
      <c r="BPZ110" s="19"/>
      <c r="BQA110" s="19"/>
      <c r="BQB110" s="19"/>
      <c r="BQC110" s="19"/>
      <c r="BQD110" s="19"/>
      <c r="BQE110" s="19"/>
      <c r="BQF110" s="19"/>
      <c r="BQG110" s="19"/>
      <c r="BQH110" s="19"/>
      <c r="BQI110" s="19"/>
      <c r="BQJ110" s="19"/>
      <c r="BQK110" s="19"/>
      <c r="BQL110" s="19"/>
      <c r="BQM110" s="19"/>
      <c r="BQN110" s="19"/>
      <c r="BQO110" s="19"/>
      <c r="BQP110" s="19"/>
      <c r="BQQ110" s="19"/>
      <c r="BQR110" s="19"/>
      <c r="BQS110" s="19"/>
      <c r="BQT110" s="19"/>
      <c r="BQU110" s="19"/>
      <c r="BQV110" s="19"/>
      <c r="BQW110" s="19"/>
      <c r="BQX110" s="19"/>
      <c r="BQY110" s="19"/>
      <c r="BQZ110" s="19"/>
      <c r="BRA110" s="19"/>
      <c r="BRB110" s="19"/>
      <c r="BRC110" s="19"/>
      <c r="BRD110" s="19"/>
      <c r="BRE110" s="19"/>
      <c r="BRF110" s="19"/>
      <c r="BRG110" s="19"/>
      <c r="BRH110" s="19"/>
      <c r="BRI110" s="19"/>
      <c r="BRJ110" s="19"/>
      <c r="BRK110" s="19"/>
      <c r="BRL110" s="19"/>
      <c r="BRM110" s="19"/>
      <c r="BRN110" s="19"/>
      <c r="BRO110" s="19"/>
      <c r="BRP110" s="19"/>
      <c r="BRQ110" s="19"/>
      <c r="BRR110" s="19"/>
      <c r="BRS110" s="19"/>
      <c r="BRT110" s="19"/>
      <c r="BRU110" s="19"/>
      <c r="BRV110" s="19"/>
      <c r="BRW110" s="19"/>
      <c r="BRX110" s="19"/>
      <c r="BRY110" s="19"/>
      <c r="BRZ110" s="19"/>
      <c r="BSA110" s="19"/>
      <c r="BSB110" s="19"/>
      <c r="BSC110" s="19"/>
      <c r="BSD110" s="19"/>
      <c r="BSE110" s="19"/>
      <c r="BSF110" s="19"/>
      <c r="BSG110" s="19"/>
      <c r="BSH110" s="19"/>
      <c r="BSI110" s="19"/>
      <c r="BSJ110" s="19"/>
      <c r="BSK110" s="19"/>
      <c r="BSL110" s="19"/>
      <c r="BSM110" s="19"/>
      <c r="BSN110" s="19"/>
      <c r="BSO110" s="19"/>
      <c r="BSP110" s="19"/>
      <c r="BSQ110" s="19"/>
      <c r="BSR110" s="19"/>
      <c r="BSS110" s="19"/>
      <c r="BST110" s="19"/>
      <c r="BSU110" s="19"/>
      <c r="BSV110" s="19"/>
      <c r="BSW110" s="19"/>
      <c r="BSX110" s="19"/>
      <c r="BSY110" s="19"/>
      <c r="BSZ110" s="19"/>
      <c r="BTA110" s="19"/>
      <c r="BTB110" s="19"/>
      <c r="BTC110" s="19"/>
      <c r="BTD110" s="19"/>
      <c r="BTE110" s="19"/>
      <c r="BTF110" s="19"/>
      <c r="BTG110" s="19"/>
      <c r="BTH110" s="19"/>
      <c r="BTI110" s="19"/>
      <c r="BTJ110" s="19"/>
      <c r="BTK110" s="19"/>
      <c r="BTL110" s="19"/>
      <c r="BTM110" s="19"/>
      <c r="BTN110" s="19"/>
      <c r="BTO110" s="19"/>
      <c r="BTP110" s="19"/>
      <c r="BTQ110" s="19"/>
      <c r="BTR110" s="19"/>
      <c r="BTS110" s="19"/>
      <c r="BTT110" s="19"/>
      <c r="BTU110" s="19"/>
      <c r="BTV110" s="19"/>
      <c r="BTW110" s="19"/>
      <c r="BTX110" s="19"/>
      <c r="BTY110" s="19"/>
      <c r="BTZ110" s="19"/>
      <c r="BUA110" s="19"/>
      <c r="BUB110" s="19"/>
      <c r="BUC110" s="19"/>
      <c r="BUD110" s="19"/>
      <c r="BUE110" s="19"/>
      <c r="BUF110" s="19"/>
      <c r="BUG110" s="19"/>
      <c r="BUH110" s="19"/>
      <c r="BUI110" s="19"/>
      <c r="BUJ110" s="19"/>
      <c r="BUK110" s="19"/>
      <c r="BUL110" s="19"/>
      <c r="BUM110" s="19"/>
      <c r="BUN110" s="19"/>
      <c r="BUO110" s="19"/>
      <c r="BUP110" s="19"/>
      <c r="BUQ110" s="19"/>
      <c r="BUR110" s="19"/>
      <c r="BUS110" s="19"/>
      <c r="BUT110" s="19"/>
      <c r="BUU110" s="19"/>
      <c r="BUV110" s="19"/>
      <c r="BUW110" s="19"/>
      <c r="BUX110" s="19"/>
      <c r="BUY110" s="19"/>
      <c r="BUZ110" s="19"/>
      <c r="BVA110" s="19"/>
      <c r="BVB110" s="19"/>
      <c r="BVC110" s="19"/>
      <c r="BVD110" s="19"/>
      <c r="BVE110" s="19"/>
      <c r="BVF110" s="19"/>
      <c r="BVG110" s="19"/>
      <c r="BVH110" s="19"/>
      <c r="BVI110" s="19"/>
      <c r="BVJ110" s="19"/>
      <c r="BVK110" s="19"/>
      <c r="BVL110" s="19"/>
      <c r="BVM110" s="19"/>
      <c r="BVN110" s="19"/>
      <c r="BVO110" s="19"/>
      <c r="BVP110" s="19"/>
      <c r="BVQ110" s="19"/>
      <c r="BVR110" s="19"/>
      <c r="BVS110" s="19"/>
      <c r="BVT110" s="19"/>
      <c r="BVU110" s="19"/>
      <c r="BVV110" s="19"/>
      <c r="BVW110" s="19"/>
      <c r="BVX110" s="19"/>
      <c r="BVY110" s="19"/>
      <c r="BVZ110" s="19"/>
      <c r="BWA110" s="19"/>
      <c r="BWB110" s="19"/>
      <c r="BWC110" s="19"/>
      <c r="BWD110" s="19"/>
      <c r="BWE110" s="19"/>
      <c r="BWF110" s="19"/>
      <c r="BWG110" s="19"/>
      <c r="BWH110" s="19"/>
      <c r="BWI110" s="19"/>
      <c r="BWJ110" s="19"/>
      <c r="BWK110" s="19"/>
      <c r="BWL110" s="19"/>
      <c r="BWM110" s="19"/>
      <c r="BWN110" s="19"/>
      <c r="BWO110" s="19"/>
      <c r="BWP110" s="19"/>
      <c r="BWQ110" s="19"/>
      <c r="BWR110" s="19"/>
      <c r="BWS110" s="19"/>
      <c r="BWT110" s="19"/>
      <c r="BWU110" s="19"/>
      <c r="BWV110" s="19"/>
      <c r="BWW110" s="19"/>
      <c r="BWX110" s="19"/>
      <c r="BWY110" s="19"/>
      <c r="BWZ110" s="19"/>
      <c r="BXA110" s="19"/>
      <c r="BXB110" s="19"/>
      <c r="BXC110" s="19"/>
      <c r="BXD110" s="19"/>
      <c r="BXE110" s="19"/>
      <c r="BXF110" s="19"/>
      <c r="BXG110" s="19"/>
      <c r="BXH110" s="19"/>
      <c r="BXI110" s="19"/>
      <c r="BXJ110" s="19"/>
      <c r="BXK110" s="19"/>
      <c r="BXL110" s="19"/>
      <c r="BXM110" s="19"/>
      <c r="BXN110" s="19"/>
      <c r="BXO110" s="19"/>
      <c r="BXP110" s="19"/>
      <c r="BXQ110" s="19"/>
      <c r="BXR110" s="19"/>
      <c r="BXS110" s="19"/>
      <c r="BXT110" s="19"/>
      <c r="BXU110" s="19"/>
      <c r="BXV110" s="19"/>
      <c r="BXW110" s="19"/>
      <c r="BXX110" s="19"/>
      <c r="BXY110" s="19"/>
      <c r="BXZ110" s="19"/>
      <c r="BYA110" s="19"/>
      <c r="BYB110" s="19"/>
      <c r="BYC110" s="19"/>
      <c r="BYD110" s="19"/>
      <c r="BYE110" s="19"/>
      <c r="BYF110" s="19"/>
      <c r="BYG110" s="19"/>
      <c r="BYH110" s="19"/>
      <c r="BYI110" s="19"/>
      <c r="BYJ110" s="19"/>
      <c r="BYK110" s="19"/>
      <c r="BYL110" s="19"/>
      <c r="BYM110" s="19"/>
      <c r="BYN110" s="19"/>
      <c r="BYO110" s="19"/>
      <c r="BYP110" s="19"/>
      <c r="BYQ110" s="19"/>
      <c r="BYR110" s="19"/>
      <c r="BYS110" s="19"/>
      <c r="BYT110" s="19"/>
      <c r="BYU110" s="19"/>
      <c r="BYV110" s="19"/>
      <c r="BYW110" s="19"/>
      <c r="BYX110" s="19"/>
      <c r="BYY110" s="19"/>
      <c r="BYZ110" s="19"/>
      <c r="BZA110" s="19"/>
      <c r="BZB110" s="19"/>
      <c r="BZC110" s="19"/>
      <c r="BZD110" s="19"/>
      <c r="BZE110" s="19"/>
      <c r="BZF110" s="19"/>
      <c r="BZG110" s="19"/>
      <c r="BZH110" s="19"/>
      <c r="BZI110" s="19"/>
      <c r="BZJ110" s="19"/>
      <c r="BZK110" s="19"/>
      <c r="BZL110" s="19"/>
      <c r="BZM110" s="19"/>
      <c r="BZN110" s="19"/>
      <c r="BZO110" s="19"/>
      <c r="BZP110" s="19"/>
      <c r="BZQ110" s="19"/>
      <c r="BZR110" s="19"/>
      <c r="BZS110" s="19"/>
      <c r="BZT110" s="19"/>
      <c r="BZU110" s="19"/>
      <c r="BZV110" s="19"/>
      <c r="BZW110" s="19"/>
      <c r="BZX110" s="19"/>
      <c r="BZY110" s="19"/>
      <c r="BZZ110" s="19"/>
      <c r="CAA110" s="19"/>
      <c r="CAB110" s="19"/>
      <c r="CAC110" s="19"/>
      <c r="CAD110" s="19"/>
      <c r="CAE110" s="19"/>
      <c r="CAF110" s="19"/>
      <c r="CAG110" s="19"/>
      <c r="CAH110" s="19"/>
      <c r="CAI110" s="19"/>
      <c r="CAJ110" s="19"/>
      <c r="CAK110" s="19"/>
      <c r="CAL110" s="19"/>
      <c r="CAM110" s="19"/>
      <c r="CAN110" s="19"/>
      <c r="CAO110" s="19"/>
      <c r="CAP110" s="19"/>
      <c r="CAQ110" s="19"/>
      <c r="CAR110" s="19"/>
      <c r="CAS110" s="19"/>
      <c r="CAT110" s="19"/>
      <c r="CAU110" s="19"/>
      <c r="CAV110" s="19"/>
      <c r="CAW110" s="19"/>
      <c r="CAX110" s="19"/>
      <c r="CAY110" s="19"/>
      <c r="CAZ110" s="19"/>
      <c r="CBF110" s="19"/>
      <c r="CBG110" s="19"/>
      <c r="CBH110" s="19"/>
      <c r="CBI110" s="19"/>
      <c r="CBJ110" s="19"/>
      <c r="CBK110" s="19"/>
      <c r="CBL110" s="19"/>
      <c r="CBM110" s="19"/>
      <c r="CBN110" s="19"/>
      <c r="CBO110" s="19"/>
      <c r="CBP110" s="19"/>
      <c r="CBQ110" s="19"/>
      <c r="CBR110" s="19"/>
      <c r="CBS110" s="19"/>
      <c r="CBT110" s="19"/>
      <c r="CBU110" s="19"/>
      <c r="CBV110" s="19"/>
      <c r="CBW110" s="19"/>
      <c r="CBX110" s="19"/>
      <c r="CBY110" s="19"/>
      <c r="CBZ110" s="19"/>
      <c r="CCA110" s="19"/>
      <c r="CCB110" s="19"/>
      <c r="CCC110" s="19"/>
      <c r="CCD110" s="19"/>
      <c r="CCE110" s="19"/>
      <c r="CCF110" s="19"/>
      <c r="CCG110" s="19"/>
      <c r="CCH110" s="19"/>
      <c r="CCI110" s="19"/>
      <c r="CCJ110" s="19"/>
      <c r="CCK110" s="19"/>
      <c r="CCL110" s="19"/>
      <c r="CCM110" s="19"/>
      <c r="CCN110" s="19"/>
      <c r="CCO110" s="19"/>
      <c r="CCP110" s="19"/>
      <c r="CCQ110" s="19"/>
      <c r="CCR110" s="19"/>
      <c r="CCS110" s="19"/>
      <c r="CCT110" s="19"/>
      <c r="CCU110" s="19"/>
      <c r="CCV110" s="19"/>
      <c r="CCW110" s="19"/>
      <c r="CCX110" s="19"/>
      <c r="CCY110" s="19"/>
      <c r="CCZ110" s="19"/>
      <c r="CDA110" s="19"/>
      <c r="CDB110" s="19"/>
      <c r="CDC110" s="19"/>
      <c r="CDD110" s="19"/>
      <c r="CDE110" s="19"/>
      <c r="CDF110" s="19"/>
      <c r="CDG110" s="19"/>
      <c r="CDH110" s="19"/>
      <c r="CDI110" s="19"/>
      <c r="CDJ110" s="19"/>
      <c r="CDK110" s="19"/>
      <c r="CDL110" s="19"/>
      <c r="CDM110" s="19"/>
      <c r="CDN110" s="19"/>
      <c r="CDO110" s="19"/>
      <c r="CDP110" s="19"/>
      <c r="CDQ110" s="19"/>
      <c r="CDR110" s="19"/>
      <c r="CDS110" s="19"/>
      <c r="CDT110" s="19"/>
      <c r="CDU110" s="19"/>
      <c r="CDV110" s="19"/>
      <c r="CDW110" s="19"/>
      <c r="CDX110" s="19"/>
      <c r="CDY110" s="19"/>
      <c r="CDZ110" s="19"/>
      <c r="CEA110" s="19"/>
      <c r="CEB110" s="19"/>
      <c r="CEC110" s="19"/>
      <c r="CED110" s="19"/>
      <c r="CEE110" s="19"/>
    </row>
    <row r="111" spans="1:2297 10881:10881" ht="16.05" customHeight="1">
      <c r="A111" s="19" t="s">
        <v>699</v>
      </c>
      <c r="B111" s="19" t="s">
        <v>702</v>
      </c>
      <c r="C111" s="643"/>
      <c r="D111" s="428" t="str">
        <f t="shared" ca="1" si="279"/>
        <v>Austria</v>
      </c>
      <c r="E111" s="643" t="s">
        <v>456</v>
      </c>
      <c r="F111" s="643" t="s">
        <v>254</v>
      </c>
      <c r="G111" s="424" t="s">
        <v>456</v>
      </c>
      <c r="H111" s="624">
        <f t="shared" ca="1" si="280"/>
        <v>12</v>
      </c>
      <c r="I111" s="10"/>
      <c r="J111" s="19">
        <v>83</v>
      </c>
      <c r="K111" s="439">
        <v>46205.75</v>
      </c>
      <c r="L111" s="19" t="s">
        <v>714</v>
      </c>
      <c r="M111" s="19" t="str">
        <f t="shared" ca="1" si="281"/>
        <v>Portugal</v>
      </c>
      <c r="N111" s="19"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9"/>
      <c r="P111" s="19"/>
      <c r="Q111" s="19"/>
      <c r="R111" s="19"/>
      <c r="S111" s="19"/>
      <c r="T111" s="19"/>
      <c r="U111" s="19"/>
      <c r="V111" s="20"/>
      <c r="W111" s="671"/>
      <c r="X111" s="27">
        <f ca="1">Horarios!C111</f>
        <v>46205.875</v>
      </c>
      <c r="Y111" s="28">
        <f ca="1">Horarios!C111</f>
        <v>46205.875</v>
      </c>
      <c r="Z111" s="289">
        <f t="shared" si="286"/>
        <v>84</v>
      </c>
      <c r="AA111" s="96" t="str">
        <f t="shared" ca="1" si="282"/>
        <v>España</v>
      </c>
      <c r="AB111" s="97"/>
      <c r="AC111" s="100">
        <v>0</v>
      </c>
      <c r="AD111" s="100">
        <v>1</v>
      </c>
      <c r="AE111" s="97"/>
      <c r="AF111" s="99" t="str">
        <f t="shared" ca="1" si="283"/>
        <v>Austria</v>
      </c>
      <c r="AG111" s="339">
        <f t="shared" ca="1" si="284"/>
        <v>1</v>
      </c>
      <c r="AH111" s="204">
        <v>84</v>
      </c>
      <c r="AI111" s="191">
        <v>10</v>
      </c>
      <c r="AJ111" s="46">
        <v>10</v>
      </c>
      <c r="AK111" s="40" t="str">
        <f ca="1">IFERROR(INDEX(Equipos!$L$2:$L$49,MATCH(WORLDCUP!AL111,Equipos!$K$2:$K$49,0)),"")</f>
        <v>🇩🇿</v>
      </c>
      <c r="AL111" s="93" t="str">
        <f t="shared" ca="1" si="287"/>
        <v>Argelia</v>
      </c>
      <c r="AM111" s="334">
        <f t="shared" ca="1" si="288"/>
        <v>1</v>
      </c>
      <c r="AN111" s="94">
        <f t="shared" ca="1" si="288"/>
        <v>3</v>
      </c>
      <c r="AO111" s="94">
        <f t="shared" ca="1" si="288"/>
        <v>0</v>
      </c>
      <c r="AP111" s="94">
        <f t="shared" ca="1" si="288"/>
        <v>1</v>
      </c>
      <c r="AQ111" s="94">
        <f t="shared" ca="1" si="288"/>
        <v>2</v>
      </c>
      <c r="AR111" s="94">
        <f t="shared" ca="1" si="288"/>
        <v>1</v>
      </c>
      <c r="AS111" s="94">
        <f t="shared" ca="1" si="288"/>
        <v>3</v>
      </c>
      <c r="AT111" s="95">
        <f t="shared" ca="1" si="288"/>
        <v>-2</v>
      </c>
      <c r="AU111" s="342">
        <f t="shared" ca="1" si="289"/>
        <v>1</v>
      </c>
      <c r="AV111" s="191" t="str">
        <f t="shared" ca="1" si="290"/>
        <v>Argelia</v>
      </c>
      <c r="AW111" s="224"/>
      <c r="AX111" s="178"/>
      <c r="AY111" s="284"/>
      <c r="AZ111" s="284"/>
      <c r="BA111" s="155"/>
      <c r="BB111" s="19"/>
      <c r="BC111" s="19"/>
      <c r="BD111" s="429"/>
      <c r="BE111" s="19"/>
      <c r="BF111" s="19"/>
      <c r="BG111" s="19"/>
      <c r="BH111" s="19"/>
      <c r="BI111" s="19" t="s">
        <v>88</v>
      </c>
      <c r="BJ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19"/>
      <c r="MI111" s="19"/>
      <c r="MJ111" s="19"/>
      <c r="MK111" s="19"/>
      <c r="ML111" s="19"/>
      <c r="MM111" s="19"/>
      <c r="MN111" s="19"/>
      <c r="MO111" s="19"/>
      <c r="MP111" s="19"/>
      <c r="MQ111" s="19"/>
      <c r="MR111" s="19"/>
      <c r="MS111" s="19"/>
      <c r="MT111" s="19"/>
      <c r="MU111" s="19"/>
      <c r="MV111" s="19"/>
      <c r="MW111" s="19"/>
      <c r="MX111" s="19"/>
      <c r="MY111" s="19"/>
      <c r="MZ111" s="19"/>
      <c r="NA111" s="19"/>
      <c r="NB111" s="19"/>
      <c r="NC111" s="19"/>
      <c r="ND111" s="19"/>
      <c r="NE111" s="19"/>
      <c r="NF111" s="19"/>
      <c r="NG111" s="19"/>
      <c r="NH111" s="19"/>
      <c r="NI111" s="19"/>
      <c r="NJ111" s="19"/>
      <c r="NK111" s="19"/>
      <c r="NL111" s="19"/>
      <c r="NM111" s="19"/>
      <c r="NN111" s="19"/>
      <c r="NO111" s="19"/>
      <c r="NP111" s="19"/>
      <c r="NQ111" s="19"/>
      <c r="NR111" s="19"/>
      <c r="NS111" s="19"/>
      <c r="NT111" s="19"/>
      <c r="NU111" s="19"/>
      <c r="NV111" s="19"/>
      <c r="NW111" s="19"/>
      <c r="NX111" s="19"/>
      <c r="NY111" s="19"/>
      <c r="NZ111" s="19"/>
      <c r="OA111" s="19"/>
      <c r="OB111" s="19"/>
      <c r="OC111" s="19"/>
      <c r="OD111" s="19"/>
      <c r="OE111" s="19"/>
      <c r="OF111" s="19"/>
      <c r="OG111" s="19"/>
      <c r="OH111" s="19"/>
      <c r="OI111" s="19"/>
      <c r="OJ111" s="19"/>
      <c r="OK111" s="19"/>
      <c r="OL111" s="19"/>
      <c r="OM111" s="19"/>
      <c r="ON111" s="19"/>
      <c r="OO111" s="19"/>
      <c r="OP111" s="19"/>
      <c r="OQ111" s="19"/>
      <c r="OR111" s="19"/>
      <c r="OS111" s="19"/>
      <c r="OT111" s="19"/>
      <c r="OU111" s="19"/>
      <c r="OV111" s="19"/>
      <c r="OW111" s="19"/>
      <c r="OX111" s="19"/>
      <c r="OY111" s="19"/>
      <c r="OZ111" s="19"/>
      <c r="PA111" s="19"/>
      <c r="PB111" s="19"/>
      <c r="PC111" s="19"/>
      <c r="PD111" s="19"/>
      <c r="PE111" s="19"/>
      <c r="PF111" s="19"/>
      <c r="PG111" s="19"/>
      <c r="PH111" s="19"/>
      <c r="PI111" s="19"/>
      <c r="PJ111" s="19"/>
      <c r="PK111" s="19"/>
      <c r="PL111" s="19"/>
      <c r="PM111" s="19"/>
      <c r="PN111" s="19"/>
      <c r="PO111" s="19"/>
      <c r="PP111" s="19"/>
      <c r="PQ111" s="19"/>
      <c r="PR111" s="19"/>
      <c r="PS111" s="19"/>
      <c r="PT111" s="19"/>
      <c r="PU111" s="19"/>
      <c r="PV111" s="19"/>
      <c r="PW111" s="19"/>
      <c r="PX111" s="19"/>
      <c r="PY111" s="19"/>
      <c r="PZ111" s="19"/>
      <c r="QA111" s="19"/>
      <c r="QB111" s="19"/>
      <c r="QC111" s="19"/>
      <c r="QD111" s="19"/>
      <c r="QE111" s="19"/>
      <c r="QF111" s="19"/>
      <c r="QG111" s="19"/>
      <c r="QH111" s="19"/>
      <c r="QI111" s="19"/>
      <c r="QJ111" s="19"/>
      <c r="QK111" s="19"/>
      <c r="QL111" s="19"/>
      <c r="QM111" s="19"/>
      <c r="QN111" s="19"/>
      <c r="QO111" s="19"/>
      <c r="QP111" s="19"/>
      <c r="QQ111" s="19"/>
      <c r="QR111" s="19"/>
      <c r="QS111" s="19"/>
      <c r="QT111" s="19"/>
      <c r="QU111" s="19"/>
      <c r="QV111" s="19"/>
      <c r="QW111" s="19"/>
      <c r="QX111" s="19"/>
      <c r="QY111" s="19"/>
      <c r="QZ111" s="19"/>
      <c r="RA111" s="19"/>
      <c r="RB111" s="19"/>
      <c r="RC111" s="19"/>
      <c r="RD111" s="19"/>
      <c r="RE111" s="19"/>
      <c r="RF111" s="19"/>
      <c r="RG111" s="19"/>
      <c r="RH111" s="19"/>
      <c r="RI111" s="19"/>
      <c r="RJ111" s="19"/>
      <c r="RK111" s="19"/>
      <c r="RL111" s="19"/>
      <c r="RM111" s="19"/>
      <c r="RN111" s="19"/>
      <c r="RO111" s="19"/>
      <c r="RP111" s="19"/>
      <c r="RQ111" s="19"/>
      <c r="RR111" s="19"/>
      <c r="RS111" s="19"/>
      <c r="RT111" s="19"/>
      <c r="RU111" s="19"/>
      <c r="RV111" s="19"/>
      <c r="RW111" s="19"/>
      <c r="RX111" s="19"/>
      <c r="RY111" s="19"/>
      <c r="RZ111" s="19"/>
      <c r="SA111" s="19"/>
      <c r="SB111" s="19"/>
      <c r="SC111" s="19"/>
      <c r="SD111" s="19"/>
      <c r="SE111" s="19"/>
      <c r="SF111" s="19"/>
      <c r="SG111" s="19"/>
      <c r="SH111" s="19"/>
      <c r="SI111" s="19"/>
      <c r="SJ111" s="19"/>
      <c r="SK111" s="19"/>
      <c r="SL111" s="19"/>
      <c r="SM111" s="19"/>
      <c r="SN111" s="19"/>
      <c r="SO111" s="19"/>
      <c r="SP111" s="19"/>
      <c r="SQ111" s="19"/>
      <c r="SR111" s="19"/>
      <c r="SS111" s="19"/>
      <c r="ST111" s="19"/>
      <c r="SU111" s="19"/>
      <c r="SV111" s="19"/>
      <c r="SW111" s="19"/>
      <c r="SX111" s="19"/>
      <c r="SY111" s="19"/>
      <c r="SZ111" s="19"/>
      <c r="TA111" s="19"/>
      <c r="TB111" s="19"/>
      <c r="TC111" s="19"/>
      <c r="TD111" s="19"/>
      <c r="TE111" s="19"/>
      <c r="TF111" s="19"/>
      <c r="TG111" s="19"/>
      <c r="TH111" s="19"/>
      <c r="TI111" s="19"/>
      <c r="TJ111" s="19"/>
      <c r="TK111" s="19"/>
      <c r="TL111" s="19"/>
      <c r="TM111" s="19"/>
      <c r="TN111" s="19"/>
      <c r="TO111" s="19"/>
      <c r="TP111" s="19"/>
      <c r="TQ111" s="19"/>
      <c r="TR111" s="19"/>
      <c r="TS111" s="19"/>
      <c r="TT111" s="19"/>
      <c r="TU111" s="19"/>
      <c r="TV111" s="19"/>
      <c r="TW111" s="19"/>
      <c r="TX111" s="19"/>
      <c r="TY111" s="19"/>
      <c r="TZ111" s="19"/>
      <c r="UA111" s="19"/>
      <c r="UB111" s="19"/>
      <c r="UC111" s="19"/>
      <c r="UD111" s="19"/>
      <c r="UE111" s="19"/>
      <c r="UF111" s="19"/>
      <c r="UG111" s="19"/>
      <c r="UH111" s="19"/>
      <c r="UI111" s="19"/>
      <c r="UJ111" s="19"/>
      <c r="UK111" s="19"/>
      <c r="UL111" s="19"/>
      <c r="UM111" s="19"/>
      <c r="UN111" s="19"/>
      <c r="UO111" s="19"/>
      <c r="UP111" s="19"/>
      <c r="UQ111" s="19"/>
      <c r="UR111" s="19"/>
      <c r="US111" s="19"/>
      <c r="UT111" s="19"/>
      <c r="UU111" s="19"/>
      <c r="UV111" s="19"/>
      <c r="UW111" s="19"/>
      <c r="UX111" s="19"/>
      <c r="UY111" s="19"/>
      <c r="UZ111" s="19"/>
      <c r="VA111" s="19"/>
      <c r="VB111" s="19"/>
      <c r="VC111" s="19"/>
      <c r="VD111" s="19"/>
      <c r="VE111" s="19"/>
      <c r="VF111" s="19"/>
      <c r="VG111" s="19"/>
      <c r="VH111" s="19"/>
      <c r="VI111" s="19"/>
      <c r="VJ111" s="19"/>
      <c r="VK111" s="19"/>
      <c r="VL111" s="19"/>
      <c r="VM111" s="19"/>
      <c r="VN111" s="19"/>
      <c r="VO111" s="19"/>
      <c r="VP111" s="19"/>
      <c r="VQ111" s="19"/>
      <c r="VR111" s="19"/>
      <c r="VS111" s="19"/>
      <c r="VT111" s="19"/>
      <c r="VU111" s="19"/>
      <c r="VV111" s="19"/>
      <c r="VW111" s="19"/>
      <c r="VX111" s="19"/>
      <c r="VY111" s="19"/>
      <c r="VZ111" s="19"/>
      <c r="WA111" s="19"/>
      <c r="WB111" s="19"/>
      <c r="WC111" s="19"/>
      <c r="WD111" s="19"/>
      <c r="WE111" s="19"/>
      <c r="WF111" s="19"/>
      <c r="WG111" s="19"/>
      <c r="WH111" s="19"/>
      <c r="WI111" s="19"/>
      <c r="WJ111" s="19"/>
      <c r="WK111" s="19"/>
      <c r="WL111" s="19"/>
      <c r="WM111" s="19"/>
      <c r="WN111" s="19"/>
      <c r="WO111" s="19"/>
      <c r="WP111" s="19"/>
      <c r="WQ111" s="19"/>
      <c r="WR111" s="19"/>
      <c r="WS111" s="19"/>
      <c r="WT111" s="19"/>
      <c r="WU111" s="19"/>
      <c r="WV111" s="19"/>
      <c r="WW111" s="19"/>
      <c r="WX111" s="19"/>
      <c r="WY111" s="19"/>
      <c r="WZ111" s="19"/>
      <c r="XA111" s="19"/>
      <c r="XB111" s="19"/>
      <c r="XC111" s="19"/>
      <c r="XD111" s="19"/>
      <c r="XE111" s="19"/>
      <c r="XF111" s="19"/>
      <c r="XG111" s="19"/>
      <c r="XH111" s="19"/>
      <c r="XI111" s="19"/>
      <c r="XJ111" s="19"/>
      <c r="XK111" s="19"/>
      <c r="XL111" s="19"/>
      <c r="XM111" s="19"/>
      <c r="XN111" s="19"/>
      <c r="XO111" s="19"/>
      <c r="XP111" s="19"/>
      <c r="XQ111" s="19"/>
      <c r="XR111" s="19"/>
      <c r="XS111" s="19"/>
      <c r="XT111" s="19"/>
      <c r="XU111" s="19"/>
      <c r="XV111" s="19"/>
      <c r="XW111" s="19"/>
      <c r="XX111" s="19"/>
      <c r="XY111" s="19"/>
      <c r="XZ111" s="19"/>
      <c r="YA111" s="19"/>
      <c r="YB111" s="19"/>
      <c r="YC111" s="19"/>
      <c r="YD111" s="19"/>
      <c r="YE111" s="19"/>
      <c r="YF111" s="19"/>
      <c r="YG111" s="19"/>
      <c r="YH111" s="19"/>
      <c r="YI111" s="19"/>
      <c r="YJ111" s="19"/>
      <c r="YK111" s="19"/>
      <c r="YL111" s="19"/>
      <c r="YM111" s="19"/>
      <c r="YN111" s="19"/>
      <c r="YO111" s="19"/>
      <c r="YP111" s="19"/>
      <c r="YQ111" s="19"/>
      <c r="YR111" s="19"/>
      <c r="YS111" s="19"/>
      <c r="YT111" s="19"/>
      <c r="YU111" s="19"/>
      <c r="YV111" s="19"/>
      <c r="YW111" s="19"/>
      <c r="YX111" s="19"/>
      <c r="YY111" s="19"/>
      <c r="YZ111" s="19"/>
      <c r="ZA111" s="19"/>
      <c r="ZB111" s="19"/>
      <c r="ZC111" s="19"/>
      <c r="ZD111" s="19"/>
      <c r="ZE111" s="19"/>
      <c r="ZF111" s="19"/>
      <c r="ZG111" s="19"/>
      <c r="ZH111" s="19"/>
      <c r="ZI111" s="19"/>
      <c r="ZJ111" s="19"/>
      <c r="ZK111" s="19"/>
      <c r="ZL111" s="19"/>
      <c r="ZM111" s="19"/>
      <c r="ZN111" s="19"/>
      <c r="ZO111" s="19"/>
      <c r="ZP111" s="19"/>
      <c r="ZQ111" s="19"/>
      <c r="ZR111" s="19"/>
      <c r="ZS111" s="19"/>
      <c r="ZT111" s="19"/>
      <c r="ZU111" s="19"/>
      <c r="ZV111" s="19"/>
      <c r="ZW111" s="19"/>
      <c r="ZX111" s="19"/>
      <c r="ZY111" s="19"/>
      <c r="ZZ111" s="19"/>
      <c r="AAA111" s="19"/>
      <c r="AAB111" s="19"/>
      <c r="AAC111" s="19"/>
      <c r="AAD111" s="19"/>
      <c r="AAE111" s="19"/>
      <c r="AAF111" s="19"/>
      <c r="AAG111" s="19"/>
      <c r="AAH111" s="19"/>
      <c r="AAI111" s="19"/>
      <c r="AAJ111" s="19"/>
      <c r="AAK111" s="19"/>
      <c r="AAL111" s="19"/>
      <c r="AAM111" s="19"/>
      <c r="AAN111" s="19"/>
      <c r="AAO111" s="19"/>
      <c r="AAP111" s="19"/>
      <c r="AAQ111" s="19"/>
      <c r="AAR111" s="19"/>
      <c r="AAS111" s="19"/>
      <c r="AAT111" s="19"/>
      <c r="AAU111" s="19"/>
      <c r="AAV111" s="19"/>
      <c r="AAW111" s="19"/>
      <c r="AAX111" s="19"/>
      <c r="AAY111" s="19"/>
      <c r="AAZ111" s="19"/>
      <c r="ABA111" s="19"/>
      <c r="ABB111" s="19"/>
      <c r="ABC111" s="19"/>
      <c r="ABD111" s="19"/>
      <c r="ABE111" s="19"/>
      <c r="ABF111" s="19"/>
      <c r="ABG111" s="19"/>
      <c r="ABH111" s="19"/>
      <c r="ABI111" s="19"/>
      <c r="ABJ111" s="19"/>
      <c r="ABK111" s="19"/>
      <c r="ABL111" s="19"/>
      <c r="ABM111" s="19"/>
      <c r="ABN111" s="19"/>
      <c r="ABO111" s="19"/>
      <c r="ABP111" s="19"/>
      <c r="ABQ111" s="19"/>
      <c r="ABR111" s="19"/>
      <c r="ABS111" s="19"/>
      <c r="ABT111" s="19"/>
      <c r="ABU111" s="19"/>
      <c r="ABV111" s="19"/>
      <c r="ABW111" s="19"/>
      <c r="ABX111" s="19"/>
      <c r="ABY111" s="19"/>
      <c r="ABZ111" s="19"/>
      <c r="ACA111" s="19"/>
      <c r="ACB111" s="19"/>
      <c r="ACC111" s="19"/>
      <c r="ACD111" s="19"/>
      <c r="ACE111" s="19"/>
      <c r="ACF111" s="19"/>
      <c r="ACG111" s="19"/>
      <c r="ACH111" s="19"/>
      <c r="ACI111" s="19"/>
      <c r="ACJ111" s="19"/>
      <c r="ACK111" s="19"/>
      <c r="ACL111" s="19"/>
      <c r="ACM111" s="19"/>
      <c r="ACN111" s="19"/>
      <c r="ACO111" s="19"/>
      <c r="ACP111" s="19"/>
      <c r="ACQ111" s="19"/>
      <c r="ACR111" s="19"/>
      <c r="ACS111" s="19"/>
      <c r="ACT111" s="19"/>
      <c r="ACU111" s="19"/>
      <c r="ACV111" s="19"/>
      <c r="ACW111" s="19"/>
      <c r="ACX111" s="19"/>
      <c r="ACY111" s="19"/>
      <c r="ACZ111" s="19"/>
      <c r="ADA111" s="19"/>
      <c r="ADB111" s="19"/>
      <c r="ADC111" s="19"/>
      <c r="ADD111" s="19"/>
      <c r="ADE111" s="19"/>
      <c r="ADF111" s="19"/>
      <c r="ADG111" s="19"/>
      <c r="ADH111" s="19"/>
      <c r="ADI111" s="19"/>
      <c r="ADJ111" s="19"/>
      <c r="ADK111" s="19"/>
      <c r="ADL111" s="19"/>
      <c r="ADM111" s="19"/>
      <c r="ADN111" s="19"/>
      <c r="ADO111" s="19"/>
      <c r="ADP111" s="19"/>
      <c r="ADQ111" s="19"/>
      <c r="ADR111" s="19"/>
      <c r="ADS111" s="19"/>
      <c r="ADT111" s="19"/>
      <c r="ADU111" s="19"/>
      <c r="ADV111" s="19"/>
      <c r="ADW111" s="19"/>
      <c r="ADX111" s="19"/>
      <c r="ADY111" s="19"/>
      <c r="ADZ111" s="19"/>
      <c r="AEA111" s="19"/>
      <c r="AEB111" s="19"/>
      <c r="AEC111" s="19"/>
      <c r="AED111" s="19"/>
      <c r="AEE111" s="19"/>
      <c r="AEF111" s="19"/>
      <c r="AEG111" s="19"/>
      <c r="AEH111" s="19"/>
      <c r="AEI111" s="19"/>
      <c r="AEJ111" s="19"/>
      <c r="AEK111" s="19"/>
      <c r="AEL111" s="19"/>
      <c r="AEM111" s="19"/>
      <c r="AEN111" s="19"/>
      <c r="AEO111" s="19"/>
      <c r="AEP111" s="19"/>
      <c r="AEQ111" s="19"/>
      <c r="AER111" s="19"/>
      <c r="AES111" s="19"/>
      <c r="AET111" s="19"/>
      <c r="AEU111" s="19"/>
      <c r="AEV111" s="19"/>
      <c r="AEW111" s="19"/>
      <c r="AEX111" s="19"/>
      <c r="AEY111" s="19"/>
      <c r="AEZ111" s="19"/>
      <c r="AFA111" s="19"/>
      <c r="AFB111" s="19"/>
      <c r="AFC111" s="19"/>
      <c r="AFD111" s="19"/>
      <c r="AFE111" s="19"/>
      <c r="AFF111" s="19"/>
      <c r="AFG111" s="19"/>
      <c r="AFH111" s="19"/>
      <c r="AFI111" s="19"/>
      <c r="AFJ111" s="19"/>
      <c r="AFK111" s="19"/>
      <c r="AFL111" s="19"/>
      <c r="AFM111" s="19"/>
      <c r="AFN111" s="19"/>
      <c r="AFO111" s="19"/>
      <c r="AFP111" s="19"/>
      <c r="AFQ111" s="19"/>
      <c r="AFR111" s="19"/>
      <c r="AFS111" s="19"/>
      <c r="AFT111" s="19"/>
      <c r="AFU111" s="19"/>
      <c r="AFV111" s="19"/>
      <c r="AFW111" s="19"/>
      <c r="AFX111" s="19"/>
      <c r="AFY111" s="19"/>
      <c r="AFZ111" s="19"/>
      <c r="AGA111" s="19"/>
      <c r="AGB111" s="19"/>
      <c r="AGC111" s="19"/>
      <c r="AGD111" s="19"/>
      <c r="AGE111" s="19"/>
      <c r="AGF111" s="19"/>
      <c r="AGG111" s="19"/>
      <c r="AGH111" s="19"/>
      <c r="AGI111" s="19"/>
      <c r="AGJ111" s="19"/>
      <c r="AGK111" s="19"/>
      <c r="AGL111" s="19"/>
      <c r="AGM111" s="19"/>
      <c r="AGN111" s="19"/>
      <c r="AGO111" s="19"/>
      <c r="AGP111" s="19"/>
      <c r="AGQ111" s="19"/>
      <c r="AGR111" s="19"/>
      <c r="AGS111" s="19"/>
      <c r="AGT111" s="19"/>
      <c r="AGU111" s="19"/>
      <c r="AGV111" s="19"/>
      <c r="AGW111" s="19"/>
      <c r="AGX111" s="19"/>
      <c r="AGY111" s="19"/>
      <c r="AGZ111" s="19"/>
      <c r="AHA111" s="19"/>
      <c r="AHB111" s="19"/>
      <c r="AHC111" s="19"/>
      <c r="AHD111" s="19"/>
      <c r="AHE111" s="19"/>
      <c r="AHF111" s="19"/>
      <c r="AHG111" s="19"/>
      <c r="AHH111" s="19"/>
      <c r="AHI111" s="19"/>
      <c r="AHJ111" s="19"/>
      <c r="AHK111" s="19"/>
      <c r="AHL111" s="19"/>
      <c r="AHM111" s="19"/>
      <c r="AHN111" s="19"/>
      <c r="AHO111" s="19"/>
      <c r="AHP111" s="19"/>
      <c r="AHQ111" s="19"/>
      <c r="AHR111" s="19"/>
      <c r="AHS111" s="19"/>
      <c r="AHT111" s="19"/>
      <c r="AHU111" s="19"/>
      <c r="AHV111" s="19"/>
      <c r="AHW111" s="19"/>
      <c r="AHX111" s="19"/>
      <c r="AHY111" s="19"/>
      <c r="AHZ111" s="19"/>
      <c r="AIA111" s="19"/>
      <c r="AIB111" s="19"/>
      <c r="AIC111" s="19"/>
      <c r="AID111" s="19"/>
      <c r="AIE111" s="19"/>
      <c r="AIF111" s="19"/>
      <c r="AIG111" s="19"/>
      <c r="AIH111" s="19"/>
      <c r="AII111" s="19"/>
      <c r="AIJ111" s="19"/>
      <c r="AIK111" s="19"/>
      <c r="AIL111" s="19"/>
      <c r="AIM111" s="19"/>
      <c r="AIN111" s="19"/>
      <c r="AIO111" s="19"/>
      <c r="AIP111" s="19"/>
      <c r="AIQ111" s="19"/>
      <c r="AIR111" s="19"/>
      <c r="AIS111" s="19"/>
      <c r="AIT111" s="19"/>
      <c r="AIU111" s="19"/>
      <c r="AIV111" s="19"/>
      <c r="AIW111" s="19"/>
      <c r="AIX111" s="19"/>
      <c r="AIY111" s="19"/>
      <c r="AIZ111" s="19"/>
      <c r="AJA111" s="19"/>
      <c r="AJB111" s="19"/>
      <c r="AJC111" s="19"/>
      <c r="AJD111" s="19"/>
      <c r="AJE111" s="19"/>
      <c r="AJF111" s="19"/>
      <c r="AJG111" s="19"/>
      <c r="AJH111" s="19"/>
      <c r="AJI111" s="19"/>
      <c r="AJJ111" s="19"/>
      <c r="AJK111" s="19"/>
      <c r="AJL111" s="19"/>
      <c r="AJM111" s="19"/>
      <c r="AJN111" s="19"/>
      <c r="AJO111" s="19"/>
      <c r="AJP111" s="19"/>
      <c r="AJQ111" s="19"/>
      <c r="AJR111" s="19"/>
      <c r="AJS111" s="19"/>
      <c r="AJT111" s="19"/>
      <c r="AJU111" s="19"/>
      <c r="AJV111" s="19"/>
      <c r="AJW111" s="19"/>
      <c r="AJX111" s="19"/>
      <c r="AJY111" s="19"/>
      <c r="AJZ111" s="19"/>
      <c r="AKA111" s="19"/>
      <c r="AKB111" s="19"/>
      <c r="AKC111" s="19"/>
      <c r="AKD111" s="19"/>
      <c r="AKE111" s="19"/>
      <c r="AKF111" s="19"/>
      <c r="AKG111" s="19"/>
      <c r="AKH111" s="19"/>
      <c r="AKI111" s="19"/>
      <c r="AKJ111" s="19"/>
      <c r="AKK111" s="19"/>
      <c r="AKL111" s="19"/>
      <c r="AKM111" s="19"/>
      <c r="AKN111" s="19"/>
      <c r="AKO111" s="19"/>
      <c r="AKP111" s="19"/>
      <c r="AKQ111" s="19"/>
      <c r="AKR111" s="19"/>
      <c r="AKS111" s="19"/>
      <c r="AKT111" s="19"/>
      <c r="AKU111" s="19"/>
      <c r="AKV111" s="19"/>
      <c r="AKW111" s="19"/>
      <c r="AKX111" s="19"/>
      <c r="AKY111" s="19"/>
      <c r="AKZ111" s="19"/>
      <c r="ALA111" s="19"/>
      <c r="ALB111" s="19"/>
      <c r="ALC111" s="19"/>
      <c r="ALD111" s="19"/>
      <c r="ALE111" s="19"/>
      <c r="ALF111" s="19"/>
      <c r="ALG111" s="19"/>
      <c r="ALH111" s="19"/>
      <c r="ALI111" s="19"/>
      <c r="ALJ111" s="19"/>
      <c r="ALK111" s="19"/>
      <c r="ALL111" s="19"/>
      <c r="ALM111" s="19"/>
      <c r="ALN111" s="19"/>
      <c r="ALO111" s="19"/>
      <c r="ALP111" s="19"/>
      <c r="ALQ111" s="19"/>
      <c r="ALR111" s="19"/>
      <c r="ALS111" s="19"/>
      <c r="ALT111" s="19"/>
      <c r="ALU111" s="19"/>
      <c r="ALV111" s="19"/>
      <c r="ALW111" s="19"/>
      <c r="ALX111" s="19"/>
      <c r="ALY111" s="19"/>
      <c r="ALZ111" s="19"/>
      <c r="AMA111" s="19"/>
      <c r="AMB111" s="19"/>
      <c r="AMC111" s="19"/>
      <c r="AMD111" s="19"/>
      <c r="AME111" s="19"/>
      <c r="AMF111" s="19"/>
      <c r="AMG111" s="19"/>
      <c r="AMH111" s="19"/>
      <c r="AMI111" s="19"/>
      <c r="AMJ111" s="19"/>
      <c r="AMK111" s="19"/>
      <c r="AML111" s="19"/>
      <c r="AMM111" s="19"/>
      <c r="AMN111" s="19"/>
      <c r="AMO111" s="19"/>
      <c r="AMP111" s="19"/>
      <c r="AMQ111" s="19"/>
      <c r="AMR111" s="19"/>
      <c r="AMS111" s="19"/>
      <c r="AMT111" s="19"/>
      <c r="AMU111" s="19"/>
      <c r="AMV111" s="19"/>
      <c r="AMW111" s="19"/>
      <c r="AMX111" s="19"/>
      <c r="AMY111" s="19"/>
      <c r="AMZ111" s="19"/>
      <c r="ANA111" s="19"/>
      <c r="ANB111" s="19"/>
      <c r="ANC111" s="19"/>
      <c r="AND111" s="19"/>
      <c r="ANE111" s="19"/>
      <c r="ANF111" s="19"/>
      <c r="ANG111" s="19"/>
      <c r="ANH111" s="19"/>
      <c r="ANI111" s="19"/>
      <c r="ANJ111" s="19"/>
      <c r="ANK111" s="19"/>
      <c r="ANL111" s="19"/>
      <c r="ANM111" s="19"/>
      <c r="ANN111" s="19"/>
      <c r="ANO111" s="19"/>
      <c r="ANP111" s="19"/>
      <c r="ANQ111" s="639"/>
      <c r="ANR111" s="639"/>
      <c r="ANS111" s="19"/>
      <c r="ANT111" s="19"/>
      <c r="ANU111" s="19"/>
      <c r="ANV111" s="19"/>
      <c r="ANW111" s="19"/>
      <c r="ANX111" s="19"/>
      <c r="ANY111" s="19"/>
      <c r="ANZ111" s="19"/>
      <c r="AOA111" s="19"/>
      <c r="AOB111" s="19"/>
      <c r="AOC111" s="19"/>
      <c r="AOD111" s="19"/>
      <c r="AOE111" s="19"/>
      <c r="AOF111" s="19"/>
      <c r="AOG111" s="19"/>
      <c r="AOH111" s="19"/>
      <c r="AOI111" s="19"/>
      <c r="AOJ111" s="19"/>
      <c r="AOK111" s="19"/>
      <c r="AOL111" s="19"/>
      <c r="AOM111" s="19"/>
      <c r="AON111" s="19"/>
      <c r="AOO111" s="19"/>
      <c r="AOP111" s="19"/>
      <c r="AOQ111" s="19"/>
      <c r="AOR111" s="19"/>
      <c r="AOS111" s="19"/>
      <c r="AOT111" s="19"/>
      <c r="AOU111" s="19"/>
      <c r="AOV111" s="19"/>
      <c r="AOW111" s="19"/>
      <c r="AOX111" s="19"/>
      <c r="AOY111" s="19"/>
      <c r="AOZ111" s="19"/>
      <c r="APA111" s="19"/>
      <c r="APB111" s="19"/>
      <c r="APC111" s="19"/>
      <c r="APD111" s="19"/>
      <c r="APE111" s="19"/>
      <c r="APF111" s="19"/>
      <c r="APG111" s="19"/>
      <c r="APH111" s="19"/>
      <c r="API111" s="19"/>
      <c r="APJ111" s="19"/>
      <c r="APK111" s="19"/>
      <c r="APL111" s="19"/>
      <c r="APM111" s="19"/>
      <c r="APN111" s="19"/>
      <c r="APO111" s="19"/>
      <c r="APP111" s="19"/>
      <c r="APQ111" s="19"/>
      <c r="APR111" s="19"/>
      <c r="APS111" s="19"/>
      <c r="APT111" s="19"/>
      <c r="APU111" s="19"/>
      <c r="APV111" s="19"/>
      <c r="APW111" s="19"/>
      <c r="APX111" s="19"/>
      <c r="APY111" s="19"/>
      <c r="APZ111" s="19"/>
      <c r="AQA111" s="19"/>
      <c r="AQB111" s="19"/>
      <c r="AQC111" s="19"/>
      <c r="AQD111" s="19"/>
      <c r="AQE111" s="19"/>
      <c r="AQF111" s="19"/>
      <c r="AQG111" s="19"/>
      <c r="AQH111" s="19"/>
      <c r="AQI111" s="19"/>
      <c r="AQJ111" s="19"/>
      <c r="AQK111" s="19"/>
      <c r="AQL111" s="19"/>
      <c r="AQM111" s="19"/>
      <c r="AQN111" s="19"/>
      <c r="AQO111" s="19"/>
      <c r="AQP111" s="19"/>
      <c r="AQQ111" s="19"/>
      <c r="AQR111" s="19"/>
      <c r="AQS111" s="19"/>
      <c r="AQT111" s="19"/>
      <c r="AQU111" s="19"/>
      <c r="AQV111" s="19"/>
      <c r="AQW111" s="19"/>
      <c r="AQX111" s="19"/>
      <c r="AQY111" s="19"/>
      <c r="AQZ111" s="19"/>
      <c r="ARA111" s="19"/>
      <c r="ARB111" s="19"/>
      <c r="ARC111" s="19"/>
      <c r="ARD111" s="19"/>
      <c r="ARE111" s="19"/>
      <c r="ARF111" s="19"/>
      <c r="ARG111" s="19"/>
      <c r="ARH111" s="19"/>
      <c r="ARI111" s="19"/>
      <c r="ARJ111" s="19"/>
      <c r="ARK111" s="19"/>
      <c r="ARL111" s="19"/>
      <c r="ARM111" s="19"/>
      <c r="ARN111" s="19"/>
      <c r="ARO111" s="19"/>
      <c r="ARP111" s="19"/>
      <c r="ARQ111" s="19"/>
      <c r="ARR111" s="19"/>
      <c r="ARS111" s="19"/>
      <c r="ART111" s="19"/>
      <c r="ARU111" s="19"/>
      <c r="ARV111" s="19"/>
      <c r="ARW111" s="19"/>
      <c r="ARX111" s="19"/>
      <c r="ARY111" s="19"/>
      <c r="ARZ111" s="19"/>
      <c r="ASA111" s="19"/>
      <c r="ASB111" s="19"/>
      <c r="ASC111" s="19"/>
      <c r="ASD111" s="19"/>
      <c r="ASE111" s="19"/>
      <c r="ASF111" s="19"/>
      <c r="ASG111" s="19"/>
      <c r="ASH111" s="19"/>
      <c r="ASI111" s="19"/>
      <c r="ASJ111" s="19"/>
      <c r="ASK111" s="19"/>
      <c r="ASL111" s="19"/>
      <c r="ASM111" s="19"/>
      <c r="ASN111" s="19"/>
      <c r="ASO111" s="19"/>
      <c r="ASP111" s="19"/>
      <c r="ASQ111" s="19"/>
      <c r="ASR111" s="19"/>
      <c r="ASS111" s="19"/>
      <c r="AST111" s="19"/>
      <c r="ASU111" s="19"/>
      <c r="ASV111" s="19"/>
      <c r="ASW111" s="19"/>
      <c r="ASX111" s="19"/>
      <c r="ASY111" s="19"/>
      <c r="ASZ111" s="19"/>
      <c r="ATA111" s="19"/>
      <c r="ATB111" s="19"/>
      <c r="ATC111" s="19"/>
      <c r="ATD111" s="19"/>
      <c r="ATE111" s="19"/>
      <c r="ATF111" s="19"/>
      <c r="ATG111" s="19"/>
      <c r="ATH111" s="19"/>
      <c r="ATI111" s="19"/>
      <c r="ATJ111" s="19"/>
      <c r="ATK111" s="19"/>
      <c r="ATL111" s="19"/>
      <c r="ATM111" s="19"/>
      <c r="ATN111" s="19"/>
      <c r="ATO111" s="19"/>
      <c r="ATP111" s="19"/>
      <c r="ATQ111" s="19"/>
      <c r="ATR111" s="19"/>
      <c r="ATS111" s="19"/>
      <c r="ATT111" s="19"/>
      <c r="ATU111" s="19"/>
      <c r="ATV111" s="19"/>
      <c r="ATW111" s="19"/>
      <c r="ATX111" s="19"/>
      <c r="ATY111" s="19"/>
      <c r="ATZ111" s="19"/>
      <c r="AUA111" s="19"/>
      <c r="AUB111" s="19"/>
      <c r="AUC111" s="19"/>
      <c r="AUD111" s="19"/>
      <c r="AUE111" s="19"/>
      <c r="AUF111" s="19"/>
      <c r="AUG111" s="19"/>
      <c r="AUH111" s="19"/>
      <c r="AUI111" s="19"/>
      <c r="AUJ111" s="19"/>
      <c r="AUK111" s="19"/>
      <c r="AUL111" s="19"/>
      <c r="AUM111" s="19"/>
      <c r="AUN111" s="19"/>
      <c r="AUO111" s="19"/>
      <c r="AUP111" s="19"/>
      <c r="AUQ111" s="19"/>
      <c r="AUR111" s="19"/>
      <c r="AUS111" s="19"/>
      <c r="AUT111" s="19"/>
      <c r="AUU111" s="19"/>
      <c r="AUV111" s="19"/>
      <c r="AUW111" s="19"/>
      <c r="AUX111" s="19"/>
      <c r="AUY111" s="19"/>
      <c r="AUZ111" s="19"/>
      <c r="AVA111" s="19"/>
      <c r="AVB111" s="19"/>
      <c r="AVC111" s="19"/>
      <c r="AVD111" s="19"/>
      <c r="AVE111" s="19"/>
      <c r="AVF111" s="19"/>
      <c r="AVG111" s="19"/>
      <c r="AVH111" s="19"/>
      <c r="AVI111" s="19"/>
      <c r="AVJ111" s="19"/>
      <c r="AVK111" s="19"/>
      <c r="AVL111" s="19"/>
      <c r="AVM111" s="19"/>
      <c r="AVN111" s="19"/>
      <c r="AVO111" s="19"/>
      <c r="AVP111" s="19"/>
      <c r="AVQ111" s="19"/>
      <c r="AVR111" s="19"/>
      <c r="AVS111" s="19"/>
      <c r="AVT111" s="19"/>
      <c r="AVU111" s="19"/>
      <c r="AVV111" s="19"/>
      <c r="AVW111" s="19"/>
      <c r="AVX111" s="19"/>
      <c r="AVY111" s="19"/>
      <c r="AVZ111" s="19"/>
      <c r="AWA111" s="19"/>
      <c r="AWB111" s="19"/>
      <c r="AWC111" s="19"/>
      <c r="AWD111" s="19"/>
      <c r="AWE111" s="19"/>
      <c r="AWF111" s="19"/>
      <c r="AWG111" s="19"/>
      <c r="AWH111" s="19"/>
      <c r="AWI111" s="19"/>
      <c r="AWJ111" s="19"/>
      <c r="AWK111" s="19"/>
      <c r="AWL111" s="19"/>
      <c r="AWM111" s="19"/>
      <c r="AWN111" s="19"/>
      <c r="AWO111" s="19"/>
      <c r="AWP111" s="19"/>
      <c r="AWQ111" s="19"/>
      <c r="AWR111" s="19"/>
      <c r="AWS111" s="19"/>
      <c r="AWT111" s="19"/>
      <c r="AWU111" s="19"/>
      <c r="AWV111" s="19"/>
      <c r="AWW111" s="19"/>
      <c r="AWX111" s="19"/>
      <c r="AWY111" s="19"/>
      <c r="AWZ111" s="19"/>
      <c r="AXA111" s="19"/>
      <c r="AXB111" s="19"/>
      <c r="AXC111" s="19"/>
      <c r="AXD111" s="19"/>
      <c r="AXE111" s="19"/>
      <c r="AXF111" s="19"/>
      <c r="AXG111" s="19"/>
      <c r="AXH111" s="19"/>
      <c r="AXI111" s="19"/>
      <c r="AXJ111" s="19"/>
      <c r="AXK111" s="19"/>
      <c r="AXL111" s="19"/>
      <c r="AXM111" s="19"/>
      <c r="AXN111" s="19"/>
      <c r="AXO111" s="19"/>
      <c r="AXP111" s="19"/>
      <c r="AXQ111" s="19"/>
      <c r="AXR111" s="19"/>
      <c r="AXS111" s="19"/>
      <c r="AXT111" s="19"/>
      <c r="AXU111" s="19"/>
      <c r="AXV111" s="19"/>
      <c r="AXW111" s="19"/>
      <c r="AXX111" s="19"/>
      <c r="AXY111" s="19"/>
      <c r="AXZ111" s="19"/>
      <c r="AYA111" s="19"/>
      <c r="AYB111" s="19"/>
      <c r="AYC111" s="19"/>
      <c r="AYD111" s="19"/>
      <c r="AYE111" s="19"/>
      <c r="AYF111" s="19"/>
      <c r="AYG111" s="19"/>
      <c r="AYH111" s="19"/>
      <c r="AYI111" s="19"/>
      <c r="AYJ111" s="19"/>
      <c r="AYK111" s="19"/>
      <c r="AYL111" s="19"/>
      <c r="AYM111" s="19"/>
      <c r="AYN111" s="19"/>
      <c r="AYO111" s="19"/>
      <c r="AYP111" s="19"/>
      <c r="AYQ111" s="19"/>
      <c r="AYR111" s="19"/>
      <c r="AYS111" s="19"/>
      <c r="AYT111" s="19"/>
      <c r="AYU111" s="19"/>
      <c r="AYV111" s="19"/>
      <c r="AYW111" s="19"/>
      <c r="AYX111" s="19"/>
      <c r="AYY111" s="19"/>
      <c r="AYZ111" s="19"/>
      <c r="AZA111" s="19"/>
      <c r="AZB111" s="19"/>
      <c r="AZC111" s="19"/>
      <c r="AZD111" s="19"/>
      <c r="AZE111" s="19"/>
      <c r="AZF111" s="19"/>
      <c r="AZG111" s="19"/>
      <c r="AZH111" s="19"/>
      <c r="AZI111" s="19"/>
      <c r="AZJ111" s="19"/>
      <c r="AZK111" s="19"/>
      <c r="AZL111" s="19"/>
      <c r="AZM111" s="19"/>
      <c r="AZN111" s="19"/>
      <c r="AZO111" s="19"/>
      <c r="AZP111" s="19"/>
      <c r="AZQ111" s="19"/>
      <c r="AZR111" s="19"/>
      <c r="AZS111" s="19"/>
      <c r="AZT111" s="19"/>
      <c r="AZU111" s="19"/>
      <c r="AZV111" s="19"/>
      <c r="AZW111" s="19"/>
      <c r="AZX111" s="19"/>
      <c r="AZY111" s="19"/>
      <c r="AZZ111" s="19"/>
      <c r="BAA111" s="19"/>
      <c r="BAB111" s="19"/>
      <c r="BAC111" s="19"/>
      <c r="BAD111" s="19"/>
      <c r="BAE111" s="19"/>
      <c r="BAF111" s="19"/>
      <c r="BAG111" s="19"/>
      <c r="BAH111" s="19"/>
      <c r="BAI111" s="19"/>
      <c r="BAJ111" s="19"/>
      <c r="BAK111" s="19"/>
      <c r="BAL111" s="19"/>
      <c r="BAM111" s="19"/>
      <c r="BAN111" s="19"/>
      <c r="BAO111" s="19"/>
      <c r="BAP111" s="19"/>
      <c r="BAQ111" s="19"/>
      <c r="BAR111" s="19"/>
      <c r="BAS111" s="19"/>
      <c r="BAT111" s="19"/>
      <c r="BAU111" s="19"/>
      <c r="BAV111" s="19"/>
      <c r="BAW111" s="19"/>
      <c r="BAX111" s="19"/>
      <c r="BAY111" s="19"/>
      <c r="BAZ111" s="19"/>
      <c r="BBA111" s="19"/>
      <c r="BBB111" s="19"/>
      <c r="BBC111" s="19"/>
      <c r="BBD111" s="19"/>
      <c r="BBE111" s="19"/>
      <c r="BBF111" s="19"/>
      <c r="BBG111" s="19"/>
      <c r="BBH111" s="19"/>
      <c r="BBI111" s="19"/>
      <c r="BBJ111" s="19"/>
      <c r="BBK111" s="19"/>
      <c r="BBL111" s="19"/>
      <c r="BBM111" s="19"/>
      <c r="BBN111" s="19"/>
      <c r="BBO111" s="19"/>
      <c r="BBP111" s="19"/>
      <c r="BBQ111" s="19"/>
      <c r="BBR111" s="19"/>
      <c r="BBS111" s="19"/>
      <c r="BBT111" s="19"/>
      <c r="BBU111" s="19"/>
      <c r="BBV111" s="19"/>
      <c r="BBW111" s="19"/>
      <c r="BBX111" s="19"/>
      <c r="BBY111" s="19"/>
      <c r="BBZ111" s="19"/>
      <c r="BCA111" s="19"/>
      <c r="BCB111" s="19"/>
      <c r="BCC111" s="19"/>
      <c r="BCD111" s="19"/>
      <c r="BCE111" s="19"/>
      <c r="BCF111" s="19"/>
      <c r="BCG111" s="19"/>
      <c r="BCH111" s="19"/>
      <c r="BCI111" s="19"/>
      <c r="BCJ111" s="19"/>
      <c r="BCK111" s="19"/>
      <c r="BCL111" s="19"/>
      <c r="BCM111" s="19"/>
      <c r="BCN111" s="19"/>
      <c r="BCO111" s="19"/>
      <c r="BCP111" s="19"/>
      <c r="BCQ111" s="19"/>
      <c r="BCR111" s="19"/>
      <c r="BCS111" s="19"/>
      <c r="BCT111" s="19"/>
      <c r="BCU111" s="19"/>
      <c r="BCV111" s="19"/>
      <c r="BCW111" s="19"/>
      <c r="BCX111" s="19"/>
      <c r="BCY111" s="19"/>
      <c r="BCZ111" s="19"/>
      <c r="BDA111" s="19"/>
      <c r="BDB111" s="19"/>
      <c r="BDC111" s="19"/>
      <c r="BDD111" s="19"/>
      <c r="BDE111" s="19"/>
      <c r="BDF111" s="19"/>
      <c r="BDG111" s="19"/>
      <c r="BDH111" s="19"/>
      <c r="BDI111" s="19"/>
      <c r="BDJ111" s="19"/>
      <c r="BDK111" s="19"/>
      <c r="BDL111" s="19"/>
      <c r="BDM111" s="19"/>
      <c r="BDN111" s="19"/>
      <c r="BDO111" s="19"/>
      <c r="BDP111" s="19"/>
      <c r="BDQ111" s="19"/>
      <c r="BDR111" s="19"/>
      <c r="BDS111" s="19"/>
      <c r="BDT111" s="19"/>
      <c r="BDU111" s="19"/>
      <c r="BDV111" s="19"/>
      <c r="BDW111" s="19"/>
      <c r="BDX111" s="19"/>
      <c r="BDY111" s="19"/>
      <c r="BDZ111" s="19"/>
      <c r="BEA111" s="19"/>
      <c r="BEB111" s="19"/>
      <c r="BEC111" s="19"/>
      <c r="BED111" s="19"/>
      <c r="BEE111" s="19"/>
      <c r="BEF111" s="19"/>
      <c r="BEG111" s="19"/>
      <c r="BEH111" s="19"/>
      <c r="BEI111" s="19"/>
      <c r="BEJ111" s="19"/>
      <c r="BEK111" s="19"/>
      <c r="BEL111" s="19"/>
      <c r="BEM111" s="19"/>
      <c r="BEN111" s="19"/>
      <c r="BEO111" s="19"/>
      <c r="BEP111" s="19"/>
      <c r="BEQ111" s="19"/>
      <c r="BER111" s="19"/>
      <c r="BES111" s="19"/>
      <c r="BET111" s="19"/>
      <c r="BEU111" s="19"/>
      <c r="BEV111" s="19"/>
      <c r="BEW111" s="19"/>
      <c r="BEX111" s="19"/>
      <c r="BEY111" s="19"/>
      <c r="BEZ111" s="19"/>
      <c r="BFA111" s="19"/>
      <c r="BFB111" s="19"/>
      <c r="BFC111" s="19"/>
      <c r="BFD111" s="19"/>
      <c r="BFE111" s="19"/>
      <c r="BFF111" s="19"/>
      <c r="BFG111" s="19"/>
      <c r="BFH111" s="19"/>
      <c r="BFI111" s="19"/>
      <c r="BFJ111" s="19"/>
      <c r="BFK111" s="19"/>
      <c r="BFL111" s="19"/>
      <c r="BFM111" s="19"/>
      <c r="BFN111" s="19"/>
      <c r="BFO111" s="19"/>
      <c r="BFP111" s="19"/>
      <c r="BFQ111" s="19"/>
      <c r="BFR111" s="19"/>
      <c r="BFS111" s="19"/>
      <c r="BFT111" s="19"/>
      <c r="BFU111" s="19"/>
      <c r="BFV111" s="19"/>
      <c r="BFW111" s="19"/>
      <c r="BFX111" s="19"/>
      <c r="BFY111" s="19"/>
      <c r="BFZ111" s="19"/>
      <c r="BGA111" s="19"/>
      <c r="BGB111" s="19"/>
      <c r="BGC111" s="19"/>
      <c r="BGD111" s="19"/>
      <c r="BGE111" s="19"/>
      <c r="BGF111" s="19"/>
      <c r="BGG111" s="19"/>
      <c r="BGH111" s="19"/>
      <c r="BGI111" s="19"/>
      <c r="BGJ111" s="19"/>
      <c r="BGK111" s="19"/>
      <c r="BGL111" s="19"/>
      <c r="BGM111" s="19"/>
      <c r="BGN111" s="19"/>
      <c r="BGO111" s="19"/>
      <c r="BGP111" s="19"/>
      <c r="BGQ111" s="19"/>
      <c r="BGR111" s="19"/>
      <c r="BGS111" s="19"/>
      <c r="BGT111" s="19"/>
      <c r="BGU111" s="19"/>
      <c r="BGV111" s="19"/>
      <c r="BGW111" s="19"/>
      <c r="BGX111" s="19"/>
      <c r="BGY111" s="19"/>
      <c r="BGZ111" s="19"/>
      <c r="BHA111" s="19"/>
      <c r="BHB111" s="19"/>
      <c r="BHC111" s="19"/>
      <c r="BHD111" s="19"/>
      <c r="BHE111" s="19"/>
      <c r="BHF111" s="19"/>
      <c r="BHG111" s="19"/>
      <c r="BHH111" s="19"/>
      <c r="BHI111" s="19"/>
      <c r="BHJ111" s="19"/>
      <c r="BHK111" s="19"/>
      <c r="BHL111" s="19"/>
      <c r="BHM111" s="19"/>
      <c r="BHN111" s="19"/>
      <c r="BHO111" s="19"/>
      <c r="BHP111" s="19"/>
      <c r="BHQ111" s="19"/>
      <c r="BHR111" s="19"/>
      <c r="BHS111" s="19"/>
      <c r="BHT111" s="19"/>
      <c r="BHU111" s="19"/>
      <c r="BHV111" s="19"/>
      <c r="BHW111" s="19"/>
      <c r="BHX111" s="19"/>
      <c r="BHY111" s="19"/>
      <c r="BHZ111" s="19"/>
      <c r="BIA111" s="19"/>
      <c r="BIB111" s="19"/>
      <c r="BIC111" s="19"/>
      <c r="BID111" s="19"/>
      <c r="BIE111" s="19"/>
      <c r="BIF111" s="19"/>
      <c r="BIG111" s="19"/>
      <c r="BIH111" s="19"/>
      <c r="BII111" s="19"/>
      <c r="BIJ111" s="19"/>
      <c r="BIK111" s="19"/>
      <c r="BIL111" s="19"/>
      <c r="BIM111" s="19"/>
      <c r="BIN111" s="19"/>
      <c r="BIO111" s="19"/>
      <c r="BIP111" s="19"/>
      <c r="BIQ111" s="19"/>
      <c r="BIR111" s="19"/>
      <c r="BIS111" s="19"/>
      <c r="BIT111" s="19"/>
      <c r="BIU111" s="19"/>
      <c r="BIV111" s="19"/>
      <c r="BIW111" s="19"/>
      <c r="BIX111" s="19"/>
      <c r="BIY111" s="19"/>
      <c r="BIZ111" s="19"/>
      <c r="BJA111" s="19"/>
      <c r="BJB111" s="19"/>
      <c r="BJC111" s="19"/>
      <c r="BJD111" s="19"/>
      <c r="BJE111" s="19"/>
      <c r="BJF111" s="19"/>
      <c r="BJG111" s="19"/>
      <c r="BJH111" s="19"/>
      <c r="BJI111" s="19"/>
      <c r="BJJ111" s="19"/>
      <c r="BJK111" s="19"/>
      <c r="BJL111" s="19"/>
      <c r="BJM111" s="19"/>
      <c r="BJN111" s="19"/>
      <c r="BJO111" s="19"/>
      <c r="BJP111" s="19"/>
      <c r="BJQ111" s="19"/>
      <c r="BJR111" s="19"/>
      <c r="BJS111" s="19"/>
      <c r="BJT111" s="19"/>
      <c r="BJU111" s="19"/>
      <c r="BJV111" s="19"/>
      <c r="BJW111" s="19"/>
      <c r="BJX111" s="19"/>
      <c r="BJY111" s="19"/>
      <c r="BJZ111" s="19"/>
      <c r="BKA111" s="19"/>
      <c r="BKB111" s="19"/>
      <c r="BKC111" s="19"/>
      <c r="BKD111" s="19"/>
      <c r="BKE111" s="19"/>
      <c r="BKF111" s="19"/>
      <c r="BKG111" s="19"/>
      <c r="BKH111" s="19"/>
      <c r="BKI111" s="19"/>
      <c r="BKJ111" s="19"/>
      <c r="BKK111" s="19"/>
      <c r="BKL111" s="19"/>
      <c r="BKM111" s="19"/>
      <c r="BKN111" s="19"/>
      <c r="BKO111" s="19"/>
      <c r="BKP111" s="19"/>
      <c r="BKQ111" s="19"/>
      <c r="BKR111" s="19"/>
      <c r="BKS111" s="19"/>
      <c r="BKT111" s="19"/>
      <c r="BKU111" s="19"/>
      <c r="BKV111" s="19"/>
      <c r="BKW111" s="19"/>
      <c r="BKX111" s="19"/>
      <c r="BKY111" s="19"/>
      <c r="BKZ111" s="19"/>
      <c r="BLA111" s="19"/>
      <c r="BLB111" s="19"/>
      <c r="BLC111" s="19"/>
      <c r="BLD111" s="19"/>
      <c r="BLE111" s="19"/>
      <c r="BLF111" s="19"/>
      <c r="BLG111" s="19"/>
      <c r="BLH111" s="19"/>
      <c r="BLI111" s="19"/>
      <c r="BLJ111" s="19"/>
      <c r="BLK111" s="19"/>
      <c r="BLL111" s="19"/>
      <c r="BLM111" s="19"/>
      <c r="BLN111" s="19"/>
      <c r="BLO111" s="19"/>
      <c r="BLP111" s="19"/>
      <c r="BLQ111" s="19"/>
      <c r="BLR111" s="19"/>
      <c r="BLS111" s="19"/>
      <c r="BLT111" s="19"/>
      <c r="BLU111" s="19"/>
      <c r="BLV111" s="19"/>
      <c r="BLW111" s="19"/>
      <c r="BLX111" s="19"/>
      <c r="BLY111" s="19"/>
      <c r="BLZ111" s="19"/>
      <c r="BMA111" s="19"/>
      <c r="BMB111" s="19"/>
      <c r="BMC111" s="19"/>
      <c r="BMD111" s="19"/>
      <c r="BME111" s="19"/>
      <c r="BMF111" s="19"/>
      <c r="BMG111" s="19"/>
      <c r="BMH111" s="19"/>
      <c r="BMI111" s="19"/>
      <c r="BMJ111" s="19"/>
      <c r="BMK111" s="19"/>
      <c r="BML111" s="19"/>
      <c r="BMM111" s="19"/>
      <c r="BMN111" s="19"/>
      <c r="BMO111" s="19"/>
      <c r="BMP111" s="19"/>
      <c r="BMQ111" s="19"/>
      <c r="BMR111" s="19"/>
      <c r="BMS111" s="19"/>
      <c r="BMT111" s="19"/>
      <c r="BMU111" s="19"/>
      <c r="BMV111" s="19"/>
      <c r="BMW111" s="19"/>
      <c r="BMX111" s="19"/>
      <c r="BMY111" s="19"/>
      <c r="BMZ111" s="19"/>
      <c r="BNA111" s="19"/>
      <c r="BNB111" s="19"/>
      <c r="BNC111" s="19"/>
      <c r="BND111" s="19"/>
      <c r="BNE111" s="19"/>
      <c r="BNF111" s="19"/>
      <c r="BNG111" s="19"/>
      <c r="BNH111" s="19"/>
      <c r="BNI111" s="19"/>
      <c r="BNJ111" s="19"/>
      <c r="BNK111" s="19"/>
      <c r="BNL111" s="19"/>
      <c r="BNM111" s="19"/>
      <c r="BNN111" s="19"/>
      <c r="BNO111" s="19"/>
      <c r="BNP111" s="19"/>
      <c r="BNQ111" s="19"/>
      <c r="BNR111" s="19"/>
      <c r="BNS111" s="19"/>
      <c r="BNT111" s="19"/>
      <c r="BNU111" s="19"/>
      <c r="BNV111" s="19"/>
      <c r="BNW111" s="19"/>
      <c r="BNX111" s="19"/>
      <c r="BNY111" s="19"/>
      <c r="BNZ111" s="19"/>
      <c r="BOA111" s="19"/>
      <c r="BOB111" s="19"/>
      <c r="BOC111" s="19"/>
      <c r="BOD111" s="19"/>
      <c r="BOE111" s="19"/>
      <c r="BOF111" s="19"/>
      <c r="BOG111" s="19"/>
      <c r="BOH111" s="19"/>
      <c r="BOI111" s="19"/>
      <c r="BOJ111" s="19"/>
      <c r="BOK111" s="19"/>
      <c r="BOL111" s="19"/>
      <c r="BOM111" s="19"/>
      <c r="BON111" s="19"/>
      <c r="BOO111" s="19"/>
      <c r="BOP111" s="19"/>
      <c r="BOQ111" s="19"/>
      <c r="BOR111" s="19"/>
      <c r="BOS111" s="19"/>
      <c r="BOT111" s="19"/>
      <c r="BOU111" s="19"/>
      <c r="BOV111" s="19"/>
      <c r="BOW111" s="19"/>
      <c r="BOX111" s="19"/>
      <c r="BOY111" s="19"/>
      <c r="BOZ111" s="19"/>
      <c r="BPA111" s="19"/>
      <c r="BPB111" s="19"/>
      <c r="BPC111" s="19"/>
      <c r="BPD111" s="19"/>
      <c r="BPE111" s="19"/>
      <c r="BPF111" s="19"/>
      <c r="BPG111" s="19"/>
      <c r="BPH111" s="19"/>
      <c r="BPI111" s="19"/>
      <c r="BPJ111" s="19"/>
      <c r="BPK111" s="19"/>
      <c r="BPL111" s="19"/>
      <c r="BPM111" s="19"/>
      <c r="BPN111" s="19"/>
      <c r="BPO111" s="19"/>
      <c r="BPP111" s="19"/>
      <c r="BPQ111" s="19"/>
      <c r="BPR111" s="19"/>
      <c r="BPS111" s="19"/>
      <c r="BPT111" s="19"/>
      <c r="BPU111" s="19"/>
      <c r="BPV111" s="19"/>
      <c r="BPW111" s="19"/>
      <c r="BPX111" s="19"/>
      <c r="BPY111" s="19"/>
      <c r="BPZ111" s="19"/>
      <c r="BQA111" s="19"/>
      <c r="BQB111" s="19"/>
      <c r="BQC111" s="19"/>
      <c r="BQD111" s="19"/>
      <c r="BQE111" s="19"/>
      <c r="BQF111" s="19"/>
      <c r="BQG111" s="19"/>
      <c r="BQH111" s="19"/>
      <c r="BQI111" s="19"/>
      <c r="BQJ111" s="19"/>
      <c r="BQK111" s="19"/>
      <c r="BQL111" s="19"/>
      <c r="BQM111" s="19"/>
      <c r="BQN111" s="19"/>
      <c r="BQO111" s="19"/>
      <c r="BQP111" s="19"/>
      <c r="BQQ111" s="19"/>
      <c r="BQR111" s="19"/>
      <c r="BQS111" s="19"/>
      <c r="BQT111" s="19"/>
      <c r="BQU111" s="19"/>
      <c r="BQV111" s="19"/>
      <c r="BQW111" s="19"/>
      <c r="BQX111" s="19"/>
      <c r="BQY111" s="19"/>
      <c r="BQZ111" s="19"/>
      <c r="BRA111" s="19"/>
      <c r="BRB111" s="19"/>
      <c r="BRC111" s="19"/>
      <c r="BRD111" s="19"/>
      <c r="BRE111" s="19"/>
      <c r="BRF111" s="19"/>
      <c r="BRG111" s="19"/>
      <c r="BRH111" s="19"/>
      <c r="BRI111" s="19"/>
      <c r="BRJ111" s="19"/>
      <c r="BRK111" s="19"/>
      <c r="BRL111" s="19"/>
      <c r="BRM111" s="19"/>
      <c r="BRN111" s="19"/>
      <c r="BRO111" s="19"/>
      <c r="BRP111" s="19"/>
      <c r="BRQ111" s="19"/>
      <c r="BRR111" s="19"/>
      <c r="BRS111" s="19"/>
      <c r="BRT111" s="19"/>
      <c r="BRU111" s="19"/>
      <c r="BRV111" s="19"/>
      <c r="BRW111" s="19"/>
      <c r="BRX111" s="19"/>
      <c r="BRY111" s="19"/>
      <c r="BRZ111" s="19"/>
      <c r="BSA111" s="19"/>
      <c r="BSB111" s="19"/>
      <c r="BSC111" s="19"/>
      <c r="BSD111" s="19"/>
      <c r="BSE111" s="19"/>
      <c r="BSF111" s="19"/>
      <c r="BSG111" s="19"/>
      <c r="BSH111" s="19"/>
      <c r="BSI111" s="19"/>
      <c r="BSJ111" s="19"/>
      <c r="BSK111" s="19"/>
      <c r="BSL111" s="19"/>
      <c r="BSM111" s="19"/>
      <c r="BSN111" s="19"/>
      <c r="BSO111" s="19"/>
      <c r="BSP111" s="19"/>
      <c r="BSQ111" s="19"/>
      <c r="BSR111" s="19"/>
      <c r="BSS111" s="19"/>
      <c r="BST111" s="19"/>
      <c r="BSU111" s="19"/>
      <c r="BSV111" s="19"/>
      <c r="BSW111" s="19"/>
      <c r="BSX111" s="19"/>
      <c r="BSY111" s="19"/>
      <c r="BSZ111" s="19"/>
      <c r="BTA111" s="19"/>
      <c r="BTB111" s="19"/>
      <c r="BTC111" s="19"/>
      <c r="BTD111" s="19"/>
      <c r="BTE111" s="19"/>
      <c r="BTF111" s="19"/>
      <c r="BTG111" s="19"/>
      <c r="BTH111" s="19"/>
      <c r="BTI111" s="19"/>
      <c r="BTJ111" s="19"/>
      <c r="BTK111" s="19"/>
      <c r="BTL111" s="19"/>
      <c r="BTM111" s="19"/>
      <c r="BTN111" s="19"/>
      <c r="BTO111" s="19"/>
      <c r="BTP111" s="19"/>
      <c r="BTQ111" s="19"/>
      <c r="BTR111" s="19"/>
      <c r="BTS111" s="19"/>
      <c r="BTT111" s="19"/>
      <c r="BTU111" s="19"/>
      <c r="BTV111" s="19"/>
      <c r="BTW111" s="19"/>
      <c r="BTX111" s="19"/>
      <c r="BTY111" s="19"/>
      <c r="BTZ111" s="19"/>
      <c r="BUA111" s="19"/>
      <c r="BUB111" s="19"/>
      <c r="BUC111" s="19"/>
      <c r="BUD111" s="19"/>
      <c r="BUE111" s="19"/>
      <c r="BUF111" s="19"/>
      <c r="BUG111" s="19"/>
      <c r="BUH111" s="19"/>
      <c r="BUI111" s="19"/>
      <c r="BUJ111" s="19"/>
      <c r="BUK111" s="19"/>
      <c r="BUL111" s="19"/>
      <c r="BUM111" s="19"/>
      <c r="BUN111" s="19"/>
      <c r="BUO111" s="19"/>
      <c r="BUP111" s="19"/>
      <c r="BUQ111" s="19"/>
      <c r="BUR111" s="19"/>
      <c r="BUS111" s="19"/>
      <c r="BUT111" s="19"/>
      <c r="BUU111" s="19"/>
      <c r="BUV111" s="19"/>
      <c r="BUW111" s="19"/>
      <c r="BUX111" s="19"/>
      <c r="BUY111" s="19"/>
      <c r="BUZ111" s="19"/>
      <c r="BVA111" s="19"/>
      <c r="BVB111" s="19"/>
      <c r="BVC111" s="19"/>
      <c r="BVD111" s="19"/>
      <c r="BVE111" s="19"/>
      <c r="BVF111" s="19"/>
      <c r="BVG111" s="19"/>
      <c r="BVH111" s="19"/>
      <c r="BVI111" s="19"/>
      <c r="BVJ111" s="19"/>
      <c r="BVK111" s="19"/>
      <c r="BVL111" s="19"/>
      <c r="BVM111" s="19"/>
      <c r="BVN111" s="19"/>
      <c r="BVO111" s="19"/>
      <c r="BVP111" s="19"/>
      <c r="BVQ111" s="19"/>
      <c r="BVR111" s="19"/>
      <c r="BVS111" s="19"/>
      <c r="BVT111" s="19"/>
      <c r="BVU111" s="19"/>
      <c r="BVV111" s="19"/>
      <c r="BVW111" s="19"/>
      <c r="BVX111" s="19"/>
      <c r="BVY111" s="19"/>
      <c r="BVZ111" s="19"/>
      <c r="BWA111" s="19"/>
      <c r="BWB111" s="19"/>
      <c r="BWC111" s="19"/>
      <c r="BWD111" s="19"/>
      <c r="BWE111" s="19"/>
      <c r="BWF111" s="19"/>
      <c r="BWG111" s="19"/>
      <c r="BWH111" s="19"/>
      <c r="BWI111" s="19"/>
      <c r="BWJ111" s="19"/>
      <c r="BWK111" s="19"/>
      <c r="BWL111" s="19"/>
      <c r="BWM111" s="19"/>
      <c r="BWN111" s="19"/>
      <c r="BWO111" s="19"/>
      <c r="BWP111" s="19"/>
      <c r="BWQ111" s="19"/>
      <c r="BWR111" s="19"/>
      <c r="BWS111" s="19"/>
      <c r="BWT111" s="19"/>
      <c r="BWU111" s="19"/>
      <c r="BWV111" s="19"/>
      <c r="BWW111" s="19"/>
      <c r="BWX111" s="19"/>
      <c r="BWY111" s="19"/>
      <c r="BWZ111" s="19"/>
      <c r="BXA111" s="19"/>
      <c r="BXB111" s="19"/>
      <c r="BXC111" s="19"/>
      <c r="BXD111" s="19"/>
      <c r="BXE111" s="19"/>
      <c r="BXF111" s="19"/>
      <c r="BXG111" s="19"/>
      <c r="BXH111" s="19"/>
      <c r="BXI111" s="19"/>
      <c r="BXJ111" s="19"/>
      <c r="BXK111" s="19"/>
      <c r="BXL111" s="19"/>
      <c r="BXM111" s="19"/>
      <c r="BXN111" s="19"/>
      <c r="BXO111" s="19"/>
      <c r="BXP111" s="19"/>
      <c r="BXQ111" s="19"/>
      <c r="BXR111" s="19"/>
      <c r="BXS111" s="19"/>
      <c r="BXT111" s="19"/>
      <c r="BXU111" s="19"/>
      <c r="BXV111" s="19"/>
      <c r="BXW111" s="19"/>
      <c r="BXX111" s="19"/>
      <c r="BXY111" s="19"/>
      <c r="BXZ111" s="19"/>
      <c r="BYA111" s="19"/>
      <c r="BYB111" s="19"/>
      <c r="BYC111" s="19"/>
      <c r="BYD111" s="19"/>
      <c r="BYE111" s="19"/>
      <c r="BYF111" s="19"/>
      <c r="BYG111" s="19"/>
      <c r="BYH111" s="19"/>
      <c r="BYI111" s="19"/>
      <c r="BYJ111" s="19"/>
      <c r="BYK111" s="19"/>
      <c r="BYL111" s="19"/>
      <c r="BYM111" s="19"/>
      <c r="BYN111" s="19"/>
      <c r="BYO111" s="19"/>
      <c r="BYP111" s="19"/>
      <c r="BYQ111" s="19"/>
      <c r="BYR111" s="19"/>
      <c r="BYS111" s="19"/>
      <c r="BYT111" s="19"/>
      <c r="BYU111" s="19"/>
      <c r="BYV111" s="19"/>
      <c r="BYW111" s="19"/>
      <c r="BYX111" s="19"/>
      <c r="BYY111" s="19"/>
      <c r="BYZ111" s="19"/>
      <c r="BZA111" s="19"/>
      <c r="BZB111" s="19"/>
      <c r="BZC111" s="19"/>
      <c r="BZD111" s="19"/>
      <c r="BZE111" s="19"/>
      <c r="BZF111" s="19"/>
      <c r="BZG111" s="19"/>
      <c r="BZH111" s="19"/>
      <c r="BZI111" s="19"/>
      <c r="BZJ111" s="19"/>
      <c r="BZK111" s="19"/>
      <c r="BZL111" s="19"/>
      <c r="BZM111" s="19"/>
      <c r="BZN111" s="19"/>
      <c r="BZO111" s="19"/>
      <c r="BZP111" s="19"/>
      <c r="BZQ111" s="19"/>
      <c r="BZR111" s="19"/>
      <c r="BZS111" s="19"/>
      <c r="BZT111" s="19"/>
      <c r="BZU111" s="19"/>
      <c r="BZV111" s="19"/>
      <c r="BZW111" s="19"/>
      <c r="BZX111" s="19"/>
      <c r="BZY111" s="19"/>
      <c r="BZZ111" s="19"/>
      <c r="CAA111" s="19"/>
      <c r="CAB111" s="19"/>
      <c r="CAC111" s="19"/>
      <c r="CAD111" s="19"/>
      <c r="CAE111" s="19"/>
      <c r="CAF111" s="19"/>
      <c r="CAG111" s="19"/>
      <c r="CAH111" s="19"/>
      <c r="CAI111" s="19"/>
      <c r="CAJ111" s="19"/>
      <c r="CAK111" s="19"/>
      <c r="CAL111" s="19"/>
      <c r="CAM111" s="19"/>
      <c r="CAN111" s="19"/>
      <c r="CAO111" s="19"/>
      <c r="CAP111" s="19"/>
      <c r="CAQ111" s="19"/>
      <c r="CAR111" s="19"/>
      <c r="CAS111" s="19"/>
      <c r="CAT111" s="19"/>
      <c r="CAU111" s="19"/>
      <c r="CAV111" s="19"/>
      <c r="CAW111" s="19"/>
      <c r="CAX111" s="19"/>
      <c r="CAY111" s="19"/>
      <c r="CAZ111" s="19"/>
      <c r="CBF111" s="19"/>
      <c r="CBG111" s="19"/>
      <c r="CBH111" s="19"/>
      <c r="CBI111" s="19"/>
      <c r="CBJ111" s="19"/>
      <c r="CBK111" s="19"/>
      <c r="CBL111" s="19"/>
      <c r="CBM111" s="19"/>
      <c r="CBN111" s="19"/>
      <c r="CBO111" s="19"/>
      <c r="CBP111" s="19"/>
      <c r="CBQ111" s="19"/>
      <c r="CBR111" s="19"/>
      <c r="CBS111" s="19"/>
      <c r="CBT111" s="19"/>
      <c r="CBU111" s="19"/>
      <c r="CBV111" s="19"/>
      <c r="CBW111" s="19"/>
      <c r="CBX111" s="19"/>
      <c r="CBY111" s="19"/>
      <c r="CBZ111" s="19"/>
      <c r="CCA111" s="19"/>
      <c r="CCB111" s="19"/>
      <c r="CCC111" s="19"/>
      <c r="CCD111" s="19"/>
      <c r="CCE111" s="19"/>
      <c r="CCF111" s="19"/>
      <c r="CCG111" s="19"/>
      <c r="CCH111" s="19"/>
      <c r="CCI111" s="19"/>
      <c r="CCJ111" s="19"/>
      <c r="CCK111" s="19"/>
      <c r="CCL111" s="19"/>
      <c r="CCM111" s="19"/>
      <c r="CCN111" s="19"/>
      <c r="CCO111" s="19"/>
      <c r="CCP111" s="19"/>
      <c r="CCQ111" s="19"/>
      <c r="CCR111" s="19"/>
      <c r="CCS111" s="19"/>
      <c r="CCT111" s="19"/>
      <c r="CCU111" s="19"/>
      <c r="CCV111" s="19"/>
      <c r="CCW111" s="19"/>
      <c r="CCX111" s="19"/>
      <c r="CCY111" s="19"/>
      <c r="CCZ111" s="19"/>
      <c r="CDA111" s="19"/>
      <c r="CDB111" s="19"/>
      <c r="CDC111" s="19"/>
      <c r="CDD111" s="19"/>
      <c r="CDE111" s="19"/>
      <c r="CDF111" s="19"/>
      <c r="CDG111" s="19"/>
      <c r="CDH111" s="19"/>
      <c r="CDI111" s="19"/>
      <c r="CDJ111" s="19"/>
      <c r="CDK111" s="19"/>
      <c r="CDL111" s="19"/>
      <c r="CDM111" s="19"/>
      <c r="CDN111" s="19"/>
      <c r="CDO111" s="19"/>
      <c r="CDP111" s="19"/>
      <c r="CDQ111" s="19"/>
      <c r="CDR111" s="19"/>
      <c r="CDS111" s="19"/>
      <c r="CDT111" s="19"/>
      <c r="CDU111" s="19"/>
      <c r="CDV111" s="19"/>
      <c r="CDW111" s="19"/>
      <c r="CDX111" s="19"/>
      <c r="CDY111" s="19"/>
      <c r="CDZ111" s="19"/>
      <c r="CEA111" s="19"/>
      <c r="CEB111" s="19"/>
      <c r="CEC111" s="19"/>
      <c r="CED111" s="19"/>
      <c r="CEE111" s="19"/>
    </row>
    <row r="112" spans="1:2297 10881:10881" ht="16.05" customHeight="1">
      <c r="A112" s="19" t="s">
        <v>689</v>
      </c>
      <c r="B112" s="19" t="s">
        <v>696</v>
      </c>
      <c r="C112" s="643"/>
      <c r="D112" s="428" t="str">
        <f t="shared" ca="1" si="279"/>
        <v>Croacia</v>
      </c>
      <c r="E112" s="643" t="s">
        <v>454</v>
      </c>
      <c r="F112" s="643" t="s">
        <v>5</v>
      </c>
      <c r="G112" s="424" t="s">
        <v>254</v>
      </c>
      <c r="H112" s="624">
        <f t="shared" ca="1" si="280"/>
        <v>12</v>
      </c>
      <c r="I112" s="10"/>
      <c r="J112" s="19">
        <v>84</v>
      </c>
      <c r="K112" s="439">
        <v>46205.75</v>
      </c>
      <c r="L112" s="19" t="s">
        <v>715</v>
      </c>
      <c r="M112" s="19" t="str">
        <f t="shared" ca="1" si="281"/>
        <v>España</v>
      </c>
      <c r="N112" s="19"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9"/>
      <c r="P112" s="19"/>
      <c r="Q112" s="19"/>
      <c r="R112" s="19"/>
      <c r="S112" s="19"/>
      <c r="T112" s="19"/>
      <c r="U112" s="19"/>
      <c r="V112" s="20"/>
      <c r="W112" s="671"/>
      <c r="X112" s="27">
        <f ca="1">Horarios!C112</f>
        <v>46206.041666666664</v>
      </c>
      <c r="Y112" s="28">
        <f ca="1">Horarios!C112</f>
        <v>46206.041666666664</v>
      </c>
      <c r="Z112" s="289">
        <f t="shared" si="286"/>
        <v>83</v>
      </c>
      <c r="AA112" s="96" t="str">
        <f t="shared" ca="1" si="282"/>
        <v>Portugal</v>
      </c>
      <c r="AB112" s="97"/>
      <c r="AC112" s="100">
        <v>0</v>
      </c>
      <c r="AD112" s="100">
        <v>1</v>
      </c>
      <c r="AE112" s="97"/>
      <c r="AF112" s="99" t="str">
        <f t="shared" ca="1" si="283"/>
        <v>Croacia</v>
      </c>
      <c r="AG112" s="339">
        <f t="shared" ca="1" si="284"/>
        <v>1</v>
      </c>
      <c r="AH112" s="204">
        <v>83</v>
      </c>
      <c r="AI112" s="191">
        <v>11</v>
      </c>
      <c r="AJ112" s="46">
        <v>11</v>
      </c>
      <c r="AK112" s="40" t="str">
        <f ca="1">IFERROR(INDEX(Equipos!$L$2:$L$49,MATCH(WORLDCUP!AL112,Equipos!$K$2:$K$49,0)),"")</f>
        <v xml:space="preserve"> </v>
      </c>
      <c r="AL112" s="93" t="str">
        <f t="shared" ca="1" si="287"/>
        <v>PO 1: COD/JAM/NCL</v>
      </c>
      <c r="AM112" s="334">
        <f t="shared" ca="1" si="288"/>
        <v>1</v>
      </c>
      <c r="AN112" s="94">
        <f t="shared" ca="1" si="288"/>
        <v>3</v>
      </c>
      <c r="AO112" s="94">
        <f t="shared" ca="1" si="288"/>
        <v>0</v>
      </c>
      <c r="AP112" s="94">
        <f t="shared" ca="1" si="288"/>
        <v>1</v>
      </c>
      <c r="AQ112" s="94">
        <f t="shared" ca="1" si="288"/>
        <v>2</v>
      </c>
      <c r="AR112" s="94">
        <f t="shared" ca="1" si="288"/>
        <v>0</v>
      </c>
      <c r="AS112" s="94">
        <f t="shared" ca="1" si="288"/>
        <v>2</v>
      </c>
      <c r="AT112" s="95">
        <f t="shared" ca="1" si="288"/>
        <v>-2</v>
      </c>
      <c r="AU112" s="342">
        <f t="shared" ca="1" si="289"/>
        <v>1</v>
      </c>
      <c r="AV112" s="191" t="str">
        <f t="shared" ca="1" si="290"/>
        <v>PO 1: COD/JAM/NCL</v>
      </c>
      <c r="AW112" s="224"/>
      <c r="AX112" s="178"/>
      <c r="AY112" s="284"/>
      <c r="AZ112" s="284"/>
      <c r="BA112" s="155"/>
      <c r="BB112" s="19"/>
      <c r="BC112" s="19"/>
      <c r="BD112" s="429"/>
      <c r="BE112" s="19"/>
      <c r="BF112" s="19"/>
      <c r="BG112" s="19"/>
      <c r="BH112" s="19"/>
      <c r="BI112" s="19" t="str">
        <f ca="1">IFERROR(CONCATENATE(BJ103,BJ104,BJ105,BJ106,BJ107,BJ108,BJ109,BJ110),"¿A/B/C/D/E/F/G/H/I/J/K/L?")</f>
        <v>ABCFGHIL</v>
      </c>
      <c r="BJ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19"/>
      <c r="MI112" s="19"/>
      <c r="MJ112" s="19"/>
      <c r="MK112" s="19"/>
      <c r="ML112" s="19"/>
      <c r="MM112" s="19"/>
      <c r="MN112" s="19"/>
      <c r="MO112" s="19"/>
      <c r="MP112" s="19"/>
      <c r="MQ112" s="19"/>
      <c r="MR112" s="19"/>
      <c r="MS112" s="19"/>
      <c r="MT112" s="19"/>
      <c r="MU112" s="19"/>
      <c r="MV112" s="19"/>
      <c r="MW112" s="19"/>
      <c r="MX112" s="19"/>
      <c r="MY112" s="19"/>
      <c r="MZ112" s="19"/>
      <c r="NA112" s="19"/>
      <c r="NB112" s="19"/>
      <c r="NC112" s="19"/>
      <c r="ND112" s="19"/>
      <c r="NE112" s="19"/>
      <c r="NF112" s="19"/>
      <c r="NG112" s="19"/>
      <c r="NH112" s="19"/>
      <c r="NI112" s="19"/>
      <c r="NJ112" s="19"/>
      <c r="NK112" s="19"/>
      <c r="NL112" s="19"/>
      <c r="NM112" s="19"/>
      <c r="NN112" s="19"/>
      <c r="NO112" s="19"/>
      <c r="NP112" s="19"/>
      <c r="NQ112" s="19"/>
      <c r="NR112" s="19"/>
      <c r="NS112" s="19"/>
      <c r="NT112" s="19"/>
      <c r="NU112" s="19"/>
      <c r="NV112" s="19"/>
      <c r="NW112" s="19"/>
      <c r="NX112" s="19"/>
      <c r="NY112" s="19"/>
      <c r="NZ112" s="19"/>
      <c r="OA112" s="19"/>
      <c r="OB112" s="19"/>
      <c r="OC112" s="19"/>
      <c r="OD112" s="19"/>
      <c r="OE112" s="19"/>
      <c r="OF112" s="19"/>
      <c r="OG112" s="19"/>
      <c r="OH112" s="19"/>
      <c r="OI112" s="19"/>
      <c r="OJ112" s="19"/>
      <c r="OK112" s="19"/>
      <c r="OL112" s="19"/>
      <c r="OM112" s="19"/>
      <c r="ON112" s="19"/>
      <c r="OO112" s="19"/>
      <c r="OP112" s="19"/>
      <c r="OQ112" s="19"/>
      <c r="OR112" s="19"/>
      <c r="OS112" s="19"/>
      <c r="OT112" s="19"/>
      <c r="OU112" s="19"/>
      <c r="OV112" s="19"/>
      <c r="OW112" s="19"/>
      <c r="OX112" s="19"/>
      <c r="OY112" s="19"/>
      <c r="OZ112" s="19"/>
      <c r="PA112" s="19"/>
      <c r="PB112" s="19"/>
      <c r="PC112" s="19"/>
      <c r="PD112" s="19"/>
      <c r="PE112" s="19"/>
      <c r="PF112" s="19"/>
      <c r="PG112" s="19"/>
      <c r="PH112" s="19"/>
      <c r="PI112" s="19"/>
      <c r="PJ112" s="19"/>
      <c r="PK112" s="19"/>
      <c r="PL112" s="19"/>
      <c r="PM112" s="19"/>
      <c r="PN112" s="19"/>
      <c r="PO112" s="19"/>
      <c r="PP112" s="19"/>
      <c r="PQ112" s="19"/>
      <c r="PR112" s="19"/>
      <c r="PS112" s="19"/>
      <c r="PT112" s="19"/>
      <c r="PU112" s="19"/>
      <c r="PV112" s="19"/>
      <c r="PW112" s="19"/>
      <c r="PX112" s="19"/>
      <c r="PY112" s="19"/>
      <c r="PZ112" s="19"/>
      <c r="QA112" s="19"/>
      <c r="QB112" s="19"/>
      <c r="QC112" s="19"/>
      <c r="QD112" s="19"/>
      <c r="QE112" s="19"/>
      <c r="QF112" s="19"/>
      <c r="QG112" s="19"/>
      <c r="QH112" s="19"/>
      <c r="QI112" s="19"/>
      <c r="QJ112" s="19"/>
      <c r="QK112" s="19"/>
      <c r="QL112" s="19"/>
      <c r="QM112" s="19"/>
      <c r="QN112" s="19"/>
      <c r="QO112" s="19"/>
      <c r="QP112" s="19"/>
      <c r="QQ112" s="19"/>
      <c r="QR112" s="19"/>
      <c r="QS112" s="19"/>
      <c r="QT112" s="19"/>
      <c r="QU112" s="19"/>
      <c r="QV112" s="19"/>
      <c r="QW112" s="19"/>
      <c r="QX112" s="19"/>
      <c r="QY112" s="19"/>
      <c r="QZ112" s="19"/>
      <c r="RA112" s="19"/>
      <c r="RB112" s="19"/>
      <c r="RC112" s="19"/>
      <c r="RD112" s="19"/>
      <c r="RE112" s="19"/>
      <c r="RF112" s="19"/>
      <c r="RG112" s="19"/>
      <c r="RH112" s="19"/>
      <c r="RI112" s="19"/>
      <c r="RJ112" s="19"/>
      <c r="RK112" s="19"/>
      <c r="RL112" s="19"/>
      <c r="RM112" s="19"/>
      <c r="RN112" s="19"/>
      <c r="RO112" s="19"/>
      <c r="RP112" s="19"/>
      <c r="RQ112" s="19"/>
      <c r="RR112" s="19"/>
      <c r="RS112" s="19"/>
      <c r="RT112" s="19"/>
      <c r="RU112" s="19"/>
      <c r="RV112" s="19"/>
      <c r="RW112" s="19"/>
      <c r="RX112" s="19"/>
      <c r="RY112" s="19"/>
      <c r="RZ112" s="19"/>
      <c r="SA112" s="19"/>
      <c r="SB112" s="19"/>
      <c r="SC112" s="19"/>
      <c r="SD112" s="19"/>
      <c r="SE112" s="19"/>
      <c r="SF112" s="19"/>
      <c r="SG112" s="19"/>
      <c r="SH112" s="19"/>
      <c r="SI112" s="19"/>
      <c r="SJ112" s="19"/>
      <c r="SK112" s="19"/>
      <c r="SL112" s="19"/>
      <c r="SM112" s="19"/>
      <c r="SN112" s="19"/>
      <c r="SO112" s="19"/>
      <c r="SP112" s="19"/>
      <c r="SQ112" s="19"/>
      <c r="SR112" s="19"/>
      <c r="SS112" s="19"/>
      <c r="ST112" s="19"/>
      <c r="SU112" s="19"/>
      <c r="SV112" s="19"/>
      <c r="SW112" s="19"/>
      <c r="SX112" s="19"/>
      <c r="SY112" s="19"/>
      <c r="SZ112" s="19"/>
      <c r="TA112" s="19"/>
      <c r="TB112" s="19"/>
      <c r="TC112" s="19"/>
      <c r="TD112" s="19"/>
      <c r="TE112" s="19"/>
      <c r="TF112" s="19"/>
      <c r="TG112" s="19"/>
      <c r="TH112" s="19"/>
      <c r="TI112" s="19"/>
      <c r="TJ112" s="19"/>
      <c r="TK112" s="19"/>
      <c r="TL112" s="19"/>
      <c r="TM112" s="19"/>
      <c r="TN112" s="19"/>
      <c r="TO112" s="19"/>
      <c r="TP112" s="19"/>
      <c r="TQ112" s="19"/>
      <c r="TR112" s="19"/>
      <c r="TS112" s="19"/>
      <c r="TT112" s="19"/>
      <c r="TU112" s="19"/>
      <c r="TV112" s="19"/>
      <c r="TW112" s="19"/>
      <c r="TX112" s="19"/>
      <c r="TY112" s="19"/>
      <c r="TZ112" s="19"/>
      <c r="UA112" s="19"/>
      <c r="UB112" s="19"/>
      <c r="UC112" s="19"/>
      <c r="UD112" s="19"/>
      <c r="UE112" s="19"/>
      <c r="UF112" s="19"/>
      <c r="UG112" s="19"/>
      <c r="UH112" s="19"/>
      <c r="UI112" s="19"/>
      <c r="UJ112" s="19"/>
      <c r="UK112" s="19"/>
      <c r="UL112" s="19"/>
      <c r="UM112" s="19"/>
      <c r="UN112" s="19"/>
      <c r="UO112" s="19"/>
      <c r="UP112" s="19"/>
      <c r="UQ112" s="19"/>
      <c r="UR112" s="19"/>
      <c r="US112" s="19"/>
      <c r="UT112" s="19"/>
      <c r="UU112" s="19"/>
      <c r="UV112" s="19"/>
      <c r="UW112" s="19"/>
      <c r="UX112" s="19"/>
      <c r="UY112" s="19"/>
      <c r="UZ112" s="19"/>
      <c r="VA112" s="19"/>
      <c r="VB112" s="19"/>
      <c r="VC112" s="19"/>
      <c r="VD112" s="19"/>
      <c r="VE112" s="19"/>
      <c r="VF112" s="19"/>
      <c r="VG112" s="19"/>
      <c r="VH112" s="19"/>
      <c r="VI112" s="19"/>
      <c r="VJ112" s="19"/>
      <c r="VK112" s="19"/>
      <c r="VL112" s="19"/>
      <c r="VM112" s="19"/>
      <c r="VN112" s="19"/>
      <c r="VO112" s="19"/>
      <c r="VP112" s="19"/>
      <c r="VQ112" s="19"/>
      <c r="VR112" s="19"/>
      <c r="VS112" s="19"/>
      <c r="VT112" s="19"/>
      <c r="VU112" s="19"/>
      <c r="VV112" s="19"/>
      <c r="VW112" s="19"/>
      <c r="VX112" s="19"/>
      <c r="VY112" s="19"/>
      <c r="VZ112" s="19"/>
      <c r="WA112" s="19"/>
      <c r="WB112" s="19"/>
      <c r="WC112" s="19"/>
      <c r="WD112" s="19"/>
      <c r="WE112" s="19"/>
      <c r="WF112" s="19"/>
      <c r="WG112" s="19"/>
      <c r="WH112" s="19"/>
      <c r="WI112" s="19"/>
      <c r="WJ112" s="19"/>
      <c r="WK112" s="19"/>
      <c r="WL112" s="19"/>
      <c r="WM112" s="19"/>
      <c r="WN112" s="19"/>
      <c r="WO112" s="19"/>
      <c r="WP112" s="19"/>
      <c r="WQ112" s="19"/>
      <c r="WR112" s="19"/>
      <c r="WS112" s="19"/>
      <c r="WT112" s="19"/>
      <c r="WU112" s="19"/>
      <c r="WV112" s="19"/>
      <c r="WW112" s="19"/>
      <c r="WX112" s="19"/>
      <c r="WY112" s="19"/>
      <c r="WZ112" s="19"/>
      <c r="XA112" s="19"/>
      <c r="XB112" s="19"/>
      <c r="XC112" s="19"/>
      <c r="XD112" s="19"/>
      <c r="XE112" s="19"/>
      <c r="XF112" s="19"/>
      <c r="XG112" s="19"/>
      <c r="XH112" s="19"/>
      <c r="XI112" s="19"/>
      <c r="XJ112" s="19"/>
      <c r="XK112" s="19"/>
      <c r="XL112" s="19"/>
      <c r="XM112" s="19"/>
      <c r="XN112" s="19"/>
      <c r="XO112" s="19"/>
      <c r="XP112" s="19"/>
      <c r="XQ112" s="19"/>
      <c r="XR112" s="19"/>
      <c r="XS112" s="19"/>
      <c r="XT112" s="19"/>
      <c r="XU112" s="19"/>
      <c r="XV112" s="19"/>
      <c r="XW112" s="19"/>
      <c r="XX112" s="19"/>
      <c r="XY112" s="19"/>
      <c r="XZ112" s="19"/>
      <c r="YA112" s="19"/>
      <c r="YB112" s="19"/>
      <c r="YC112" s="19"/>
      <c r="YD112" s="19"/>
      <c r="YE112" s="19"/>
      <c r="YF112" s="19"/>
      <c r="YG112" s="19"/>
      <c r="YH112" s="19"/>
      <c r="YI112" s="19"/>
      <c r="YJ112" s="19"/>
      <c r="YK112" s="19"/>
      <c r="YL112" s="19"/>
      <c r="YM112" s="19"/>
      <c r="YN112" s="19"/>
      <c r="YO112" s="19"/>
      <c r="YP112" s="19"/>
      <c r="YQ112" s="19"/>
      <c r="YR112" s="19"/>
      <c r="YS112" s="19"/>
      <c r="YT112" s="19"/>
      <c r="YU112" s="19"/>
      <c r="YV112" s="19"/>
      <c r="YW112" s="19"/>
      <c r="YX112" s="19"/>
      <c r="YY112" s="19"/>
      <c r="YZ112" s="19"/>
      <c r="ZA112" s="19"/>
      <c r="ZB112" s="19"/>
      <c r="ZC112" s="19"/>
      <c r="ZD112" s="19"/>
      <c r="ZE112" s="19"/>
      <c r="ZF112" s="19"/>
      <c r="ZG112" s="19"/>
      <c r="ZH112" s="19"/>
      <c r="ZI112" s="19"/>
      <c r="ZJ112" s="19"/>
      <c r="ZK112" s="19"/>
      <c r="ZL112" s="19"/>
      <c r="ZM112" s="19"/>
      <c r="ZN112" s="19"/>
      <c r="ZO112" s="19"/>
      <c r="ZP112" s="19"/>
      <c r="ZQ112" s="19"/>
      <c r="ZR112" s="19"/>
      <c r="ZS112" s="19"/>
      <c r="ZT112" s="19"/>
      <c r="ZU112" s="19"/>
      <c r="ZV112" s="19"/>
      <c r="ZW112" s="19"/>
      <c r="ZX112" s="19"/>
      <c r="ZY112" s="19"/>
      <c r="ZZ112" s="19"/>
      <c r="AAA112" s="19"/>
      <c r="AAB112" s="19"/>
      <c r="AAC112" s="19"/>
      <c r="AAD112" s="19"/>
      <c r="AAE112" s="19"/>
      <c r="AAF112" s="19"/>
      <c r="AAG112" s="19"/>
      <c r="AAH112" s="19"/>
      <c r="AAI112" s="19"/>
      <c r="AAJ112" s="19"/>
      <c r="AAK112" s="19"/>
      <c r="AAL112" s="19"/>
      <c r="AAM112" s="19"/>
      <c r="AAN112" s="19"/>
      <c r="AAO112" s="19"/>
      <c r="AAP112" s="19"/>
      <c r="AAQ112" s="19"/>
      <c r="AAR112" s="19"/>
      <c r="AAS112" s="19"/>
      <c r="AAT112" s="19"/>
      <c r="AAU112" s="19"/>
      <c r="AAV112" s="19"/>
      <c r="AAW112" s="19"/>
      <c r="AAX112" s="19"/>
      <c r="AAY112" s="19"/>
      <c r="AAZ112" s="19"/>
      <c r="ABA112" s="19"/>
      <c r="ABB112" s="19"/>
      <c r="ABC112" s="19"/>
      <c r="ABD112" s="19"/>
      <c r="ABE112" s="19"/>
      <c r="ABF112" s="19"/>
      <c r="ABG112" s="19"/>
      <c r="ABH112" s="19"/>
      <c r="ABI112" s="19"/>
      <c r="ABJ112" s="19"/>
      <c r="ABK112" s="19"/>
      <c r="ABL112" s="19"/>
      <c r="ABM112" s="19"/>
      <c r="ABN112" s="19"/>
      <c r="ABO112" s="19"/>
      <c r="ABP112" s="19"/>
      <c r="ABQ112" s="19"/>
      <c r="ABR112" s="19"/>
      <c r="ABS112" s="19"/>
      <c r="ABT112" s="19"/>
      <c r="ABU112" s="19"/>
      <c r="ABV112" s="19"/>
      <c r="ABW112" s="19"/>
      <c r="ABX112" s="19"/>
      <c r="ABY112" s="19"/>
      <c r="ABZ112" s="19"/>
      <c r="ACA112" s="19"/>
      <c r="ACB112" s="19"/>
      <c r="ACC112" s="19"/>
      <c r="ACD112" s="19"/>
      <c r="ACE112" s="19"/>
      <c r="ACF112" s="19"/>
      <c r="ACG112" s="19"/>
      <c r="ACH112" s="19"/>
      <c r="ACI112" s="19"/>
      <c r="ACJ112" s="19"/>
      <c r="ACK112" s="19"/>
      <c r="ACL112" s="19"/>
      <c r="ACM112" s="19"/>
      <c r="ACN112" s="19"/>
      <c r="ACO112" s="19"/>
      <c r="ACP112" s="19"/>
      <c r="ACQ112" s="19"/>
      <c r="ACR112" s="19"/>
      <c r="ACS112" s="19"/>
      <c r="ACT112" s="19"/>
      <c r="ACU112" s="19"/>
      <c r="ACV112" s="19"/>
      <c r="ACW112" s="19"/>
      <c r="ACX112" s="19"/>
      <c r="ACY112" s="19"/>
      <c r="ACZ112" s="19"/>
      <c r="ADA112" s="19"/>
      <c r="ADB112" s="19"/>
      <c r="ADC112" s="19"/>
      <c r="ADD112" s="19"/>
      <c r="ADE112" s="19"/>
      <c r="ADF112" s="19"/>
      <c r="ADG112" s="19"/>
      <c r="ADH112" s="19"/>
      <c r="ADI112" s="19"/>
      <c r="ADJ112" s="19"/>
      <c r="ADK112" s="19"/>
      <c r="ADL112" s="19"/>
      <c r="ADM112" s="19"/>
      <c r="ADN112" s="19"/>
      <c r="ADO112" s="19"/>
      <c r="ADP112" s="19"/>
      <c r="ADQ112" s="19"/>
      <c r="ADR112" s="19"/>
      <c r="ADS112" s="19"/>
      <c r="ADT112" s="19"/>
      <c r="ADU112" s="19"/>
      <c r="ADV112" s="19"/>
      <c r="ADW112" s="19"/>
      <c r="ADX112" s="19"/>
      <c r="ADY112" s="19"/>
      <c r="ADZ112" s="19"/>
      <c r="AEA112" s="19"/>
      <c r="AEB112" s="19"/>
      <c r="AEC112" s="19"/>
      <c r="AED112" s="19"/>
      <c r="AEE112" s="19"/>
      <c r="AEF112" s="19"/>
      <c r="AEG112" s="19"/>
      <c r="AEH112" s="19"/>
      <c r="AEI112" s="19"/>
      <c r="AEJ112" s="19"/>
      <c r="AEK112" s="19"/>
      <c r="AEL112" s="19"/>
      <c r="AEM112" s="19"/>
      <c r="AEN112" s="19"/>
      <c r="AEO112" s="19"/>
      <c r="AEP112" s="19"/>
      <c r="AEQ112" s="19"/>
      <c r="AER112" s="19"/>
      <c r="AES112" s="19"/>
      <c r="AET112" s="19"/>
      <c r="AEU112" s="19"/>
      <c r="AEV112" s="19"/>
      <c r="AEW112" s="19"/>
      <c r="AEX112" s="19"/>
      <c r="AEY112" s="19"/>
      <c r="AEZ112" s="19"/>
      <c r="AFA112" s="19"/>
      <c r="AFB112" s="19"/>
      <c r="AFC112" s="19"/>
      <c r="AFD112" s="19"/>
      <c r="AFE112" s="19"/>
      <c r="AFF112" s="19"/>
      <c r="AFG112" s="19"/>
      <c r="AFH112" s="19"/>
      <c r="AFI112" s="19"/>
      <c r="AFJ112" s="19"/>
      <c r="AFK112" s="19"/>
      <c r="AFL112" s="19"/>
      <c r="AFM112" s="19"/>
      <c r="AFN112" s="19"/>
      <c r="AFO112" s="19"/>
      <c r="AFP112" s="19"/>
      <c r="AFQ112" s="19"/>
      <c r="AFR112" s="19"/>
      <c r="AFS112" s="19"/>
      <c r="AFT112" s="19"/>
      <c r="AFU112" s="19"/>
      <c r="AFV112" s="19"/>
      <c r="AFW112" s="19"/>
      <c r="AFX112" s="19"/>
      <c r="AFY112" s="19"/>
      <c r="AFZ112" s="19"/>
      <c r="AGA112" s="19"/>
      <c r="AGB112" s="19"/>
      <c r="AGC112" s="19"/>
      <c r="AGD112" s="19"/>
      <c r="AGE112" s="19"/>
      <c r="AGF112" s="19"/>
      <c r="AGG112" s="19"/>
      <c r="AGH112" s="19"/>
      <c r="AGI112" s="19"/>
      <c r="AGJ112" s="19"/>
      <c r="AGK112" s="19"/>
      <c r="AGL112" s="19"/>
      <c r="AGM112" s="19"/>
      <c r="AGN112" s="19"/>
      <c r="AGO112" s="19"/>
      <c r="AGP112" s="19"/>
      <c r="AGQ112" s="19"/>
      <c r="AGR112" s="19"/>
      <c r="AGS112" s="19"/>
      <c r="AGT112" s="19"/>
      <c r="AGU112" s="19"/>
      <c r="AGV112" s="19"/>
      <c r="AGW112" s="19"/>
      <c r="AGX112" s="19"/>
      <c r="AGY112" s="19"/>
      <c r="AGZ112" s="19"/>
      <c r="AHA112" s="19"/>
      <c r="AHB112" s="19"/>
      <c r="AHC112" s="19"/>
      <c r="AHD112" s="19"/>
      <c r="AHE112" s="19"/>
      <c r="AHF112" s="19"/>
      <c r="AHG112" s="19"/>
      <c r="AHH112" s="19"/>
      <c r="AHI112" s="19"/>
      <c r="AHJ112" s="19"/>
      <c r="AHK112" s="19"/>
      <c r="AHL112" s="19"/>
      <c r="AHM112" s="19"/>
      <c r="AHN112" s="19"/>
      <c r="AHO112" s="19"/>
      <c r="AHP112" s="19"/>
      <c r="AHQ112" s="19"/>
      <c r="AHR112" s="19"/>
      <c r="AHS112" s="19"/>
      <c r="AHT112" s="19"/>
      <c r="AHU112" s="19"/>
      <c r="AHV112" s="19"/>
      <c r="AHW112" s="19"/>
      <c r="AHX112" s="19"/>
      <c r="AHY112" s="19"/>
      <c r="AHZ112" s="19"/>
      <c r="AIA112" s="19"/>
      <c r="AIB112" s="19"/>
      <c r="AIC112" s="19"/>
      <c r="AID112" s="19"/>
      <c r="AIE112" s="19"/>
      <c r="AIF112" s="19"/>
      <c r="AIG112" s="19"/>
      <c r="AIH112" s="19"/>
      <c r="AII112" s="19"/>
      <c r="AIJ112" s="19"/>
      <c r="AIK112" s="19"/>
      <c r="AIL112" s="19"/>
      <c r="AIM112" s="19"/>
      <c r="AIN112" s="19"/>
      <c r="AIO112" s="19"/>
      <c r="AIP112" s="19"/>
      <c r="AIQ112" s="19"/>
      <c r="AIR112" s="19"/>
      <c r="AIS112" s="19"/>
      <c r="AIT112" s="19"/>
      <c r="AIU112" s="19"/>
      <c r="AIV112" s="19"/>
      <c r="AIW112" s="19"/>
      <c r="AIX112" s="19"/>
      <c r="AIY112" s="19"/>
      <c r="AIZ112" s="19"/>
      <c r="AJA112" s="19"/>
      <c r="AJB112" s="19"/>
      <c r="AJC112" s="19"/>
      <c r="AJD112" s="19"/>
      <c r="AJE112" s="19"/>
      <c r="AJF112" s="19"/>
      <c r="AJG112" s="19"/>
      <c r="AJH112" s="19"/>
      <c r="AJI112" s="19"/>
      <c r="AJJ112" s="19"/>
      <c r="AJK112" s="19"/>
      <c r="AJL112" s="19"/>
      <c r="AJM112" s="19"/>
      <c r="AJN112" s="19"/>
      <c r="AJO112" s="19"/>
      <c r="AJP112" s="19"/>
      <c r="AJQ112" s="19"/>
      <c r="AJR112" s="19"/>
      <c r="AJS112" s="19"/>
      <c r="AJT112" s="19"/>
      <c r="AJU112" s="19"/>
      <c r="AJV112" s="19"/>
      <c r="AJW112" s="19"/>
      <c r="AJX112" s="19"/>
      <c r="AJY112" s="19"/>
      <c r="AJZ112" s="19"/>
      <c r="AKA112" s="19"/>
      <c r="AKB112" s="19"/>
      <c r="AKC112" s="19"/>
      <c r="AKD112" s="19"/>
      <c r="AKE112" s="19"/>
      <c r="AKF112" s="19"/>
      <c r="AKG112" s="19"/>
      <c r="AKH112" s="19"/>
      <c r="AKI112" s="19"/>
      <c r="AKJ112" s="19"/>
      <c r="AKK112" s="19"/>
      <c r="AKL112" s="19"/>
      <c r="AKM112" s="19"/>
      <c r="AKN112" s="19"/>
      <c r="AKO112" s="19"/>
      <c r="AKP112" s="19"/>
      <c r="AKQ112" s="19"/>
      <c r="AKR112" s="19"/>
      <c r="AKS112" s="19"/>
      <c r="AKT112" s="19"/>
      <c r="AKU112" s="19"/>
      <c r="AKV112" s="19"/>
      <c r="AKW112" s="19"/>
      <c r="AKX112" s="19"/>
      <c r="AKY112" s="19"/>
      <c r="AKZ112" s="19"/>
      <c r="ALA112" s="19"/>
      <c r="ALB112" s="19"/>
      <c r="ALC112" s="19"/>
      <c r="ALD112" s="19"/>
      <c r="ALE112" s="19"/>
      <c r="ALF112" s="19"/>
      <c r="ALG112" s="19"/>
      <c r="ALH112" s="19"/>
      <c r="ALI112" s="19"/>
      <c r="ALJ112" s="19"/>
      <c r="ALK112" s="19"/>
      <c r="ALL112" s="19"/>
      <c r="ALM112" s="19"/>
      <c r="ALN112" s="19"/>
      <c r="ALO112" s="19"/>
      <c r="ALP112" s="19"/>
      <c r="ALQ112" s="19"/>
      <c r="ALR112" s="19"/>
      <c r="ALS112" s="19"/>
      <c r="ALT112" s="19"/>
      <c r="ALU112" s="19"/>
      <c r="ALV112" s="19"/>
      <c r="ALW112" s="19"/>
      <c r="ALX112" s="19"/>
      <c r="ALY112" s="19"/>
      <c r="ALZ112" s="19"/>
      <c r="AMA112" s="19"/>
      <c r="AMB112" s="19"/>
      <c r="AMC112" s="19"/>
      <c r="AMD112" s="19"/>
      <c r="AME112" s="19"/>
      <c r="AMF112" s="19"/>
      <c r="AMG112" s="19"/>
      <c r="AMH112" s="19"/>
      <c r="AMI112" s="19"/>
      <c r="AMJ112" s="19"/>
      <c r="AMK112" s="19"/>
      <c r="AML112" s="19"/>
      <c r="AMM112" s="19"/>
      <c r="AMN112" s="19"/>
      <c r="AMO112" s="19"/>
      <c r="AMP112" s="19"/>
      <c r="AMQ112" s="19"/>
      <c r="AMR112" s="19"/>
      <c r="AMS112" s="19"/>
      <c r="AMT112" s="19"/>
      <c r="AMU112" s="19"/>
      <c r="AMV112" s="19"/>
      <c r="AMW112" s="19"/>
      <c r="AMX112" s="19"/>
      <c r="AMY112" s="19"/>
      <c r="AMZ112" s="19"/>
      <c r="ANA112" s="19"/>
      <c r="ANB112" s="19"/>
      <c r="ANC112" s="19"/>
      <c r="AND112" s="19"/>
      <c r="ANE112" s="19"/>
      <c r="ANF112" s="19"/>
      <c r="ANG112" s="19"/>
      <c r="ANH112" s="19"/>
      <c r="ANI112" s="19"/>
      <c r="ANJ112" s="19"/>
      <c r="ANK112" s="19"/>
      <c r="ANL112" s="19"/>
      <c r="ANM112" s="19"/>
      <c r="ANN112" s="19"/>
      <c r="ANO112" s="19"/>
      <c r="ANP112" s="19"/>
      <c r="ANQ112" s="639"/>
      <c r="ANR112" s="639"/>
      <c r="ANS112" s="19"/>
      <c r="ANT112" s="19"/>
      <c r="ANU112" s="19"/>
      <c r="ANV112" s="19"/>
      <c r="ANW112" s="19"/>
      <c r="ANX112" s="19"/>
      <c r="ANY112" s="19"/>
      <c r="ANZ112" s="19"/>
      <c r="AOA112" s="19"/>
      <c r="AOB112" s="19"/>
      <c r="AOC112" s="19"/>
      <c r="AOD112" s="19"/>
      <c r="AOE112" s="19"/>
      <c r="AOF112" s="19"/>
      <c r="AOG112" s="19"/>
      <c r="AOH112" s="19"/>
      <c r="AOI112" s="19"/>
      <c r="AOJ112" s="19"/>
      <c r="AOK112" s="19"/>
      <c r="AOL112" s="19"/>
      <c r="AOM112" s="19"/>
      <c r="AON112" s="19"/>
      <c r="AOO112" s="19"/>
      <c r="AOP112" s="19"/>
      <c r="AOQ112" s="19"/>
      <c r="AOR112" s="19"/>
      <c r="AOS112" s="19"/>
      <c r="AOT112" s="19"/>
      <c r="AOU112" s="19"/>
      <c r="AOV112" s="19"/>
      <c r="AOW112" s="19"/>
      <c r="AOX112" s="19"/>
      <c r="AOY112" s="19"/>
      <c r="AOZ112" s="19"/>
      <c r="APA112" s="19"/>
      <c r="APB112" s="19"/>
      <c r="APC112" s="19"/>
      <c r="APD112" s="19"/>
      <c r="APE112" s="19"/>
      <c r="APF112" s="19"/>
      <c r="APG112" s="19"/>
      <c r="APH112" s="19"/>
      <c r="API112" s="19"/>
      <c r="APJ112" s="19"/>
      <c r="APK112" s="19"/>
      <c r="APL112" s="19"/>
      <c r="APM112" s="19"/>
      <c r="APN112" s="19"/>
      <c r="APO112" s="19"/>
      <c r="APP112" s="19"/>
      <c r="APQ112" s="19"/>
      <c r="APR112" s="19"/>
      <c r="APS112" s="19"/>
      <c r="APT112" s="19"/>
      <c r="APU112" s="19"/>
      <c r="APV112" s="19"/>
      <c r="APW112" s="19"/>
      <c r="APX112" s="19"/>
      <c r="APY112" s="19"/>
      <c r="APZ112" s="19"/>
      <c r="AQA112" s="19"/>
      <c r="AQB112" s="19"/>
      <c r="AQC112" s="19"/>
      <c r="AQD112" s="19"/>
      <c r="AQE112" s="19"/>
      <c r="AQF112" s="19"/>
      <c r="AQG112" s="19"/>
      <c r="AQH112" s="19"/>
      <c r="AQI112" s="19"/>
      <c r="AQJ112" s="19"/>
      <c r="AQK112" s="19"/>
      <c r="AQL112" s="19"/>
      <c r="AQM112" s="19"/>
      <c r="AQN112" s="19"/>
      <c r="AQO112" s="19"/>
      <c r="AQP112" s="19"/>
      <c r="AQQ112" s="19"/>
      <c r="AQR112" s="19"/>
      <c r="AQS112" s="19"/>
      <c r="AQT112" s="19"/>
      <c r="AQU112" s="19"/>
      <c r="AQV112" s="19"/>
      <c r="AQW112" s="19"/>
      <c r="AQX112" s="19"/>
      <c r="AQY112" s="19"/>
      <c r="AQZ112" s="19"/>
      <c r="ARA112" s="19"/>
      <c r="ARB112" s="19"/>
      <c r="ARC112" s="19"/>
      <c r="ARD112" s="19"/>
      <c r="ARE112" s="19"/>
      <c r="ARF112" s="19"/>
      <c r="ARG112" s="19"/>
      <c r="ARH112" s="19"/>
      <c r="ARI112" s="19"/>
      <c r="ARJ112" s="19"/>
      <c r="ARK112" s="19"/>
      <c r="ARL112" s="19"/>
      <c r="ARM112" s="19"/>
      <c r="ARN112" s="19"/>
      <c r="ARO112" s="19"/>
      <c r="ARP112" s="19"/>
      <c r="ARQ112" s="19"/>
      <c r="ARR112" s="19"/>
      <c r="ARS112" s="19"/>
      <c r="ART112" s="19"/>
      <c r="ARU112" s="19"/>
      <c r="ARV112" s="19"/>
      <c r="ARW112" s="19"/>
      <c r="ARX112" s="19"/>
      <c r="ARY112" s="19"/>
      <c r="ARZ112" s="19"/>
      <c r="ASA112" s="19"/>
      <c r="ASB112" s="19"/>
      <c r="ASC112" s="19"/>
      <c r="ASD112" s="19"/>
      <c r="ASE112" s="19"/>
      <c r="ASF112" s="19"/>
      <c r="ASG112" s="19"/>
      <c r="ASH112" s="19"/>
      <c r="ASI112" s="19"/>
      <c r="ASJ112" s="19"/>
      <c r="ASK112" s="19"/>
      <c r="ASL112" s="19"/>
      <c r="ASM112" s="19"/>
      <c r="ASN112" s="19"/>
      <c r="ASO112" s="19"/>
      <c r="ASP112" s="19"/>
      <c r="ASQ112" s="19"/>
      <c r="ASR112" s="19"/>
      <c r="ASS112" s="19"/>
      <c r="AST112" s="19"/>
      <c r="ASU112" s="19"/>
      <c r="ASV112" s="19"/>
      <c r="ASW112" s="19"/>
      <c r="ASX112" s="19"/>
      <c r="ASY112" s="19"/>
      <c r="ASZ112" s="19"/>
      <c r="ATA112" s="19"/>
      <c r="ATB112" s="19"/>
      <c r="ATC112" s="19"/>
      <c r="ATD112" s="19"/>
      <c r="ATE112" s="19"/>
      <c r="ATF112" s="19"/>
      <c r="ATG112" s="19"/>
      <c r="ATH112" s="19"/>
      <c r="ATI112" s="19"/>
      <c r="ATJ112" s="19"/>
      <c r="ATK112" s="19"/>
      <c r="ATL112" s="19"/>
      <c r="ATM112" s="19"/>
      <c r="ATN112" s="19"/>
      <c r="ATO112" s="19"/>
      <c r="ATP112" s="19"/>
      <c r="ATQ112" s="19"/>
      <c r="ATR112" s="19"/>
      <c r="ATS112" s="19"/>
      <c r="ATT112" s="19"/>
      <c r="ATU112" s="19"/>
      <c r="ATV112" s="19"/>
      <c r="ATW112" s="19"/>
      <c r="ATX112" s="19"/>
      <c r="ATY112" s="19"/>
      <c r="ATZ112" s="19"/>
      <c r="AUA112" s="19"/>
      <c r="AUB112" s="19"/>
      <c r="AUC112" s="19"/>
      <c r="AUD112" s="19"/>
      <c r="AUE112" s="19"/>
      <c r="AUF112" s="19"/>
      <c r="AUG112" s="19"/>
      <c r="AUH112" s="19"/>
      <c r="AUI112" s="19"/>
      <c r="AUJ112" s="19"/>
      <c r="AUK112" s="19"/>
      <c r="AUL112" s="19"/>
      <c r="AUM112" s="19"/>
      <c r="AUN112" s="19"/>
      <c r="AUO112" s="19"/>
      <c r="AUP112" s="19"/>
      <c r="AUQ112" s="19"/>
      <c r="AUR112" s="19"/>
      <c r="AUS112" s="19"/>
      <c r="AUT112" s="19"/>
      <c r="AUU112" s="19"/>
      <c r="AUV112" s="19"/>
      <c r="AUW112" s="19"/>
      <c r="AUX112" s="19"/>
      <c r="AUY112" s="19"/>
      <c r="AUZ112" s="19"/>
      <c r="AVA112" s="19"/>
      <c r="AVB112" s="19"/>
      <c r="AVC112" s="19"/>
      <c r="AVD112" s="19"/>
      <c r="AVE112" s="19"/>
      <c r="AVF112" s="19"/>
      <c r="AVG112" s="19"/>
      <c r="AVH112" s="19"/>
      <c r="AVI112" s="19"/>
      <c r="AVJ112" s="19"/>
      <c r="AVK112" s="19"/>
      <c r="AVL112" s="19"/>
      <c r="AVM112" s="19"/>
      <c r="AVN112" s="19"/>
      <c r="AVO112" s="19"/>
      <c r="AVP112" s="19"/>
      <c r="AVQ112" s="19"/>
      <c r="AVR112" s="19"/>
      <c r="AVS112" s="19"/>
      <c r="AVT112" s="19"/>
      <c r="AVU112" s="19"/>
      <c r="AVV112" s="19"/>
      <c r="AVW112" s="19"/>
      <c r="AVX112" s="19"/>
      <c r="AVY112" s="19"/>
      <c r="AVZ112" s="19"/>
      <c r="AWA112" s="19"/>
      <c r="AWB112" s="19"/>
      <c r="AWC112" s="19"/>
      <c r="AWD112" s="19"/>
      <c r="AWE112" s="19"/>
      <c r="AWF112" s="19"/>
      <c r="AWG112" s="19"/>
      <c r="AWH112" s="19"/>
      <c r="AWI112" s="19"/>
      <c r="AWJ112" s="19"/>
      <c r="AWK112" s="19"/>
      <c r="AWL112" s="19"/>
      <c r="AWM112" s="19"/>
      <c r="AWN112" s="19"/>
      <c r="AWO112" s="19"/>
      <c r="AWP112" s="19"/>
      <c r="AWQ112" s="19"/>
      <c r="AWR112" s="19"/>
      <c r="AWS112" s="19"/>
      <c r="AWT112" s="19"/>
      <c r="AWU112" s="19"/>
      <c r="AWV112" s="19"/>
      <c r="AWW112" s="19"/>
      <c r="AWX112" s="19"/>
      <c r="AWY112" s="19"/>
      <c r="AWZ112" s="19"/>
      <c r="AXA112" s="19"/>
      <c r="AXB112" s="19"/>
      <c r="AXC112" s="19"/>
      <c r="AXD112" s="19"/>
      <c r="AXE112" s="19"/>
      <c r="AXF112" s="19"/>
      <c r="AXG112" s="19"/>
      <c r="AXH112" s="19"/>
      <c r="AXI112" s="19"/>
      <c r="AXJ112" s="19"/>
      <c r="AXK112" s="19"/>
      <c r="AXL112" s="19"/>
      <c r="AXM112" s="19"/>
      <c r="AXN112" s="19"/>
      <c r="AXO112" s="19"/>
      <c r="AXP112" s="19"/>
      <c r="AXQ112" s="19"/>
      <c r="AXR112" s="19"/>
      <c r="AXS112" s="19"/>
      <c r="AXT112" s="19"/>
      <c r="AXU112" s="19"/>
      <c r="AXV112" s="19"/>
      <c r="AXW112" s="19"/>
      <c r="AXX112" s="19"/>
      <c r="AXY112" s="19"/>
      <c r="AXZ112" s="19"/>
      <c r="AYA112" s="19"/>
      <c r="AYB112" s="19"/>
      <c r="AYC112" s="19"/>
      <c r="AYD112" s="19"/>
      <c r="AYE112" s="19"/>
      <c r="AYF112" s="19"/>
      <c r="AYG112" s="19"/>
      <c r="AYH112" s="19"/>
      <c r="AYI112" s="19"/>
      <c r="AYJ112" s="19"/>
      <c r="AYK112" s="19"/>
      <c r="AYL112" s="19"/>
      <c r="AYM112" s="19"/>
      <c r="AYN112" s="19"/>
      <c r="AYO112" s="19"/>
      <c r="AYP112" s="19"/>
      <c r="AYQ112" s="19"/>
      <c r="AYR112" s="19"/>
      <c r="AYS112" s="19"/>
      <c r="AYT112" s="19"/>
      <c r="AYU112" s="19"/>
      <c r="AYV112" s="19"/>
      <c r="AYW112" s="19"/>
      <c r="AYX112" s="19"/>
      <c r="AYY112" s="19"/>
      <c r="AYZ112" s="19"/>
      <c r="AZA112" s="19"/>
      <c r="AZB112" s="19"/>
      <c r="AZC112" s="19"/>
      <c r="AZD112" s="19"/>
      <c r="AZE112" s="19"/>
      <c r="AZF112" s="19"/>
      <c r="AZG112" s="19"/>
      <c r="AZH112" s="19"/>
      <c r="AZI112" s="19"/>
      <c r="AZJ112" s="19"/>
      <c r="AZK112" s="19"/>
      <c r="AZL112" s="19"/>
      <c r="AZM112" s="19"/>
      <c r="AZN112" s="19"/>
      <c r="AZO112" s="19"/>
      <c r="AZP112" s="19"/>
      <c r="AZQ112" s="19"/>
      <c r="AZR112" s="19"/>
      <c r="AZS112" s="19"/>
      <c r="AZT112" s="19"/>
      <c r="AZU112" s="19"/>
      <c r="AZV112" s="19"/>
      <c r="AZW112" s="19"/>
      <c r="AZX112" s="19"/>
      <c r="AZY112" s="19"/>
      <c r="AZZ112" s="19"/>
      <c r="BAA112" s="19"/>
      <c r="BAB112" s="19"/>
      <c r="BAC112" s="19"/>
      <c r="BAD112" s="19"/>
      <c r="BAE112" s="19"/>
      <c r="BAF112" s="19"/>
      <c r="BAG112" s="19"/>
      <c r="BAH112" s="19"/>
      <c r="BAI112" s="19"/>
      <c r="BAJ112" s="19"/>
      <c r="BAK112" s="19"/>
      <c r="BAL112" s="19"/>
      <c r="BAM112" s="19"/>
      <c r="BAN112" s="19"/>
      <c r="BAO112" s="19"/>
      <c r="BAP112" s="19"/>
      <c r="BAQ112" s="19"/>
      <c r="BAR112" s="19"/>
      <c r="BAS112" s="19"/>
      <c r="BAT112" s="19"/>
      <c r="BAU112" s="19"/>
      <c r="BAV112" s="19"/>
      <c r="BAW112" s="19"/>
      <c r="BAX112" s="19"/>
      <c r="BAY112" s="19"/>
      <c r="BAZ112" s="19"/>
      <c r="BBA112" s="19"/>
      <c r="BBB112" s="19"/>
      <c r="BBC112" s="19"/>
      <c r="BBD112" s="19"/>
      <c r="BBE112" s="19"/>
      <c r="BBF112" s="19"/>
      <c r="BBG112" s="19"/>
      <c r="BBH112" s="19"/>
      <c r="BBI112" s="19"/>
      <c r="BBJ112" s="19"/>
      <c r="BBK112" s="19"/>
      <c r="BBL112" s="19"/>
      <c r="BBM112" s="19"/>
      <c r="BBN112" s="19"/>
      <c r="BBO112" s="19"/>
      <c r="BBP112" s="19"/>
      <c r="BBQ112" s="19"/>
      <c r="BBR112" s="19"/>
      <c r="BBS112" s="19"/>
      <c r="BBT112" s="19"/>
      <c r="BBU112" s="19"/>
      <c r="BBV112" s="19"/>
      <c r="BBW112" s="19"/>
      <c r="BBX112" s="19"/>
      <c r="BBY112" s="19"/>
      <c r="BBZ112" s="19"/>
      <c r="BCA112" s="19"/>
      <c r="BCB112" s="19"/>
      <c r="BCC112" s="19"/>
      <c r="BCD112" s="19"/>
      <c r="BCE112" s="19"/>
      <c r="BCF112" s="19"/>
      <c r="BCG112" s="19"/>
      <c r="BCH112" s="19"/>
      <c r="BCI112" s="19"/>
      <c r="BCJ112" s="19"/>
      <c r="BCK112" s="19"/>
      <c r="BCL112" s="19"/>
      <c r="BCM112" s="19"/>
      <c r="BCN112" s="19"/>
      <c r="BCO112" s="19"/>
      <c r="BCP112" s="19"/>
      <c r="BCQ112" s="19"/>
      <c r="BCR112" s="19"/>
      <c r="BCS112" s="19"/>
      <c r="BCT112" s="19"/>
      <c r="BCU112" s="19"/>
      <c r="BCV112" s="19"/>
      <c r="BCW112" s="19"/>
      <c r="BCX112" s="19"/>
      <c r="BCY112" s="19"/>
      <c r="BCZ112" s="19"/>
      <c r="BDA112" s="19"/>
      <c r="BDB112" s="19"/>
      <c r="BDC112" s="19"/>
      <c r="BDD112" s="19"/>
      <c r="BDE112" s="19"/>
      <c r="BDF112" s="19"/>
      <c r="BDG112" s="19"/>
      <c r="BDH112" s="19"/>
      <c r="BDI112" s="19"/>
      <c r="BDJ112" s="19"/>
      <c r="BDK112" s="19"/>
      <c r="BDL112" s="19"/>
      <c r="BDM112" s="19"/>
      <c r="BDN112" s="19"/>
      <c r="BDO112" s="19"/>
      <c r="BDP112" s="19"/>
      <c r="BDQ112" s="19"/>
      <c r="BDR112" s="19"/>
      <c r="BDS112" s="19"/>
      <c r="BDT112" s="19"/>
      <c r="BDU112" s="19"/>
      <c r="BDV112" s="19"/>
      <c r="BDW112" s="19"/>
      <c r="BDX112" s="19"/>
      <c r="BDY112" s="19"/>
      <c r="BDZ112" s="19"/>
      <c r="BEA112" s="19"/>
      <c r="BEB112" s="19"/>
      <c r="BEC112" s="19"/>
      <c r="BED112" s="19"/>
      <c r="BEE112" s="19"/>
      <c r="BEF112" s="19"/>
      <c r="BEG112" s="19"/>
      <c r="BEH112" s="19"/>
      <c r="BEI112" s="19"/>
      <c r="BEJ112" s="19"/>
      <c r="BEK112" s="19"/>
      <c r="BEL112" s="19"/>
      <c r="BEM112" s="19"/>
      <c r="BEN112" s="19"/>
      <c r="BEO112" s="19"/>
      <c r="BEP112" s="19"/>
      <c r="BEQ112" s="19"/>
      <c r="BER112" s="19"/>
      <c r="BES112" s="19"/>
      <c r="BET112" s="19"/>
      <c r="BEU112" s="19"/>
      <c r="BEV112" s="19"/>
      <c r="BEW112" s="19"/>
      <c r="BEX112" s="19"/>
      <c r="BEY112" s="19"/>
      <c r="BEZ112" s="19"/>
      <c r="BFA112" s="19"/>
      <c r="BFB112" s="19"/>
      <c r="BFC112" s="19"/>
      <c r="BFD112" s="19"/>
      <c r="BFE112" s="19"/>
      <c r="BFF112" s="19"/>
      <c r="BFG112" s="19"/>
      <c r="BFH112" s="19"/>
      <c r="BFI112" s="19"/>
      <c r="BFJ112" s="19"/>
      <c r="BFK112" s="19"/>
      <c r="BFL112" s="19"/>
      <c r="BFM112" s="19"/>
      <c r="BFN112" s="19"/>
      <c r="BFO112" s="19"/>
      <c r="BFP112" s="19"/>
      <c r="BFQ112" s="19"/>
      <c r="BFR112" s="19"/>
      <c r="BFS112" s="19"/>
      <c r="BFT112" s="19"/>
      <c r="BFU112" s="19"/>
      <c r="BFV112" s="19"/>
      <c r="BFW112" s="19"/>
      <c r="BFX112" s="19"/>
      <c r="BFY112" s="19"/>
      <c r="BFZ112" s="19"/>
      <c r="BGA112" s="19"/>
      <c r="BGB112" s="19"/>
      <c r="BGC112" s="19"/>
      <c r="BGD112" s="19"/>
      <c r="BGE112" s="19"/>
      <c r="BGF112" s="19"/>
      <c r="BGG112" s="19"/>
      <c r="BGH112" s="19"/>
      <c r="BGI112" s="19"/>
      <c r="BGJ112" s="19"/>
      <c r="BGK112" s="19"/>
      <c r="BGL112" s="19"/>
      <c r="BGM112" s="19"/>
      <c r="BGN112" s="19"/>
      <c r="BGO112" s="19"/>
      <c r="BGP112" s="19"/>
      <c r="BGQ112" s="19"/>
      <c r="BGR112" s="19"/>
      <c r="BGS112" s="19"/>
      <c r="BGT112" s="19"/>
      <c r="BGU112" s="19"/>
      <c r="BGV112" s="19"/>
      <c r="BGW112" s="19"/>
      <c r="BGX112" s="19"/>
      <c r="BGY112" s="19"/>
      <c r="BGZ112" s="19"/>
      <c r="BHA112" s="19"/>
      <c r="BHB112" s="19"/>
      <c r="BHC112" s="19"/>
      <c r="BHD112" s="19"/>
      <c r="BHE112" s="19"/>
      <c r="BHF112" s="19"/>
      <c r="BHG112" s="19"/>
      <c r="BHH112" s="19"/>
      <c r="BHI112" s="19"/>
      <c r="BHJ112" s="19"/>
      <c r="BHK112" s="19"/>
      <c r="BHL112" s="19"/>
      <c r="BHM112" s="19"/>
      <c r="BHN112" s="19"/>
      <c r="BHO112" s="19"/>
      <c r="BHP112" s="19"/>
      <c r="BHQ112" s="19"/>
      <c r="BHR112" s="19"/>
      <c r="BHS112" s="19"/>
      <c r="BHT112" s="19"/>
      <c r="BHU112" s="19"/>
      <c r="BHV112" s="19"/>
      <c r="BHW112" s="19"/>
      <c r="BHX112" s="19"/>
      <c r="BHY112" s="19"/>
      <c r="BHZ112" s="19"/>
      <c r="BIA112" s="19"/>
      <c r="BIB112" s="19"/>
      <c r="BIC112" s="19"/>
      <c r="BID112" s="19"/>
      <c r="BIE112" s="19"/>
      <c r="BIF112" s="19"/>
      <c r="BIG112" s="19"/>
      <c r="BIH112" s="19"/>
      <c r="BII112" s="19"/>
      <c r="BIJ112" s="19"/>
      <c r="BIK112" s="19"/>
      <c r="BIL112" s="19"/>
      <c r="BIM112" s="19"/>
      <c r="BIN112" s="19"/>
      <c r="BIO112" s="19"/>
      <c r="BIP112" s="19"/>
      <c r="BIQ112" s="19"/>
      <c r="BIR112" s="19"/>
      <c r="BIS112" s="19"/>
      <c r="BIT112" s="19"/>
      <c r="BIU112" s="19"/>
      <c r="BIV112" s="19"/>
      <c r="BIW112" s="19"/>
      <c r="BIX112" s="19"/>
      <c r="BIY112" s="19"/>
      <c r="BIZ112" s="19"/>
      <c r="BJA112" s="19"/>
      <c r="BJB112" s="19"/>
      <c r="BJC112" s="19"/>
      <c r="BJD112" s="19"/>
      <c r="BJE112" s="19"/>
      <c r="BJF112" s="19"/>
      <c r="BJG112" s="19"/>
      <c r="BJH112" s="19"/>
      <c r="BJI112" s="19"/>
      <c r="BJJ112" s="19"/>
      <c r="BJK112" s="19"/>
      <c r="BJL112" s="19"/>
      <c r="BJM112" s="19"/>
      <c r="BJN112" s="19"/>
      <c r="BJO112" s="19"/>
      <c r="BJP112" s="19"/>
      <c r="BJQ112" s="19"/>
      <c r="BJR112" s="19"/>
      <c r="BJS112" s="19"/>
      <c r="BJT112" s="19"/>
      <c r="BJU112" s="19"/>
      <c r="BJV112" s="19"/>
      <c r="BJW112" s="19"/>
      <c r="BJX112" s="19"/>
      <c r="BJY112" s="19"/>
      <c r="BJZ112" s="19"/>
      <c r="BKA112" s="19"/>
      <c r="BKB112" s="19"/>
      <c r="BKC112" s="19"/>
      <c r="BKD112" s="19"/>
      <c r="BKE112" s="19"/>
      <c r="BKF112" s="19"/>
      <c r="BKG112" s="19"/>
      <c r="BKH112" s="19"/>
      <c r="BKI112" s="19"/>
      <c r="BKJ112" s="19"/>
      <c r="BKK112" s="19"/>
      <c r="BKL112" s="19"/>
      <c r="BKM112" s="19"/>
      <c r="BKN112" s="19"/>
      <c r="BKO112" s="19"/>
      <c r="BKP112" s="19"/>
      <c r="BKQ112" s="19"/>
      <c r="BKR112" s="19"/>
      <c r="BKS112" s="19"/>
      <c r="BKT112" s="19"/>
      <c r="BKU112" s="19"/>
      <c r="BKV112" s="19"/>
      <c r="BKW112" s="19"/>
      <c r="BKX112" s="19"/>
      <c r="BKY112" s="19"/>
      <c r="BKZ112" s="19"/>
      <c r="BLA112" s="19"/>
      <c r="BLB112" s="19"/>
      <c r="BLC112" s="19"/>
      <c r="BLD112" s="19"/>
      <c r="BLE112" s="19"/>
      <c r="BLF112" s="19"/>
      <c r="BLG112" s="19"/>
      <c r="BLH112" s="19"/>
      <c r="BLI112" s="19"/>
      <c r="BLJ112" s="19"/>
      <c r="BLK112" s="19"/>
      <c r="BLL112" s="19"/>
      <c r="BLM112" s="19"/>
      <c r="BLN112" s="19"/>
      <c r="BLO112" s="19"/>
      <c r="BLP112" s="19"/>
      <c r="BLQ112" s="19"/>
      <c r="BLR112" s="19"/>
      <c r="BLS112" s="19"/>
      <c r="BLT112" s="19"/>
      <c r="BLU112" s="19"/>
      <c r="BLV112" s="19"/>
      <c r="BLW112" s="19"/>
      <c r="BLX112" s="19"/>
      <c r="BLY112" s="19"/>
      <c r="BLZ112" s="19"/>
      <c r="BMA112" s="19"/>
      <c r="BMB112" s="19"/>
      <c r="BMC112" s="19"/>
      <c r="BMD112" s="19"/>
      <c r="BME112" s="19"/>
      <c r="BMF112" s="19"/>
      <c r="BMG112" s="19"/>
      <c r="BMH112" s="19"/>
      <c r="BMI112" s="19"/>
      <c r="BMJ112" s="19"/>
      <c r="BMK112" s="19"/>
      <c r="BML112" s="19"/>
      <c r="BMM112" s="19"/>
      <c r="BMN112" s="19"/>
      <c r="BMO112" s="19"/>
      <c r="BMP112" s="19"/>
      <c r="BMQ112" s="19"/>
      <c r="BMR112" s="19"/>
      <c r="BMS112" s="19"/>
      <c r="BMT112" s="19"/>
      <c r="BMU112" s="19"/>
      <c r="BMV112" s="19"/>
      <c r="BMW112" s="19"/>
      <c r="BMX112" s="19"/>
      <c r="BMY112" s="19"/>
      <c r="BMZ112" s="19"/>
      <c r="BNA112" s="19"/>
      <c r="BNB112" s="19"/>
      <c r="BNC112" s="19"/>
      <c r="BND112" s="19"/>
      <c r="BNE112" s="19"/>
      <c r="BNF112" s="19"/>
      <c r="BNG112" s="19"/>
      <c r="BNH112" s="19"/>
      <c r="BNI112" s="19"/>
      <c r="BNJ112" s="19"/>
      <c r="BNK112" s="19"/>
      <c r="BNL112" s="19"/>
      <c r="BNM112" s="19"/>
      <c r="BNN112" s="19"/>
      <c r="BNO112" s="19"/>
      <c r="BNP112" s="19"/>
      <c r="BNQ112" s="19"/>
      <c r="BNR112" s="19"/>
      <c r="BNS112" s="19"/>
      <c r="BNT112" s="19"/>
      <c r="BNU112" s="19"/>
      <c r="BNV112" s="19"/>
      <c r="BNW112" s="19"/>
      <c r="BNX112" s="19"/>
      <c r="BNY112" s="19"/>
      <c r="BNZ112" s="19"/>
      <c r="BOA112" s="19"/>
      <c r="BOB112" s="19"/>
      <c r="BOC112" s="19"/>
      <c r="BOD112" s="19"/>
      <c r="BOE112" s="19"/>
      <c r="BOF112" s="19"/>
      <c r="BOG112" s="19"/>
      <c r="BOH112" s="19"/>
      <c r="BOI112" s="19"/>
      <c r="BOJ112" s="19"/>
      <c r="BOK112" s="19"/>
      <c r="BOL112" s="19"/>
      <c r="BOM112" s="19"/>
      <c r="BON112" s="19"/>
      <c r="BOO112" s="19"/>
      <c r="BOP112" s="19"/>
      <c r="BOQ112" s="19"/>
      <c r="BOR112" s="19"/>
      <c r="BOS112" s="19"/>
      <c r="BOT112" s="19"/>
      <c r="BOU112" s="19"/>
      <c r="BOV112" s="19"/>
      <c r="BOW112" s="19"/>
      <c r="BOX112" s="19"/>
      <c r="BOY112" s="19"/>
      <c r="BOZ112" s="19"/>
      <c r="BPA112" s="19"/>
      <c r="BPB112" s="19"/>
      <c r="BPC112" s="19"/>
      <c r="BPD112" s="19"/>
      <c r="BPE112" s="19"/>
      <c r="BPF112" s="19"/>
      <c r="BPG112" s="19"/>
      <c r="BPH112" s="19"/>
      <c r="BPI112" s="19"/>
      <c r="BPJ112" s="19"/>
      <c r="BPK112" s="19"/>
      <c r="BPL112" s="19"/>
      <c r="BPM112" s="19"/>
      <c r="BPN112" s="19"/>
      <c r="BPO112" s="19"/>
      <c r="BPP112" s="19"/>
      <c r="BPQ112" s="19"/>
      <c r="BPR112" s="19"/>
      <c r="BPS112" s="19"/>
      <c r="BPT112" s="19"/>
      <c r="BPU112" s="19"/>
      <c r="BPV112" s="19"/>
      <c r="BPW112" s="19"/>
      <c r="BPX112" s="19"/>
      <c r="BPY112" s="19"/>
      <c r="BPZ112" s="19"/>
      <c r="BQA112" s="19"/>
      <c r="BQB112" s="19"/>
      <c r="BQC112" s="19"/>
      <c r="BQD112" s="19"/>
      <c r="BQE112" s="19"/>
      <c r="BQF112" s="19"/>
      <c r="BQG112" s="19"/>
      <c r="BQH112" s="19"/>
      <c r="BQI112" s="19"/>
      <c r="BQJ112" s="19"/>
      <c r="BQK112" s="19"/>
      <c r="BQL112" s="19"/>
      <c r="BQM112" s="19"/>
      <c r="BQN112" s="19"/>
      <c r="BQO112" s="19"/>
      <c r="BQP112" s="19"/>
      <c r="BQQ112" s="19"/>
      <c r="BQR112" s="19"/>
      <c r="BQS112" s="19"/>
      <c r="BQT112" s="19"/>
      <c r="BQU112" s="19"/>
      <c r="BQV112" s="19"/>
      <c r="BQW112" s="19"/>
      <c r="BQX112" s="19"/>
      <c r="BQY112" s="19"/>
      <c r="BQZ112" s="19"/>
      <c r="BRA112" s="19"/>
      <c r="BRB112" s="19"/>
      <c r="BRC112" s="19"/>
      <c r="BRD112" s="19"/>
      <c r="BRE112" s="19"/>
      <c r="BRF112" s="19"/>
      <c r="BRG112" s="19"/>
      <c r="BRH112" s="19"/>
      <c r="BRI112" s="19"/>
      <c r="BRJ112" s="19"/>
      <c r="BRK112" s="19"/>
      <c r="BRL112" s="19"/>
      <c r="BRM112" s="19"/>
      <c r="BRN112" s="19"/>
      <c r="BRO112" s="19"/>
      <c r="BRP112" s="19"/>
      <c r="BRQ112" s="19"/>
      <c r="BRR112" s="19"/>
      <c r="BRS112" s="19"/>
      <c r="BRT112" s="19"/>
      <c r="BRU112" s="19"/>
      <c r="BRV112" s="19"/>
      <c r="BRW112" s="19"/>
      <c r="BRX112" s="19"/>
      <c r="BRY112" s="19"/>
      <c r="BRZ112" s="19"/>
      <c r="BSA112" s="19"/>
      <c r="BSB112" s="19"/>
      <c r="BSC112" s="19"/>
      <c r="BSD112" s="19"/>
      <c r="BSE112" s="19"/>
      <c r="BSF112" s="19"/>
      <c r="BSG112" s="19"/>
      <c r="BSH112" s="19"/>
      <c r="BSI112" s="19"/>
      <c r="BSJ112" s="19"/>
      <c r="BSK112" s="19"/>
      <c r="BSL112" s="19"/>
      <c r="BSM112" s="19"/>
      <c r="BSN112" s="19"/>
      <c r="BSO112" s="19"/>
      <c r="BSP112" s="19"/>
      <c r="BSQ112" s="19"/>
      <c r="BSR112" s="19"/>
      <c r="BSS112" s="19"/>
      <c r="BST112" s="19"/>
      <c r="BSU112" s="19"/>
      <c r="BSV112" s="19"/>
      <c r="BSW112" s="19"/>
      <c r="BSX112" s="19"/>
      <c r="BSY112" s="19"/>
      <c r="BSZ112" s="19"/>
      <c r="BTA112" s="19"/>
      <c r="BTB112" s="19"/>
      <c r="BTC112" s="19"/>
      <c r="BTD112" s="19"/>
      <c r="BTE112" s="19"/>
      <c r="BTF112" s="19"/>
      <c r="BTG112" s="19"/>
      <c r="BTH112" s="19"/>
      <c r="BTI112" s="19"/>
      <c r="BTJ112" s="19"/>
      <c r="BTK112" s="19"/>
      <c r="BTL112" s="19"/>
      <c r="BTM112" s="19"/>
      <c r="BTN112" s="19"/>
      <c r="BTO112" s="19"/>
      <c r="BTP112" s="19"/>
      <c r="BTQ112" s="19"/>
      <c r="BTR112" s="19"/>
      <c r="BTS112" s="19"/>
      <c r="BTT112" s="19"/>
      <c r="BTU112" s="19"/>
      <c r="BTV112" s="19"/>
      <c r="BTW112" s="19"/>
      <c r="BTX112" s="19"/>
      <c r="BTY112" s="19"/>
      <c r="BTZ112" s="19"/>
      <c r="BUA112" s="19"/>
      <c r="BUB112" s="19"/>
      <c r="BUC112" s="19"/>
      <c r="BUD112" s="19"/>
      <c r="BUE112" s="19"/>
      <c r="BUF112" s="19"/>
      <c r="BUG112" s="19"/>
      <c r="BUH112" s="19"/>
      <c r="BUI112" s="19"/>
      <c r="BUJ112" s="19"/>
      <c r="BUK112" s="19"/>
      <c r="BUL112" s="19"/>
      <c r="BUM112" s="19"/>
      <c r="BUN112" s="19"/>
      <c r="BUO112" s="19"/>
      <c r="BUP112" s="19"/>
      <c r="BUQ112" s="19"/>
      <c r="BUR112" s="19"/>
      <c r="BUS112" s="19"/>
      <c r="BUT112" s="19"/>
      <c r="BUU112" s="19"/>
      <c r="BUV112" s="19"/>
      <c r="BUW112" s="19"/>
      <c r="BUX112" s="19"/>
      <c r="BUY112" s="19"/>
      <c r="BUZ112" s="19"/>
      <c r="BVA112" s="19"/>
      <c r="BVB112" s="19"/>
      <c r="BVC112" s="19"/>
      <c r="BVD112" s="19"/>
      <c r="BVE112" s="19"/>
      <c r="BVF112" s="19"/>
      <c r="BVG112" s="19"/>
      <c r="BVH112" s="19"/>
      <c r="BVI112" s="19"/>
      <c r="BVJ112" s="19"/>
      <c r="BVK112" s="19"/>
      <c r="BVL112" s="19"/>
      <c r="BVM112" s="19"/>
      <c r="BVN112" s="19"/>
      <c r="BVO112" s="19"/>
      <c r="BVP112" s="19"/>
      <c r="BVQ112" s="19"/>
      <c r="BVR112" s="19"/>
      <c r="BVS112" s="19"/>
      <c r="BVT112" s="19"/>
      <c r="BVU112" s="19"/>
      <c r="BVV112" s="19"/>
      <c r="BVW112" s="19"/>
      <c r="BVX112" s="19"/>
      <c r="BVY112" s="19"/>
      <c r="BVZ112" s="19"/>
      <c r="BWA112" s="19"/>
      <c r="BWB112" s="19"/>
      <c r="BWC112" s="19"/>
      <c r="BWD112" s="19"/>
      <c r="BWE112" s="19"/>
      <c r="BWF112" s="19"/>
      <c r="BWG112" s="19"/>
      <c r="BWH112" s="19"/>
      <c r="BWI112" s="19"/>
      <c r="BWJ112" s="19"/>
      <c r="BWK112" s="19"/>
      <c r="BWL112" s="19"/>
      <c r="BWM112" s="19"/>
      <c r="BWN112" s="19"/>
      <c r="BWO112" s="19"/>
      <c r="BWP112" s="19"/>
      <c r="BWQ112" s="19"/>
      <c r="BWR112" s="19"/>
      <c r="BWS112" s="19"/>
      <c r="BWT112" s="19"/>
      <c r="BWU112" s="19"/>
      <c r="BWV112" s="19"/>
      <c r="BWW112" s="19"/>
      <c r="BWX112" s="19"/>
      <c r="BWY112" s="19"/>
      <c r="BWZ112" s="19"/>
      <c r="BXA112" s="19"/>
      <c r="BXB112" s="19"/>
      <c r="BXC112" s="19"/>
      <c r="BXD112" s="19"/>
      <c r="BXE112" s="19"/>
      <c r="BXF112" s="19"/>
      <c r="BXG112" s="19"/>
      <c r="BXH112" s="19"/>
      <c r="BXI112" s="19"/>
      <c r="BXJ112" s="19"/>
      <c r="BXK112" s="19"/>
      <c r="BXL112" s="19"/>
      <c r="BXM112" s="19"/>
      <c r="BXN112" s="19"/>
      <c r="BXO112" s="19"/>
      <c r="BXP112" s="19"/>
      <c r="BXQ112" s="19"/>
      <c r="BXR112" s="19"/>
      <c r="BXS112" s="19"/>
      <c r="BXT112" s="19"/>
      <c r="BXU112" s="19"/>
      <c r="BXV112" s="19"/>
      <c r="BXW112" s="19"/>
      <c r="BXX112" s="19"/>
      <c r="BXY112" s="19"/>
      <c r="BXZ112" s="19"/>
      <c r="BYA112" s="19"/>
      <c r="BYB112" s="19"/>
      <c r="BYC112" s="19"/>
      <c r="BYD112" s="19"/>
      <c r="BYE112" s="19"/>
      <c r="BYF112" s="19"/>
      <c r="BYG112" s="19"/>
      <c r="BYH112" s="19"/>
      <c r="BYI112" s="19"/>
      <c r="BYJ112" s="19"/>
      <c r="BYK112" s="19"/>
      <c r="BYL112" s="19"/>
      <c r="BYM112" s="19"/>
      <c r="BYN112" s="19"/>
      <c r="BYO112" s="19"/>
      <c r="BYP112" s="19"/>
      <c r="BYQ112" s="19"/>
      <c r="BYR112" s="19"/>
      <c r="BYS112" s="19"/>
      <c r="BYT112" s="19"/>
      <c r="BYU112" s="19"/>
      <c r="BYV112" s="19"/>
      <c r="BYW112" s="19"/>
      <c r="BYX112" s="19"/>
      <c r="BYY112" s="19"/>
      <c r="BYZ112" s="19"/>
      <c r="BZA112" s="19"/>
      <c r="BZB112" s="19"/>
      <c r="BZC112" s="19"/>
      <c r="BZD112" s="19"/>
      <c r="BZE112" s="19"/>
      <c r="BZF112" s="19"/>
      <c r="BZG112" s="19"/>
      <c r="BZH112" s="19"/>
      <c r="BZI112" s="19"/>
      <c r="BZJ112" s="19"/>
      <c r="BZK112" s="19"/>
      <c r="BZL112" s="19"/>
      <c r="BZM112" s="19"/>
      <c r="BZN112" s="19"/>
      <c r="BZO112" s="19"/>
      <c r="BZP112" s="19"/>
      <c r="BZQ112" s="19"/>
      <c r="BZR112" s="19"/>
      <c r="BZS112" s="19"/>
      <c r="BZT112" s="19"/>
      <c r="BZU112" s="19"/>
      <c r="BZV112" s="19"/>
      <c r="BZW112" s="19"/>
      <c r="BZX112" s="19"/>
      <c r="BZY112" s="19"/>
      <c r="BZZ112" s="19"/>
      <c r="CAA112" s="19"/>
      <c r="CAB112" s="19"/>
      <c r="CAC112" s="19"/>
      <c r="CAD112" s="19"/>
      <c r="CAE112" s="19"/>
      <c r="CAF112" s="19"/>
      <c r="CAG112" s="19"/>
      <c r="CAH112" s="19"/>
      <c r="CAI112" s="19"/>
      <c r="CAJ112" s="19"/>
      <c r="CAK112" s="19"/>
      <c r="CAL112" s="19"/>
      <c r="CAM112" s="19"/>
      <c r="CAN112" s="19"/>
      <c r="CAO112" s="19"/>
      <c r="CAP112" s="19"/>
      <c r="CAQ112" s="19"/>
      <c r="CAR112" s="19"/>
      <c r="CAS112" s="19"/>
      <c r="CAT112" s="19"/>
      <c r="CAU112" s="19"/>
      <c r="CAV112" s="19"/>
      <c r="CAW112" s="19"/>
      <c r="CAX112" s="19"/>
      <c r="CAY112" s="19"/>
      <c r="CAZ112" s="19"/>
      <c r="CBF112" s="19"/>
      <c r="CBG112" s="19"/>
      <c r="CBH112" s="19"/>
      <c r="CBI112" s="19"/>
      <c r="CBJ112" s="19"/>
      <c r="CBK112" s="19"/>
      <c r="CBL112" s="19"/>
      <c r="CBM112" s="19"/>
      <c r="CBN112" s="19"/>
      <c r="CBO112" s="19"/>
      <c r="CBP112" s="19"/>
      <c r="CBQ112" s="19"/>
      <c r="CBR112" s="19"/>
      <c r="CBS112" s="19"/>
      <c r="CBT112" s="19"/>
      <c r="CBU112" s="19"/>
      <c r="CBV112" s="19"/>
      <c r="CBW112" s="19"/>
      <c r="CBX112" s="19"/>
      <c r="CBY112" s="19"/>
      <c r="CBZ112" s="19"/>
      <c r="CCA112" s="19"/>
      <c r="CCB112" s="19"/>
      <c r="CCC112" s="19"/>
      <c r="CCD112" s="19"/>
      <c r="CCE112" s="19"/>
      <c r="CCF112" s="19"/>
      <c r="CCG112" s="19"/>
      <c r="CCH112" s="19"/>
      <c r="CCI112" s="19"/>
      <c r="CCJ112" s="19"/>
      <c r="CCK112" s="19"/>
      <c r="CCL112" s="19"/>
      <c r="CCM112" s="19"/>
      <c r="CCN112" s="19"/>
      <c r="CCO112" s="19"/>
      <c r="CCP112" s="19"/>
      <c r="CCQ112" s="19"/>
      <c r="CCR112" s="19"/>
      <c r="CCS112" s="19"/>
      <c r="CCT112" s="19"/>
      <c r="CCU112" s="19"/>
      <c r="CCV112" s="19"/>
      <c r="CCW112" s="19"/>
      <c r="CCX112" s="19"/>
      <c r="CCY112" s="19"/>
      <c r="CCZ112" s="19"/>
      <c r="CDA112" s="19"/>
      <c r="CDB112" s="19"/>
      <c r="CDC112" s="19"/>
      <c r="CDD112" s="19"/>
      <c r="CDE112" s="19"/>
      <c r="CDF112" s="19"/>
      <c r="CDG112" s="19"/>
      <c r="CDH112" s="19"/>
      <c r="CDI112" s="19"/>
      <c r="CDJ112" s="19"/>
      <c r="CDK112" s="19"/>
      <c r="CDL112" s="19"/>
      <c r="CDM112" s="19"/>
      <c r="CDN112" s="19"/>
      <c r="CDO112" s="19"/>
      <c r="CDP112" s="19"/>
      <c r="CDQ112" s="19"/>
      <c r="CDR112" s="19"/>
      <c r="CDS112" s="19"/>
      <c r="CDT112" s="19"/>
      <c r="CDU112" s="19"/>
      <c r="CDV112" s="19"/>
      <c r="CDW112" s="19"/>
      <c r="CDX112" s="19"/>
      <c r="CDY112" s="19"/>
      <c r="CDZ112" s="19"/>
      <c r="CEA112" s="19"/>
      <c r="CEB112" s="19"/>
      <c r="CEC112" s="19"/>
      <c r="CED112" s="19"/>
      <c r="CEE112" s="19"/>
    </row>
    <row r="113" spans="1:2220" ht="16.05" customHeight="1" thickBot="1">
      <c r="A113" s="19" t="s">
        <v>667</v>
      </c>
      <c r="B113" s="19" t="s">
        <v>747</v>
      </c>
      <c r="C113" s="643"/>
      <c r="D113" s="428" t="str">
        <f t="shared" ca="1" si="279"/>
        <v>Egipto</v>
      </c>
      <c r="E113" s="643" t="s">
        <v>1</v>
      </c>
      <c r="F113" s="643" t="s">
        <v>740</v>
      </c>
      <c r="G113" s="424" t="s">
        <v>740</v>
      </c>
      <c r="H113" s="624">
        <f ca="1">+IF($AJ$99&lt;&gt;144,SUM(H101:H112),$AJ$99)</f>
        <v>144</v>
      </c>
      <c r="I113" s="10"/>
      <c r="J113" s="19">
        <v>85</v>
      </c>
      <c r="K113" s="439">
        <v>46205.75</v>
      </c>
      <c r="L113" s="19" t="s">
        <v>716</v>
      </c>
      <c r="M113" s="19" t="str">
        <f t="shared" ca="1" si="281"/>
        <v>Suiza</v>
      </c>
      <c r="N113" s="19"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9"/>
      <c r="P113" s="19"/>
      <c r="Q113" s="19"/>
      <c r="R113" s="19"/>
      <c r="S113" s="19"/>
      <c r="T113" s="19"/>
      <c r="U113" s="19"/>
      <c r="V113" s="20"/>
      <c r="W113" s="671"/>
      <c r="X113" s="27">
        <f ca="1">Horarios!C113</f>
        <v>46206.208333333336</v>
      </c>
      <c r="Y113" s="28">
        <f ca="1">Horarios!C113</f>
        <v>46206.208333333336</v>
      </c>
      <c r="Z113" s="289">
        <f t="shared" si="286"/>
        <v>85</v>
      </c>
      <c r="AA113" s="96" t="str">
        <f t="shared" ca="1" si="282"/>
        <v>Suiza</v>
      </c>
      <c r="AB113" s="97"/>
      <c r="AC113" s="100">
        <v>0</v>
      </c>
      <c r="AD113" s="100">
        <v>1</v>
      </c>
      <c r="AE113" s="98"/>
      <c r="AF113" s="99" t="str">
        <f t="shared" ca="1" si="283"/>
        <v>Egipto</v>
      </c>
      <c r="AG113" s="339">
        <f t="shared" ca="1" si="284"/>
        <v>1</v>
      </c>
      <c r="AH113" s="204">
        <v>85</v>
      </c>
      <c r="AI113" s="191">
        <v>12</v>
      </c>
      <c r="AJ113" s="49">
        <v>12</v>
      </c>
      <c r="AK113" s="51" t="str">
        <f ca="1">IFERROR(INDEX(Equipos!$L$2:$L$49,MATCH(WORLDCUP!AL113,Equipos!$K$2:$K$49,0)),"")</f>
        <v>🇨🇼</v>
      </c>
      <c r="AL113" s="51" t="str">
        <f t="shared" ca="1" si="287"/>
        <v>Curazao</v>
      </c>
      <c r="AM113" s="52">
        <f t="shared" ca="1" si="288"/>
        <v>1</v>
      </c>
      <c r="AN113" s="53">
        <f t="shared" ca="1" si="288"/>
        <v>3</v>
      </c>
      <c r="AO113" s="53">
        <f t="shared" ca="1" si="288"/>
        <v>0</v>
      </c>
      <c r="AP113" s="53">
        <f t="shared" ca="1" si="288"/>
        <v>1</v>
      </c>
      <c r="AQ113" s="53">
        <f t="shared" ca="1" si="288"/>
        <v>2</v>
      </c>
      <c r="AR113" s="53">
        <f t="shared" ca="1" si="288"/>
        <v>0</v>
      </c>
      <c r="AS113" s="53">
        <f t="shared" ca="1" si="288"/>
        <v>5</v>
      </c>
      <c r="AT113" s="54">
        <f t="shared" ca="1" si="288"/>
        <v>-5</v>
      </c>
      <c r="AU113" s="342">
        <f t="shared" ca="1" si="289"/>
        <v>1</v>
      </c>
      <c r="AV113" s="191" t="str">
        <f t="shared" ca="1" si="290"/>
        <v>Curazao</v>
      </c>
      <c r="AW113" s="224"/>
      <c r="AX113" s="178"/>
      <c r="AY113" s="162"/>
      <c r="AZ113" s="163"/>
      <c r="BA113" s="155"/>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19"/>
      <c r="MI113" s="19"/>
      <c r="MJ113" s="19"/>
      <c r="MK113" s="19"/>
      <c r="ML113" s="19"/>
      <c r="MM113" s="19"/>
      <c r="MN113" s="19"/>
      <c r="MO113" s="19"/>
      <c r="MP113" s="19"/>
      <c r="MQ113" s="19"/>
      <c r="MR113" s="19"/>
      <c r="MS113" s="19"/>
      <c r="MT113" s="19"/>
      <c r="MU113" s="19"/>
      <c r="MV113" s="19"/>
      <c r="MW113" s="19"/>
      <c r="MX113" s="19"/>
      <c r="MY113" s="19"/>
      <c r="MZ113" s="19"/>
      <c r="NA113" s="19"/>
      <c r="NB113" s="19"/>
      <c r="NC113" s="19"/>
      <c r="ND113" s="19"/>
      <c r="NE113" s="19"/>
      <c r="NF113" s="19"/>
      <c r="NG113" s="19"/>
      <c r="NH113" s="19"/>
      <c r="NI113" s="19"/>
      <c r="NJ113" s="19"/>
      <c r="NK113" s="19"/>
      <c r="NL113" s="19"/>
      <c r="NM113" s="19"/>
      <c r="NN113" s="19"/>
      <c r="NO113" s="19"/>
      <c r="NP113" s="19"/>
      <c r="NQ113" s="19"/>
      <c r="NR113" s="19"/>
      <c r="NS113" s="19"/>
      <c r="NT113" s="19"/>
      <c r="NU113" s="19"/>
      <c r="NV113" s="19"/>
      <c r="NW113" s="19"/>
      <c r="NX113" s="19"/>
      <c r="NY113" s="19"/>
      <c r="NZ113" s="19"/>
      <c r="OA113" s="19"/>
      <c r="OB113" s="19"/>
      <c r="OC113" s="19"/>
      <c r="OD113" s="19"/>
      <c r="OE113" s="19"/>
      <c r="OF113" s="19"/>
      <c r="OG113" s="19"/>
      <c r="OH113" s="19"/>
      <c r="OI113" s="19"/>
      <c r="OJ113" s="19"/>
      <c r="OK113" s="19"/>
      <c r="OL113" s="19"/>
      <c r="OM113" s="19"/>
      <c r="ON113" s="19"/>
      <c r="OO113" s="19"/>
      <c r="OP113" s="19"/>
      <c r="OQ113" s="19"/>
      <c r="OR113" s="19"/>
      <c r="OS113" s="19"/>
      <c r="OT113" s="19"/>
      <c r="OU113" s="19"/>
      <c r="OV113" s="19"/>
      <c r="OW113" s="19"/>
      <c r="OX113" s="19"/>
      <c r="OY113" s="19"/>
      <c r="OZ113" s="19"/>
      <c r="PA113" s="19"/>
      <c r="PB113" s="19"/>
      <c r="PC113" s="19"/>
      <c r="PD113" s="19"/>
      <c r="PE113" s="19"/>
      <c r="PF113" s="19"/>
      <c r="PG113" s="19"/>
      <c r="PH113" s="19"/>
      <c r="PI113" s="19"/>
      <c r="PJ113" s="19"/>
      <c r="PK113" s="19"/>
      <c r="PL113" s="19"/>
      <c r="PM113" s="19"/>
      <c r="PN113" s="19"/>
      <c r="PO113" s="19"/>
      <c r="PP113" s="19"/>
      <c r="PQ113" s="19"/>
      <c r="PR113" s="19"/>
      <c r="PS113" s="19"/>
      <c r="PT113" s="19"/>
      <c r="PU113" s="19"/>
      <c r="PV113" s="19"/>
      <c r="PW113" s="19"/>
      <c r="PX113" s="19"/>
      <c r="PY113" s="19"/>
      <c r="PZ113" s="19"/>
      <c r="QA113" s="19"/>
      <c r="QB113" s="19"/>
      <c r="QC113" s="19"/>
      <c r="QD113" s="19"/>
      <c r="QE113" s="19"/>
      <c r="QF113" s="19"/>
      <c r="QG113" s="19"/>
      <c r="QH113" s="19"/>
      <c r="QI113" s="19"/>
      <c r="QJ113" s="19"/>
      <c r="QK113" s="19"/>
      <c r="QL113" s="19"/>
      <c r="QM113" s="19"/>
      <c r="QN113" s="19"/>
      <c r="QO113" s="19"/>
      <c r="QP113" s="19"/>
      <c r="QQ113" s="19"/>
      <c r="QR113" s="19"/>
      <c r="QS113" s="19"/>
      <c r="QT113" s="19"/>
      <c r="QU113" s="19"/>
      <c r="QV113" s="19"/>
      <c r="QW113" s="19"/>
      <c r="QX113" s="19"/>
      <c r="QY113" s="19"/>
      <c r="QZ113" s="19"/>
      <c r="RA113" s="19"/>
      <c r="RB113" s="19"/>
      <c r="RC113" s="19"/>
      <c r="RD113" s="19"/>
      <c r="RE113" s="19"/>
      <c r="RF113" s="19"/>
      <c r="RG113" s="19"/>
      <c r="RH113" s="19"/>
      <c r="RI113" s="19"/>
      <c r="RJ113" s="19"/>
      <c r="RK113" s="19"/>
      <c r="RL113" s="19"/>
      <c r="RM113" s="19"/>
      <c r="RN113" s="19"/>
      <c r="RO113" s="19"/>
      <c r="RP113" s="19"/>
      <c r="RQ113" s="19"/>
      <c r="RR113" s="19"/>
      <c r="RS113" s="19"/>
      <c r="RT113" s="19"/>
      <c r="RU113" s="19"/>
      <c r="RV113" s="19"/>
      <c r="RW113" s="19"/>
      <c r="RX113" s="19"/>
      <c r="RY113" s="19"/>
      <c r="RZ113" s="19"/>
      <c r="SA113" s="19"/>
      <c r="SB113" s="19"/>
      <c r="SC113" s="19"/>
      <c r="SD113" s="19"/>
      <c r="SE113" s="19"/>
      <c r="SF113" s="19"/>
      <c r="SG113" s="19"/>
      <c r="SH113" s="19"/>
      <c r="SI113" s="19"/>
      <c r="SJ113" s="19"/>
      <c r="SK113" s="19"/>
      <c r="SL113" s="19"/>
      <c r="SM113" s="19"/>
      <c r="SN113" s="19"/>
      <c r="SO113" s="19"/>
      <c r="SP113" s="19"/>
      <c r="SQ113" s="19"/>
      <c r="SR113" s="19"/>
      <c r="SS113" s="19"/>
      <c r="ST113" s="19"/>
      <c r="SU113" s="19"/>
      <c r="SV113" s="19"/>
      <c r="SW113" s="19"/>
      <c r="SX113" s="19"/>
      <c r="SY113" s="19"/>
      <c r="SZ113" s="19"/>
      <c r="TA113" s="19"/>
      <c r="TB113" s="19"/>
      <c r="TC113" s="19"/>
      <c r="TD113" s="19"/>
      <c r="TE113" s="19"/>
      <c r="TF113" s="19"/>
      <c r="TG113" s="19"/>
      <c r="TH113" s="19"/>
      <c r="TI113" s="19"/>
      <c r="TJ113" s="19"/>
      <c r="TK113" s="19"/>
      <c r="TL113" s="19"/>
      <c r="TM113" s="19"/>
      <c r="TN113" s="19"/>
      <c r="TO113" s="19"/>
      <c r="TP113" s="19"/>
      <c r="TQ113" s="19"/>
      <c r="TR113" s="19"/>
      <c r="TS113" s="19"/>
      <c r="TT113" s="19"/>
      <c r="TU113" s="19"/>
      <c r="TV113" s="19"/>
      <c r="TW113" s="19"/>
      <c r="TX113" s="19"/>
      <c r="TY113" s="19"/>
      <c r="TZ113" s="19"/>
      <c r="UA113" s="19"/>
      <c r="UB113" s="19"/>
      <c r="UC113" s="19"/>
      <c r="UD113" s="19"/>
      <c r="UE113" s="19"/>
      <c r="UF113" s="19"/>
      <c r="UG113" s="19"/>
      <c r="UH113" s="19"/>
      <c r="UI113" s="19"/>
      <c r="UJ113" s="19"/>
      <c r="UK113" s="19"/>
      <c r="UL113" s="19"/>
      <c r="UM113" s="19"/>
      <c r="UN113" s="19"/>
      <c r="UO113" s="19"/>
      <c r="UP113" s="19"/>
      <c r="UQ113" s="19"/>
      <c r="UR113" s="19"/>
      <c r="US113" s="19"/>
      <c r="UT113" s="19"/>
      <c r="UU113" s="19"/>
      <c r="UV113" s="19"/>
      <c r="UW113" s="19"/>
      <c r="UX113" s="19"/>
      <c r="UY113" s="19"/>
      <c r="UZ113" s="19"/>
      <c r="VA113" s="19"/>
      <c r="VB113" s="19"/>
      <c r="VC113" s="19"/>
      <c r="VD113" s="19"/>
      <c r="VE113" s="19"/>
      <c r="VF113" s="19"/>
      <c r="VG113" s="19"/>
      <c r="VH113" s="19"/>
      <c r="VI113" s="19"/>
      <c r="VJ113" s="19"/>
      <c r="VK113" s="19"/>
      <c r="VL113" s="19"/>
      <c r="VM113" s="19"/>
      <c r="VN113" s="19"/>
      <c r="VO113" s="19"/>
      <c r="VP113" s="19"/>
      <c r="VQ113" s="19"/>
      <c r="VR113" s="19"/>
      <c r="VS113" s="19"/>
      <c r="VT113" s="19"/>
      <c r="VU113" s="19"/>
      <c r="VV113" s="19"/>
      <c r="VW113" s="19"/>
      <c r="VX113" s="19"/>
      <c r="VY113" s="19"/>
      <c r="VZ113" s="19"/>
      <c r="WA113" s="19"/>
      <c r="WB113" s="19"/>
      <c r="WC113" s="19"/>
      <c r="WD113" s="19"/>
      <c r="WE113" s="19"/>
      <c r="WF113" s="19"/>
      <c r="WG113" s="19"/>
      <c r="WH113" s="19"/>
      <c r="WI113" s="19"/>
      <c r="WJ113" s="19"/>
      <c r="WK113" s="19"/>
      <c r="WL113" s="19"/>
      <c r="WM113" s="19"/>
      <c r="WN113" s="19"/>
      <c r="WO113" s="19"/>
      <c r="WP113" s="19"/>
      <c r="WQ113" s="19"/>
      <c r="WR113" s="19"/>
      <c r="WS113" s="19"/>
      <c r="WT113" s="19"/>
      <c r="WU113" s="19"/>
      <c r="WV113" s="19"/>
      <c r="WW113" s="19"/>
      <c r="WX113" s="19"/>
      <c r="WY113" s="19"/>
      <c r="WZ113" s="19"/>
      <c r="XA113" s="19"/>
      <c r="XB113" s="19"/>
      <c r="XC113" s="19"/>
      <c r="XD113" s="19"/>
      <c r="XE113" s="19"/>
      <c r="XF113" s="19"/>
      <c r="XG113" s="19"/>
      <c r="XH113" s="19"/>
      <c r="XI113" s="19"/>
      <c r="XJ113" s="19"/>
      <c r="XK113" s="19"/>
      <c r="XL113" s="19"/>
      <c r="XM113" s="19"/>
      <c r="XN113" s="19"/>
      <c r="XO113" s="19"/>
      <c r="XP113" s="19"/>
      <c r="XQ113" s="19"/>
      <c r="XR113" s="19"/>
      <c r="XS113" s="19"/>
      <c r="XT113" s="19"/>
      <c r="XU113" s="19"/>
      <c r="XV113" s="19"/>
      <c r="XW113" s="19"/>
      <c r="XX113" s="19"/>
      <c r="XY113" s="19"/>
      <c r="XZ113" s="19"/>
      <c r="YA113" s="19"/>
      <c r="YB113" s="19"/>
      <c r="YC113" s="19"/>
      <c r="YD113" s="19"/>
      <c r="YE113" s="19"/>
      <c r="YF113" s="19"/>
      <c r="YG113" s="19"/>
      <c r="YH113" s="19"/>
      <c r="YI113" s="19"/>
      <c r="YJ113" s="19"/>
      <c r="YK113" s="19"/>
      <c r="YL113" s="19"/>
      <c r="YM113" s="19"/>
      <c r="YN113" s="19"/>
      <c r="YO113" s="19"/>
      <c r="YP113" s="19"/>
      <c r="YQ113" s="19"/>
      <c r="YR113" s="19"/>
      <c r="YS113" s="19"/>
      <c r="YT113" s="19"/>
      <c r="YU113" s="19"/>
      <c r="YV113" s="19"/>
      <c r="YW113" s="19"/>
      <c r="YX113" s="19"/>
      <c r="YY113" s="19"/>
      <c r="YZ113" s="19"/>
      <c r="ZA113" s="19"/>
      <c r="ZB113" s="19"/>
      <c r="ZC113" s="19"/>
      <c r="ZD113" s="19"/>
      <c r="ZE113" s="19"/>
      <c r="ZF113" s="19"/>
      <c r="ZG113" s="19"/>
      <c r="ZH113" s="19"/>
      <c r="ZI113" s="19"/>
      <c r="ZJ113" s="19"/>
      <c r="ZK113" s="19"/>
      <c r="ZL113" s="19"/>
      <c r="ZM113" s="19"/>
      <c r="ZN113" s="19"/>
      <c r="ZO113" s="19"/>
      <c r="ZP113" s="19"/>
      <c r="ZQ113" s="19"/>
      <c r="ZR113" s="19"/>
      <c r="ZS113" s="19"/>
      <c r="ZT113" s="19"/>
      <c r="ZU113" s="19"/>
      <c r="ZV113" s="19"/>
      <c r="ZW113" s="19"/>
      <c r="ZX113" s="19"/>
      <c r="ZY113" s="19"/>
      <c r="ZZ113" s="19"/>
      <c r="AAA113" s="19"/>
      <c r="AAB113" s="19"/>
      <c r="AAC113" s="19"/>
      <c r="AAD113" s="19"/>
      <c r="AAE113" s="19"/>
      <c r="AAF113" s="19"/>
      <c r="AAG113" s="19"/>
      <c r="AAH113" s="19"/>
      <c r="AAI113" s="19"/>
      <c r="AAJ113" s="19"/>
      <c r="AAK113" s="19"/>
      <c r="AAL113" s="19"/>
      <c r="AAM113" s="19"/>
      <c r="AAN113" s="19"/>
      <c r="AAO113" s="19"/>
      <c r="AAP113" s="19"/>
      <c r="AAQ113" s="19"/>
      <c r="AAR113" s="19"/>
      <c r="AAS113" s="19"/>
      <c r="AAT113" s="19"/>
      <c r="AAU113" s="19"/>
      <c r="AAV113" s="19"/>
      <c r="AAW113" s="19"/>
      <c r="AAX113" s="19"/>
      <c r="AAY113" s="19"/>
      <c r="AAZ113" s="19"/>
      <c r="ABA113" s="19"/>
      <c r="ABB113" s="19"/>
      <c r="ABC113" s="19"/>
      <c r="ABD113" s="19"/>
      <c r="ABE113" s="19"/>
      <c r="ABF113" s="19"/>
      <c r="ABG113" s="19"/>
      <c r="ABH113" s="19"/>
      <c r="ABI113" s="19"/>
      <c r="ABJ113" s="19"/>
      <c r="ABK113" s="19"/>
      <c r="ABL113" s="19"/>
      <c r="ABM113" s="19"/>
      <c r="ABN113" s="19"/>
      <c r="ABO113" s="19"/>
      <c r="ABP113" s="19"/>
      <c r="ABQ113" s="19"/>
      <c r="ABR113" s="19"/>
      <c r="ABS113" s="19"/>
      <c r="ABT113" s="19"/>
      <c r="ABU113" s="19"/>
      <c r="ABV113" s="19"/>
      <c r="ABW113" s="19"/>
      <c r="ABX113" s="19"/>
      <c r="ABY113" s="19"/>
      <c r="ABZ113" s="19"/>
      <c r="ACA113" s="19"/>
      <c r="ACB113" s="19"/>
      <c r="ACC113" s="19"/>
      <c r="ACD113" s="19"/>
      <c r="ACE113" s="19"/>
      <c r="ACF113" s="19"/>
      <c r="ACG113" s="19"/>
      <c r="ACH113" s="19"/>
      <c r="ACI113" s="19"/>
      <c r="ACJ113" s="19"/>
      <c r="ACK113" s="19"/>
      <c r="ACL113" s="19"/>
      <c r="ACM113" s="19"/>
      <c r="ACN113" s="19"/>
      <c r="ACO113" s="19"/>
      <c r="ACP113" s="19"/>
      <c r="ACQ113" s="19"/>
      <c r="ACR113" s="19"/>
      <c r="ACS113" s="19"/>
      <c r="ACT113" s="19"/>
      <c r="ACU113" s="19"/>
      <c r="ACV113" s="19"/>
      <c r="ACW113" s="19"/>
      <c r="ACX113" s="19"/>
      <c r="ACY113" s="19"/>
      <c r="ACZ113" s="19"/>
      <c r="ADA113" s="19"/>
      <c r="ADB113" s="19"/>
      <c r="ADC113" s="19"/>
      <c r="ADD113" s="19"/>
      <c r="ADE113" s="19"/>
      <c r="ADF113" s="19"/>
      <c r="ADG113" s="19"/>
      <c r="ADH113" s="19"/>
      <c r="ADI113" s="19"/>
      <c r="ADJ113" s="19"/>
      <c r="ADK113" s="19"/>
      <c r="ADL113" s="19"/>
      <c r="ADM113" s="19"/>
      <c r="ADN113" s="19"/>
      <c r="ADO113" s="19"/>
      <c r="ADP113" s="19"/>
      <c r="ADQ113" s="19"/>
      <c r="ADR113" s="19"/>
      <c r="ADS113" s="19"/>
      <c r="ADT113" s="19"/>
      <c r="ADU113" s="19"/>
      <c r="ADV113" s="19"/>
      <c r="ADW113" s="19"/>
      <c r="ADX113" s="19"/>
      <c r="ADY113" s="19"/>
      <c r="ADZ113" s="19"/>
      <c r="AEA113" s="19"/>
      <c r="AEB113" s="19"/>
      <c r="AEC113" s="19"/>
      <c r="AED113" s="19"/>
      <c r="AEE113" s="19"/>
      <c r="AEF113" s="19"/>
      <c r="AEG113" s="19"/>
      <c r="AEH113" s="19"/>
      <c r="AEI113" s="19"/>
      <c r="AEJ113" s="19"/>
      <c r="AEK113" s="19"/>
      <c r="AEL113" s="19"/>
      <c r="AEM113" s="19"/>
      <c r="AEN113" s="19"/>
      <c r="AEO113" s="19"/>
      <c r="AEP113" s="19"/>
      <c r="AEQ113" s="19"/>
      <c r="AER113" s="19"/>
      <c r="AES113" s="19"/>
      <c r="AET113" s="19"/>
      <c r="AEU113" s="19"/>
      <c r="AEV113" s="19"/>
      <c r="AEW113" s="19"/>
      <c r="AEX113" s="19"/>
      <c r="AEY113" s="19"/>
      <c r="AEZ113" s="19"/>
      <c r="AFA113" s="19"/>
      <c r="AFB113" s="19"/>
      <c r="AFC113" s="19"/>
      <c r="AFD113" s="19"/>
      <c r="AFE113" s="19"/>
      <c r="AFF113" s="19"/>
      <c r="AFG113" s="19"/>
      <c r="AFH113" s="19"/>
      <c r="AFI113" s="19"/>
      <c r="AFJ113" s="19"/>
      <c r="AFK113" s="19"/>
      <c r="AFL113" s="19"/>
      <c r="AFM113" s="19"/>
      <c r="AFN113" s="19"/>
      <c r="AFO113" s="19"/>
      <c r="AFP113" s="19"/>
      <c r="AFQ113" s="19"/>
      <c r="AFR113" s="19"/>
      <c r="AFS113" s="19"/>
      <c r="AFT113" s="19"/>
      <c r="AFU113" s="19"/>
      <c r="AFV113" s="19"/>
      <c r="AFW113" s="19"/>
      <c r="AFX113" s="19"/>
      <c r="AFY113" s="19"/>
      <c r="AFZ113" s="19"/>
      <c r="AGA113" s="19"/>
      <c r="AGB113" s="19"/>
      <c r="AGC113" s="19"/>
      <c r="AGD113" s="19"/>
      <c r="AGE113" s="19"/>
      <c r="AGF113" s="19"/>
      <c r="AGG113" s="19"/>
      <c r="AGH113" s="19"/>
      <c r="AGI113" s="19"/>
      <c r="AGJ113" s="19"/>
      <c r="AGK113" s="19"/>
      <c r="AGL113" s="19"/>
      <c r="AGM113" s="19"/>
      <c r="AGN113" s="19"/>
      <c r="AGO113" s="19"/>
      <c r="AGP113" s="19"/>
      <c r="AGQ113" s="19"/>
      <c r="AGR113" s="19"/>
      <c r="AGS113" s="19"/>
      <c r="AGT113" s="19"/>
      <c r="AGU113" s="19"/>
      <c r="AGV113" s="19"/>
      <c r="AGW113" s="19"/>
      <c r="AGX113" s="19"/>
      <c r="AGY113" s="19"/>
      <c r="AGZ113" s="19"/>
      <c r="AHA113" s="19"/>
      <c r="AHB113" s="19"/>
      <c r="AHC113" s="19"/>
      <c r="AHD113" s="19"/>
      <c r="AHE113" s="19"/>
      <c r="AHF113" s="19"/>
      <c r="AHG113" s="19"/>
      <c r="AHH113" s="19"/>
      <c r="AHI113" s="19"/>
      <c r="AHJ113" s="19"/>
      <c r="AHK113" s="19"/>
      <c r="AHL113" s="19"/>
      <c r="AHM113" s="19"/>
      <c r="AHN113" s="19"/>
      <c r="AHO113" s="19"/>
      <c r="AHP113" s="19"/>
      <c r="AHQ113" s="19"/>
      <c r="AHR113" s="19"/>
      <c r="AHS113" s="19"/>
      <c r="AHT113" s="19"/>
      <c r="AHU113" s="19"/>
      <c r="AHV113" s="19"/>
      <c r="AHW113" s="19"/>
      <c r="AHX113" s="19"/>
      <c r="AHY113" s="19"/>
      <c r="AHZ113" s="19"/>
      <c r="AIA113" s="19"/>
      <c r="AIB113" s="19"/>
      <c r="AIC113" s="19"/>
      <c r="AID113" s="19"/>
      <c r="AIE113" s="19"/>
      <c r="AIF113" s="19"/>
      <c r="AIG113" s="19"/>
      <c r="AIH113" s="19"/>
      <c r="AII113" s="19"/>
      <c r="AIJ113" s="19"/>
      <c r="AIK113" s="19"/>
      <c r="AIL113" s="19"/>
      <c r="AIM113" s="19"/>
      <c r="AIN113" s="19"/>
      <c r="AIO113" s="19"/>
      <c r="AIP113" s="19"/>
      <c r="AIQ113" s="19"/>
      <c r="AIR113" s="19"/>
      <c r="AIS113" s="19"/>
      <c r="AIT113" s="19"/>
      <c r="AIU113" s="19"/>
      <c r="AIV113" s="19"/>
      <c r="AIW113" s="19"/>
      <c r="AIX113" s="19"/>
      <c r="AIY113" s="19"/>
      <c r="AIZ113" s="19"/>
      <c r="AJA113" s="19"/>
      <c r="AJB113" s="19"/>
      <c r="AJC113" s="19"/>
      <c r="AJD113" s="19"/>
      <c r="AJE113" s="19"/>
      <c r="AJF113" s="19"/>
      <c r="AJG113" s="19"/>
      <c r="AJH113" s="19"/>
      <c r="AJI113" s="19"/>
      <c r="AJJ113" s="19"/>
      <c r="AJK113" s="19"/>
      <c r="AJL113" s="19"/>
      <c r="AJM113" s="19"/>
      <c r="AJN113" s="19"/>
      <c r="AJO113" s="19"/>
      <c r="AJP113" s="19"/>
      <c r="AJQ113" s="19"/>
      <c r="AJR113" s="19"/>
      <c r="AJS113" s="19"/>
      <c r="AJT113" s="19"/>
      <c r="AJU113" s="19"/>
      <c r="AJV113" s="19"/>
      <c r="AJW113" s="19"/>
      <c r="AJX113" s="19"/>
      <c r="AJY113" s="19"/>
      <c r="AJZ113" s="19"/>
      <c r="AKA113" s="19"/>
      <c r="AKB113" s="19"/>
      <c r="AKC113" s="19"/>
      <c r="AKD113" s="19"/>
      <c r="AKE113" s="19"/>
      <c r="AKF113" s="19"/>
      <c r="AKG113" s="19"/>
      <c r="AKH113" s="19"/>
      <c r="AKI113" s="19"/>
      <c r="AKJ113" s="19"/>
      <c r="AKK113" s="19"/>
      <c r="AKL113" s="19"/>
      <c r="AKM113" s="19"/>
      <c r="AKN113" s="19"/>
      <c r="AKO113" s="19"/>
      <c r="AKP113" s="19"/>
      <c r="AKQ113" s="19"/>
      <c r="AKR113" s="19"/>
      <c r="AKS113" s="19"/>
      <c r="AKT113" s="19"/>
      <c r="AKU113" s="19"/>
      <c r="AKV113" s="19"/>
      <c r="AKW113" s="19"/>
      <c r="AKX113" s="19"/>
      <c r="AKY113" s="19"/>
      <c r="AKZ113" s="19"/>
      <c r="ALA113" s="19"/>
      <c r="ALB113" s="19"/>
      <c r="ALC113" s="19"/>
      <c r="ALD113" s="19"/>
      <c r="ALE113" s="19"/>
      <c r="ALF113" s="19"/>
      <c r="ALG113" s="19"/>
      <c r="ALH113" s="19"/>
      <c r="ALI113" s="19"/>
      <c r="ALJ113" s="19"/>
      <c r="ALK113" s="19"/>
      <c r="ALL113" s="19"/>
      <c r="ALM113" s="19"/>
      <c r="ALN113" s="19"/>
      <c r="ALO113" s="19"/>
      <c r="ALP113" s="19"/>
      <c r="ALQ113" s="19"/>
      <c r="ALR113" s="19"/>
      <c r="ALS113" s="19"/>
      <c r="ALT113" s="19"/>
      <c r="ALU113" s="19"/>
      <c r="ALV113" s="19"/>
      <c r="ALW113" s="19"/>
      <c r="ALX113" s="19"/>
      <c r="ALY113" s="19"/>
      <c r="ALZ113" s="19"/>
      <c r="AMA113" s="19"/>
      <c r="AMB113" s="19"/>
      <c r="AMC113" s="19"/>
      <c r="AMD113" s="19"/>
      <c r="AME113" s="19"/>
      <c r="AMF113" s="19"/>
      <c r="AMG113" s="19"/>
      <c r="AMH113" s="19"/>
      <c r="AMI113" s="19"/>
      <c r="AMJ113" s="19"/>
      <c r="AMK113" s="19"/>
      <c r="AML113" s="19"/>
      <c r="AMM113" s="19"/>
      <c r="AMN113" s="19"/>
      <c r="AMO113" s="19"/>
      <c r="AMP113" s="19"/>
      <c r="AMQ113" s="19"/>
      <c r="AMR113" s="19"/>
      <c r="AMS113" s="19"/>
      <c r="AMT113" s="19"/>
      <c r="AMU113" s="19"/>
      <c r="AMV113" s="19"/>
      <c r="AMW113" s="19"/>
      <c r="AMX113" s="19"/>
      <c r="AMY113" s="19"/>
      <c r="AMZ113" s="19"/>
      <c r="ANA113" s="19"/>
      <c r="ANB113" s="19"/>
      <c r="ANC113" s="19"/>
      <c r="AND113" s="19"/>
      <c r="ANE113" s="19"/>
      <c r="ANF113" s="19"/>
      <c r="ANG113" s="19"/>
      <c r="ANH113" s="19"/>
      <c r="ANI113" s="19"/>
      <c r="ANJ113" s="19"/>
      <c r="ANK113" s="19"/>
      <c r="ANL113" s="19"/>
      <c r="ANM113" s="19"/>
      <c r="ANN113" s="19"/>
      <c r="ANO113" s="19"/>
      <c r="ANP113" s="19"/>
      <c r="ANQ113" s="639"/>
      <c r="ANR113" s="639"/>
      <c r="ANS113" s="19"/>
      <c r="ANT113" s="19"/>
      <c r="ANU113" s="19"/>
      <c r="ANV113" s="19"/>
      <c r="ANW113" s="19"/>
      <c r="ANX113" s="19"/>
      <c r="ANY113" s="19"/>
      <c r="ANZ113" s="19"/>
      <c r="AOA113" s="19"/>
      <c r="AOB113" s="19"/>
      <c r="AOC113" s="19"/>
      <c r="AOD113" s="19"/>
      <c r="AOE113" s="19"/>
      <c r="AOF113" s="19"/>
      <c r="AOG113" s="19"/>
      <c r="AOH113" s="19"/>
      <c r="AOI113" s="19"/>
      <c r="AOJ113" s="19"/>
      <c r="AOK113" s="19"/>
      <c r="AOL113" s="19"/>
      <c r="AOM113" s="19"/>
      <c r="AON113" s="19"/>
      <c r="AOO113" s="19"/>
      <c r="AOP113" s="19"/>
      <c r="AOQ113" s="19"/>
      <c r="AOR113" s="19"/>
      <c r="AOS113" s="19"/>
      <c r="AOT113" s="19"/>
      <c r="AOU113" s="19"/>
      <c r="AOV113" s="19"/>
      <c r="AOW113" s="19"/>
      <c r="AOX113" s="19"/>
      <c r="AOY113" s="19"/>
      <c r="AOZ113" s="19"/>
      <c r="APA113" s="19"/>
      <c r="APB113" s="19"/>
      <c r="APC113" s="19"/>
      <c r="APD113" s="19"/>
      <c r="APE113" s="19"/>
      <c r="APF113" s="19"/>
      <c r="APG113" s="19"/>
      <c r="APH113" s="19"/>
      <c r="API113" s="19"/>
      <c r="APJ113" s="19"/>
      <c r="APK113" s="19"/>
      <c r="APL113" s="19"/>
      <c r="APM113" s="19"/>
      <c r="APN113" s="19"/>
      <c r="APO113" s="19"/>
      <c r="APP113" s="19"/>
      <c r="APQ113" s="19"/>
      <c r="APR113" s="19"/>
      <c r="APS113" s="19"/>
      <c r="APT113" s="19"/>
      <c r="APU113" s="19"/>
      <c r="APV113" s="19"/>
      <c r="APW113" s="19"/>
      <c r="APX113" s="19"/>
      <c r="APY113" s="19"/>
      <c r="APZ113" s="19"/>
      <c r="AQA113" s="19"/>
      <c r="AQB113" s="19"/>
      <c r="AQC113" s="19"/>
      <c r="AQD113" s="19"/>
      <c r="AQE113" s="19"/>
      <c r="AQF113" s="19"/>
      <c r="AQG113" s="19"/>
      <c r="AQH113" s="19"/>
      <c r="AQI113" s="19"/>
      <c r="AQJ113" s="19"/>
      <c r="AQK113" s="19"/>
      <c r="AQL113" s="19"/>
      <c r="AQM113" s="19"/>
      <c r="AQN113" s="19"/>
      <c r="AQO113" s="19"/>
      <c r="AQP113" s="19"/>
      <c r="AQQ113" s="19"/>
      <c r="AQR113" s="19"/>
      <c r="AQS113" s="19"/>
      <c r="AQT113" s="19"/>
      <c r="AQU113" s="19"/>
      <c r="AQV113" s="19"/>
      <c r="AQW113" s="19"/>
      <c r="AQX113" s="19"/>
      <c r="AQY113" s="19"/>
      <c r="AQZ113" s="19"/>
      <c r="ARA113" s="19"/>
      <c r="ARB113" s="19"/>
      <c r="ARC113" s="19"/>
      <c r="ARD113" s="19"/>
      <c r="ARE113" s="19"/>
      <c r="ARF113" s="19"/>
      <c r="ARG113" s="19"/>
      <c r="ARH113" s="19"/>
      <c r="ARI113" s="19"/>
      <c r="ARJ113" s="19"/>
      <c r="ARK113" s="19"/>
      <c r="ARL113" s="19"/>
      <c r="ARM113" s="19"/>
      <c r="ARN113" s="19"/>
      <c r="ARO113" s="19"/>
      <c r="ARP113" s="19"/>
      <c r="ARQ113" s="19"/>
      <c r="ARR113" s="19"/>
      <c r="ARS113" s="19"/>
      <c r="ART113" s="19"/>
      <c r="ARU113" s="19"/>
      <c r="ARV113" s="19"/>
      <c r="ARW113" s="19"/>
      <c r="ARX113" s="19"/>
      <c r="ARY113" s="19"/>
      <c r="ARZ113" s="19"/>
      <c r="ASA113" s="19"/>
      <c r="ASB113" s="19"/>
      <c r="ASC113" s="19"/>
      <c r="ASD113" s="19"/>
      <c r="ASE113" s="19"/>
      <c r="ASF113" s="19"/>
      <c r="ASG113" s="19"/>
      <c r="ASH113" s="19"/>
      <c r="ASI113" s="19"/>
      <c r="ASJ113" s="19"/>
      <c r="ASK113" s="19"/>
      <c r="ASL113" s="19"/>
      <c r="ASM113" s="19"/>
      <c r="ASN113" s="19"/>
      <c r="ASO113" s="19"/>
      <c r="ASP113" s="19"/>
      <c r="ASQ113" s="19"/>
      <c r="ASR113" s="19"/>
      <c r="ASS113" s="19"/>
      <c r="AST113" s="19"/>
      <c r="ASU113" s="19"/>
      <c r="ASV113" s="19"/>
      <c r="ASW113" s="19"/>
      <c r="ASX113" s="19"/>
      <c r="ASY113" s="19"/>
      <c r="ASZ113" s="19"/>
      <c r="ATA113" s="19"/>
      <c r="ATB113" s="19"/>
      <c r="ATC113" s="19"/>
      <c r="ATD113" s="19"/>
      <c r="ATE113" s="19"/>
      <c r="ATF113" s="19"/>
      <c r="ATG113" s="19"/>
      <c r="ATH113" s="19"/>
      <c r="ATI113" s="19"/>
      <c r="ATJ113" s="19"/>
      <c r="ATK113" s="19"/>
      <c r="ATL113" s="19"/>
      <c r="ATM113" s="19"/>
      <c r="ATN113" s="19"/>
      <c r="ATO113" s="19"/>
      <c r="ATP113" s="19"/>
      <c r="ATQ113" s="19"/>
      <c r="ATR113" s="19"/>
      <c r="ATS113" s="19"/>
      <c r="ATT113" s="19"/>
      <c r="ATU113" s="19"/>
      <c r="ATV113" s="19"/>
      <c r="ATW113" s="19"/>
      <c r="ATX113" s="19"/>
      <c r="ATY113" s="19"/>
      <c r="ATZ113" s="19"/>
      <c r="AUA113" s="19"/>
      <c r="AUB113" s="19"/>
      <c r="AUC113" s="19"/>
      <c r="AUD113" s="19"/>
      <c r="AUE113" s="19"/>
      <c r="AUF113" s="19"/>
      <c r="AUG113" s="19"/>
      <c r="AUH113" s="19"/>
      <c r="AUI113" s="19"/>
      <c r="AUJ113" s="19"/>
      <c r="AUK113" s="19"/>
      <c r="AUL113" s="19"/>
      <c r="AUM113" s="19"/>
      <c r="AUN113" s="19"/>
      <c r="AUO113" s="19"/>
      <c r="AUP113" s="19"/>
      <c r="AUQ113" s="19"/>
      <c r="AUR113" s="19"/>
      <c r="AUS113" s="19"/>
      <c r="AUT113" s="19"/>
      <c r="AUU113" s="19"/>
      <c r="AUV113" s="19"/>
      <c r="AUW113" s="19"/>
      <c r="AUX113" s="19"/>
      <c r="AUY113" s="19"/>
      <c r="AUZ113" s="19"/>
      <c r="AVA113" s="19"/>
      <c r="AVB113" s="19"/>
      <c r="AVC113" s="19"/>
      <c r="AVD113" s="19"/>
      <c r="AVE113" s="19"/>
      <c r="AVF113" s="19"/>
      <c r="AVG113" s="19"/>
      <c r="AVH113" s="19"/>
      <c r="AVI113" s="19"/>
      <c r="AVJ113" s="19"/>
      <c r="AVK113" s="19"/>
      <c r="AVL113" s="19"/>
      <c r="AVM113" s="19"/>
      <c r="AVN113" s="19"/>
      <c r="AVO113" s="19"/>
      <c r="AVP113" s="19"/>
      <c r="AVQ113" s="19"/>
      <c r="AVR113" s="19"/>
      <c r="AVS113" s="19"/>
      <c r="AVT113" s="19"/>
      <c r="AVU113" s="19"/>
      <c r="AVV113" s="19"/>
      <c r="AVW113" s="19"/>
      <c r="AVX113" s="19"/>
      <c r="AVY113" s="19"/>
      <c r="AVZ113" s="19"/>
      <c r="AWA113" s="19"/>
      <c r="AWB113" s="19"/>
      <c r="AWC113" s="19"/>
      <c r="AWD113" s="19"/>
      <c r="AWE113" s="19"/>
      <c r="AWF113" s="19"/>
      <c r="AWG113" s="19"/>
      <c r="AWH113" s="19"/>
      <c r="AWI113" s="19"/>
      <c r="AWJ113" s="19"/>
      <c r="AWK113" s="19"/>
      <c r="AWL113" s="19"/>
      <c r="AWM113" s="19"/>
      <c r="AWN113" s="19"/>
      <c r="AWO113" s="19"/>
      <c r="AWP113" s="19"/>
      <c r="AWQ113" s="19"/>
      <c r="AWR113" s="19"/>
      <c r="AWS113" s="19"/>
      <c r="AWT113" s="19"/>
      <c r="AWU113" s="19"/>
      <c r="AWV113" s="19"/>
      <c r="AWW113" s="19"/>
      <c r="AWX113" s="19"/>
      <c r="AWY113" s="19"/>
      <c r="AWZ113" s="19"/>
      <c r="AXA113" s="19"/>
      <c r="AXB113" s="19"/>
      <c r="AXC113" s="19"/>
      <c r="AXD113" s="19"/>
      <c r="AXE113" s="19"/>
      <c r="AXF113" s="19"/>
      <c r="AXG113" s="19"/>
      <c r="AXH113" s="19"/>
      <c r="AXI113" s="19"/>
      <c r="AXJ113" s="19"/>
      <c r="AXK113" s="19"/>
      <c r="AXL113" s="19"/>
      <c r="AXM113" s="19"/>
      <c r="AXN113" s="19"/>
      <c r="AXO113" s="19"/>
      <c r="AXP113" s="19"/>
      <c r="AXQ113" s="19"/>
      <c r="AXR113" s="19"/>
      <c r="AXS113" s="19"/>
      <c r="AXT113" s="19"/>
      <c r="AXU113" s="19"/>
      <c r="AXV113" s="19"/>
      <c r="AXW113" s="19"/>
      <c r="AXX113" s="19"/>
      <c r="AXY113" s="19"/>
      <c r="AXZ113" s="19"/>
      <c r="AYA113" s="19"/>
      <c r="AYB113" s="19"/>
      <c r="AYC113" s="19"/>
      <c r="AYD113" s="19"/>
      <c r="AYE113" s="19"/>
      <c r="AYF113" s="19"/>
      <c r="AYG113" s="19"/>
      <c r="AYH113" s="19"/>
      <c r="AYI113" s="19"/>
      <c r="AYJ113" s="19"/>
      <c r="AYK113" s="19"/>
      <c r="AYL113" s="19"/>
      <c r="AYM113" s="19"/>
      <c r="AYN113" s="19"/>
      <c r="AYO113" s="19"/>
      <c r="AYP113" s="19"/>
      <c r="AYQ113" s="19"/>
      <c r="AYR113" s="19"/>
      <c r="AYS113" s="19"/>
      <c r="AYT113" s="19"/>
      <c r="AYU113" s="19"/>
      <c r="AYV113" s="19"/>
      <c r="AYW113" s="19"/>
      <c r="AYX113" s="19"/>
      <c r="AYY113" s="19"/>
      <c r="AYZ113" s="19"/>
      <c r="AZA113" s="19"/>
      <c r="AZB113" s="19"/>
      <c r="AZC113" s="19"/>
      <c r="AZD113" s="19"/>
      <c r="AZE113" s="19"/>
      <c r="AZF113" s="19"/>
      <c r="AZG113" s="19"/>
      <c r="AZH113" s="19"/>
      <c r="AZI113" s="19"/>
      <c r="AZJ113" s="19"/>
      <c r="AZK113" s="19"/>
      <c r="AZL113" s="19"/>
      <c r="AZM113" s="19"/>
      <c r="AZN113" s="19"/>
      <c r="AZO113" s="19"/>
      <c r="AZP113" s="19"/>
      <c r="AZQ113" s="19"/>
      <c r="AZR113" s="19"/>
      <c r="AZS113" s="19"/>
      <c r="AZT113" s="19"/>
      <c r="AZU113" s="19"/>
      <c r="AZV113" s="19"/>
      <c r="AZW113" s="19"/>
      <c r="AZX113" s="19"/>
      <c r="AZY113" s="19"/>
      <c r="AZZ113" s="19"/>
      <c r="BAA113" s="19"/>
      <c r="BAB113" s="19"/>
      <c r="BAC113" s="19"/>
      <c r="BAD113" s="19"/>
      <c r="BAE113" s="19"/>
      <c r="BAF113" s="19"/>
      <c r="BAG113" s="19"/>
      <c r="BAH113" s="19"/>
      <c r="BAI113" s="19"/>
      <c r="BAJ113" s="19"/>
      <c r="BAK113" s="19"/>
      <c r="BAL113" s="19"/>
      <c r="BAM113" s="19"/>
      <c r="BAN113" s="19"/>
      <c r="BAO113" s="19"/>
      <c r="BAP113" s="19"/>
      <c r="BAQ113" s="19"/>
      <c r="BAR113" s="19"/>
      <c r="BAS113" s="19"/>
      <c r="BAT113" s="19"/>
      <c r="BAU113" s="19"/>
      <c r="BAV113" s="19"/>
      <c r="BAW113" s="19"/>
      <c r="BAX113" s="19"/>
      <c r="BAY113" s="19"/>
      <c r="BAZ113" s="19"/>
      <c r="BBA113" s="19"/>
      <c r="BBB113" s="19"/>
      <c r="BBC113" s="19"/>
      <c r="BBD113" s="19"/>
      <c r="BBE113" s="19"/>
      <c r="BBF113" s="19"/>
      <c r="BBG113" s="19"/>
      <c r="BBH113" s="19"/>
      <c r="BBI113" s="19"/>
      <c r="BBJ113" s="19"/>
      <c r="BBK113" s="19"/>
      <c r="BBL113" s="19"/>
      <c r="BBM113" s="19"/>
      <c r="BBN113" s="19"/>
      <c r="BBO113" s="19"/>
      <c r="BBP113" s="19"/>
      <c r="BBQ113" s="19"/>
      <c r="BBR113" s="19"/>
      <c r="BBS113" s="19"/>
      <c r="BBT113" s="19"/>
      <c r="BBU113" s="19"/>
      <c r="BBV113" s="19"/>
      <c r="BBW113" s="19"/>
      <c r="BBX113" s="19"/>
      <c r="BBY113" s="19"/>
      <c r="BBZ113" s="19"/>
      <c r="BCA113" s="19"/>
      <c r="BCB113" s="19"/>
      <c r="BCC113" s="19"/>
      <c r="BCD113" s="19"/>
      <c r="BCE113" s="19"/>
      <c r="BCF113" s="19"/>
      <c r="BCG113" s="19"/>
      <c r="BCH113" s="19"/>
      <c r="BCI113" s="19"/>
      <c r="BCJ113" s="19"/>
      <c r="BCK113" s="19"/>
      <c r="BCL113" s="19"/>
      <c r="BCM113" s="19"/>
      <c r="BCN113" s="19"/>
      <c r="BCO113" s="19"/>
      <c r="BCP113" s="19"/>
      <c r="BCQ113" s="19"/>
      <c r="BCR113" s="19"/>
      <c r="BCS113" s="19"/>
      <c r="BCT113" s="19"/>
      <c r="BCU113" s="19"/>
      <c r="BCV113" s="19"/>
      <c r="BCW113" s="19"/>
      <c r="BCX113" s="19"/>
      <c r="BCY113" s="19"/>
      <c r="BCZ113" s="19"/>
      <c r="BDA113" s="19"/>
      <c r="BDB113" s="19"/>
      <c r="BDC113" s="19"/>
      <c r="BDD113" s="19"/>
      <c r="BDE113" s="19"/>
      <c r="BDF113" s="19"/>
      <c r="BDG113" s="19"/>
      <c r="BDH113" s="19"/>
      <c r="BDI113" s="19"/>
      <c r="BDJ113" s="19"/>
      <c r="BDK113" s="19"/>
      <c r="BDL113" s="19"/>
      <c r="BDM113" s="19"/>
      <c r="BDN113" s="19"/>
      <c r="BDO113" s="19"/>
      <c r="BDP113" s="19"/>
      <c r="BDQ113" s="19"/>
      <c r="BDR113" s="19"/>
      <c r="BDS113" s="19"/>
      <c r="BDT113" s="19"/>
      <c r="BDU113" s="19"/>
      <c r="BDV113" s="19"/>
      <c r="BDW113" s="19"/>
      <c r="BDX113" s="19"/>
      <c r="BDY113" s="19"/>
      <c r="BDZ113" s="19"/>
      <c r="BEA113" s="19"/>
      <c r="BEB113" s="19"/>
      <c r="BEC113" s="19"/>
      <c r="BED113" s="19"/>
      <c r="BEE113" s="19"/>
      <c r="BEF113" s="19"/>
      <c r="BEG113" s="19"/>
      <c r="BEH113" s="19"/>
      <c r="BEI113" s="19"/>
      <c r="BEJ113" s="19"/>
      <c r="BEK113" s="19"/>
      <c r="BEL113" s="19"/>
      <c r="BEM113" s="19"/>
      <c r="BEN113" s="19"/>
      <c r="BEO113" s="19"/>
      <c r="BEP113" s="19"/>
      <c r="BEQ113" s="19"/>
      <c r="BER113" s="19"/>
      <c r="BES113" s="19"/>
      <c r="BET113" s="19"/>
      <c r="BEU113" s="19"/>
      <c r="BEV113" s="19"/>
      <c r="BEW113" s="19"/>
      <c r="BEX113" s="19"/>
      <c r="BEY113" s="19"/>
      <c r="BEZ113" s="19"/>
      <c r="BFA113" s="19"/>
      <c r="BFB113" s="19"/>
      <c r="BFC113" s="19"/>
      <c r="BFD113" s="19"/>
      <c r="BFE113" s="19"/>
      <c r="BFF113" s="19"/>
      <c r="BFG113" s="19"/>
      <c r="BFH113" s="19"/>
      <c r="BFI113" s="19"/>
      <c r="BFJ113" s="19"/>
      <c r="BFK113" s="19"/>
      <c r="BFL113" s="19"/>
      <c r="BFM113" s="19"/>
      <c r="BFN113" s="19"/>
      <c r="BFO113" s="19"/>
      <c r="BFP113" s="19"/>
      <c r="BFQ113" s="19"/>
      <c r="BFR113" s="19"/>
      <c r="BFS113" s="19"/>
      <c r="BFT113" s="19"/>
      <c r="BFU113" s="19"/>
      <c r="BFV113" s="19"/>
      <c r="BFW113" s="19"/>
      <c r="BFX113" s="19"/>
      <c r="BFY113" s="19"/>
      <c r="BFZ113" s="19"/>
      <c r="BGA113" s="19"/>
      <c r="BGB113" s="19"/>
      <c r="BGC113" s="19"/>
      <c r="BGD113" s="19"/>
      <c r="BGE113" s="19"/>
      <c r="BGF113" s="19"/>
      <c r="BGG113" s="19"/>
      <c r="BGH113" s="19"/>
      <c r="BGI113" s="19"/>
      <c r="BGJ113" s="19"/>
      <c r="BGK113" s="19"/>
      <c r="BGL113" s="19"/>
      <c r="BGM113" s="19"/>
      <c r="BGN113" s="19"/>
      <c r="BGO113" s="19"/>
      <c r="BGP113" s="19"/>
      <c r="BGQ113" s="19"/>
      <c r="BGR113" s="19"/>
      <c r="BGS113" s="19"/>
      <c r="BGT113" s="19"/>
      <c r="BGU113" s="19"/>
      <c r="BGV113" s="19"/>
      <c r="BGW113" s="19"/>
      <c r="BGX113" s="19"/>
      <c r="BGY113" s="19"/>
      <c r="BGZ113" s="19"/>
      <c r="BHA113" s="19"/>
      <c r="BHB113" s="19"/>
      <c r="BHC113" s="19"/>
      <c r="BHD113" s="19"/>
      <c r="BHE113" s="19"/>
      <c r="BHF113" s="19"/>
      <c r="BHG113" s="19"/>
      <c r="BHH113" s="19"/>
      <c r="BHI113" s="19"/>
      <c r="BHJ113" s="19"/>
      <c r="BHK113" s="19"/>
      <c r="BHL113" s="19"/>
      <c r="BHM113" s="19"/>
      <c r="BHN113" s="19"/>
      <c r="BHO113" s="19"/>
      <c r="BHP113" s="19"/>
      <c r="BHQ113" s="19"/>
      <c r="BHR113" s="19"/>
      <c r="BHS113" s="19"/>
      <c r="BHT113" s="19"/>
      <c r="BHU113" s="19"/>
      <c r="BHV113" s="19"/>
      <c r="BHW113" s="19"/>
      <c r="BHX113" s="19"/>
      <c r="BHY113" s="19"/>
      <c r="BHZ113" s="19"/>
      <c r="BIA113" s="19"/>
      <c r="BIB113" s="19"/>
      <c r="BIC113" s="19"/>
      <c r="BID113" s="19"/>
      <c r="BIE113" s="19"/>
      <c r="BIF113" s="19"/>
      <c r="BIG113" s="19"/>
      <c r="BIH113" s="19"/>
      <c r="BII113" s="19"/>
      <c r="BIJ113" s="19"/>
      <c r="BIK113" s="19"/>
      <c r="BIL113" s="19"/>
      <c r="BIM113" s="19"/>
      <c r="BIN113" s="19"/>
      <c r="BIO113" s="19"/>
      <c r="BIP113" s="19"/>
      <c r="BIQ113" s="19"/>
      <c r="BIR113" s="19"/>
      <c r="BIS113" s="19"/>
      <c r="BIT113" s="19"/>
      <c r="BIU113" s="19"/>
      <c r="BIV113" s="19"/>
      <c r="BIW113" s="19"/>
      <c r="BIX113" s="19"/>
      <c r="BIY113" s="19"/>
      <c r="BIZ113" s="19"/>
      <c r="BJA113" s="19"/>
      <c r="BJB113" s="19"/>
      <c r="BJC113" s="19"/>
      <c r="BJD113" s="19"/>
      <c r="BJE113" s="19"/>
      <c r="BJF113" s="19"/>
      <c r="BJG113" s="19"/>
      <c r="BJH113" s="19"/>
      <c r="BJI113" s="19"/>
      <c r="BJJ113" s="19"/>
      <c r="BJK113" s="19"/>
      <c r="BJL113" s="19"/>
      <c r="BJM113" s="19"/>
      <c r="BJN113" s="19"/>
      <c r="BJO113" s="19"/>
      <c r="BJP113" s="19"/>
      <c r="BJQ113" s="19"/>
      <c r="BJR113" s="19"/>
      <c r="BJS113" s="19"/>
      <c r="BJT113" s="19"/>
      <c r="BJU113" s="19"/>
      <c r="BJV113" s="19"/>
      <c r="BJW113" s="19"/>
      <c r="BJX113" s="19"/>
      <c r="BJY113" s="19"/>
      <c r="BJZ113" s="19"/>
      <c r="BKA113" s="19"/>
      <c r="BKB113" s="19"/>
      <c r="BKC113" s="19"/>
      <c r="BKD113" s="19"/>
      <c r="BKE113" s="19"/>
      <c r="BKF113" s="19"/>
      <c r="BKG113" s="19"/>
      <c r="BKH113" s="19"/>
      <c r="BKI113" s="19"/>
      <c r="BKJ113" s="19"/>
      <c r="BKK113" s="19"/>
      <c r="BKL113" s="19"/>
      <c r="BKM113" s="19"/>
      <c r="BKN113" s="19"/>
      <c r="BKO113" s="19"/>
      <c r="BKP113" s="19"/>
      <c r="BKQ113" s="19"/>
      <c r="BKR113" s="19"/>
      <c r="BKS113" s="19"/>
      <c r="BKT113" s="19"/>
      <c r="BKU113" s="19"/>
      <c r="BKV113" s="19"/>
      <c r="BKW113" s="19"/>
      <c r="BKX113" s="19"/>
      <c r="BKY113" s="19"/>
      <c r="BKZ113" s="19"/>
      <c r="BLA113" s="19"/>
      <c r="BLB113" s="19"/>
      <c r="BLC113" s="19"/>
      <c r="BLD113" s="19"/>
      <c r="BLE113" s="19"/>
      <c r="BLF113" s="19"/>
      <c r="BLG113" s="19"/>
      <c r="BLH113" s="19"/>
      <c r="BLI113" s="19"/>
      <c r="BLJ113" s="19"/>
      <c r="BLK113" s="19"/>
      <c r="BLL113" s="19"/>
      <c r="BLM113" s="19"/>
      <c r="BLN113" s="19"/>
      <c r="BLO113" s="19"/>
      <c r="BLP113" s="19"/>
      <c r="BLQ113" s="19"/>
      <c r="BLR113" s="19"/>
      <c r="BLS113" s="19"/>
      <c r="BLT113" s="19"/>
      <c r="BLU113" s="19"/>
      <c r="BLV113" s="19"/>
      <c r="BLW113" s="19"/>
      <c r="BLX113" s="19"/>
      <c r="BLY113" s="19"/>
      <c r="BLZ113" s="19"/>
      <c r="BMA113" s="19"/>
      <c r="BMB113" s="19"/>
      <c r="BMC113" s="19"/>
      <c r="BMD113" s="19"/>
      <c r="BME113" s="19"/>
      <c r="BMF113" s="19"/>
      <c r="BMG113" s="19"/>
      <c r="BMH113" s="19"/>
      <c r="BMI113" s="19"/>
      <c r="BMJ113" s="19"/>
      <c r="BMK113" s="19"/>
      <c r="BML113" s="19"/>
      <c r="BMM113" s="19"/>
      <c r="BMN113" s="19"/>
      <c r="BMO113" s="19"/>
      <c r="BMP113" s="19"/>
      <c r="BMQ113" s="19"/>
      <c r="BMR113" s="19"/>
      <c r="BMS113" s="19"/>
      <c r="BMT113" s="19"/>
      <c r="BMU113" s="19"/>
      <c r="BMV113" s="19"/>
      <c r="BMW113" s="19"/>
      <c r="BMX113" s="19"/>
      <c r="BMY113" s="19"/>
      <c r="BMZ113" s="19"/>
      <c r="BNA113" s="19"/>
      <c r="BNB113" s="19"/>
      <c r="BNC113" s="19"/>
      <c r="BND113" s="19"/>
      <c r="BNE113" s="19"/>
      <c r="BNF113" s="19"/>
      <c r="BNG113" s="19"/>
      <c r="BNH113" s="19"/>
      <c r="BNI113" s="19"/>
      <c r="BNJ113" s="19"/>
      <c r="BNK113" s="19"/>
      <c r="BNL113" s="19"/>
      <c r="BNM113" s="19"/>
      <c r="BNN113" s="19"/>
      <c r="BNO113" s="19"/>
      <c r="BNP113" s="19"/>
      <c r="BNQ113" s="19"/>
      <c r="BNR113" s="19"/>
      <c r="BNS113" s="19"/>
      <c r="BNT113" s="19"/>
      <c r="BNU113" s="19"/>
      <c r="BNV113" s="19"/>
      <c r="BNW113" s="19"/>
      <c r="BNX113" s="19"/>
      <c r="BNY113" s="19"/>
      <c r="BNZ113" s="19"/>
      <c r="BOA113" s="19"/>
      <c r="BOB113" s="19"/>
      <c r="BOC113" s="19"/>
      <c r="BOD113" s="19"/>
      <c r="BOE113" s="19"/>
      <c r="BOF113" s="19"/>
      <c r="BOG113" s="19"/>
      <c r="BOH113" s="19"/>
      <c r="BOI113" s="19"/>
      <c r="BOJ113" s="19"/>
      <c r="BOK113" s="19"/>
      <c r="BOL113" s="19"/>
      <c r="BOM113" s="19"/>
      <c r="BON113" s="19"/>
      <c r="BOO113" s="19"/>
      <c r="BOP113" s="19"/>
      <c r="BOQ113" s="19"/>
      <c r="BOR113" s="19"/>
      <c r="BOS113" s="19"/>
      <c r="BOT113" s="19"/>
      <c r="BOU113" s="19"/>
      <c r="BOV113" s="19"/>
      <c r="BOW113" s="19"/>
      <c r="BOX113" s="19"/>
      <c r="BOY113" s="19"/>
      <c r="BOZ113" s="19"/>
      <c r="BPA113" s="19"/>
      <c r="BPB113" s="19"/>
      <c r="BPC113" s="19"/>
      <c r="BPD113" s="19"/>
      <c r="BPE113" s="19"/>
      <c r="BPF113" s="19"/>
      <c r="BPG113" s="19"/>
      <c r="BPH113" s="19"/>
      <c r="BPI113" s="19"/>
      <c r="BPJ113" s="19"/>
      <c r="BPK113" s="19"/>
      <c r="BPL113" s="19"/>
      <c r="BPM113" s="19"/>
      <c r="BPN113" s="19"/>
      <c r="BPO113" s="19"/>
      <c r="BPP113" s="19"/>
      <c r="BPQ113" s="19"/>
      <c r="BPR113" s="19"/>
      <c r="BPS113" s="19"/>
      <c r="BPT113" s="19"/>
      <c r="BPU113" s="19"/>
      <c r="BPV113" s="19"/>
      <c r="BPW113" s="19"/>
      <c r="BPX113" s="19"/>
      <c r="BPY113" s="19"/>
      <c r="BPZ113" s="19"/>
      <c r="BQA113" s="19"/>
      <c r="BQB113" s="19"/>
      <c r="BQC113" s="19"/>
      <c r="BQD113" s="19"/>
      <c r="BQE113" s="19"/>
      <c r="BQF113" s="19"/>
      <c r="BQG113" s="19"/>
      <c r="BQH113" s="19"/>
      <c r="BQI113" s="19"/>
      <c r="BQJ113" s="19"/>
      <c r="BQK113" s="19"/>
      <c r="BQL113" s="19"/>
      <c r="BQM113" s="19"/>
      <c r="BQN113" s="19"/>
      <c r="BQO113" s="19"/>
      <c r="BQP113" s="19"/>
      <c r="BQQ113" s="19"/>
      <c r="BQR113" s="19"/>
      <c r="BQS113" s="19"/>
      <c r="BQT113" s="19"/>
      <c r="BQU113" s="19"/>
      <c r="BQV113" s="19"/>
      <c r="BQW113" s="19"/>
      <c r="BQX113" s="19"/>
      <c r="BQY113" s="19"/>
      <c r="BQZ113" s="19"/>
      <c r="BRA113" s="19"/>
      <c r="BRB113" s="19"/>
      <c r="BRC113" s="19"/>
      <c r="BRD113" s="19"/>
      <c r="BRE113" s="19"/>
      <c r="BRF113" s="19"/>
      <c r="BRG113" s="19"/>
      <c r="BRH113" s="19"/>
      <c r="BRI113" s="19"/>
      <c r="BRJ113" s="19"/>
      <c r="BRK113" s="19"/>
      <c r="BRL113" s="19"/>
      <c r="BRM113" s="19"/>
      <c r="BRN113" s="19"/>
      <c r="BRO113" s="19"/>
      <c r="BRP113" s="19"/>
      <c r="BRQ113" s="19"/>
      <c r="BRR113" s="19"/>
      <c r="BRS113" s="19"/>
      <c r="BRT113" s="19"/>
      <c r="BRU113" s="19"/>
      <c r="BRV113" s="19"/>
      <c r="BRW113" s="19"/>
      <c r="BRX113" s="19"/>
      <c r="BRY113" s="19"/>
      <c r="BRZ113" s="19"/>
      <c r="BSA113" s="19"/>
      <c r="BSB113" s="19"/>
      <c r="BSC113" s="19"/>
      <c r="BSD113" s="19"/>
      <c r="BSE113" s="19"/>
      <c r="BSF113" s="19"/>
      <c r="BSG113" s="19"/>
      <c r="BSH113" s="19"/>
      <c r="BSI113" s="19"/>
      <c r="BSJ113" s="19"/>
      <c r="BSK113" s="19"/>
      <c r="BSL113" s="19"/>
      <c r="BSM113" s="19"/>
      <c r="BSN113" s="19"/>
      <c r="BSO113" s="19"/>
      <c r="BSP113" s="19"/>
      <c r="BSQ113" s="19"/>
      <c r="BSR113" s="19"/>
      <c r="BSS113" s="19"/>
      <c r="BST113" s="19"/>
      <c r="BSU113" s="19"/>
      <c r="BSV113" s="19"/>
      <c r="BSW113" s="19"/>
      <c r="BSX113" s="19"/>
      <c r="BSY113" s="19"/>
      <c r="BSZ113" s="19"/>
      <c r="BTA113" s="19"/>
      <c r="BTB113" s="19"/>
      <c r="BTC113" s="19"/>
      <c r="BTD113" s="19"/>
      <c r="BTE113" s="19"/>
      <c r="BTF113" s="19"/>
      <c r="BTG113" s="19"/>
      <c r="BTH113" s="19"/>
      <c r="BTI113" s="19"/>
      <c r="BTJ113" s="19"/>
      <c r="BTK113" s="19"/>
      <c r="BTL113" s="19"/>
      <c r="BTM113" s="19"/>
      <c r="BTN113" s="19"/>
      <c r="BTO113" s="19"/>
      <c r="BTP113" s="19"/>
      <c r="BTQ113" s="19"/>
      <c r="BTR113" s="19"/>
      <c r="BTS113" s="19"/>
      <c r="BTT113" s="19"/>
      <c r="BTU113" s="19"/>
      <c r="BTV113" s="19"/>
      <c r="BTW113" s="19"/>
      <c r="BTX113" s="19"/>
      <c r="BTY113" s="19"/>
      <c r="BTZ113" s="19"/>
      <c r="BUA113" s="19"/>
      <c r="BUB113" s="19"/>
      <c r="BUC113" s="19"/>
      <c r="BUD113" s="19"/>
      <c r="BUE113" s="19"/>
      <c r="BUF113" s="19"/>
      <c r="BUG113" s="19"/>
      <c r="BUH113" s="19"/>
      <c r="BUI113" s="19"/>
      <c r="BUJ113" s="19"/>
      <c r="BUK113" s="19"/>
      <c r="BUL113" s="19"/>
      <c r="BUM113" s="19"/>
      <c r="BUN113" s="19"/>
      <c r="BUO113" s="19"/>
      <c r="BUP113" s="19"/>
      <c r="BUQ113" s="19"/>
      <c r="BUR113" s="19"/>
      <c r="BUS113" s="19"/>
      <c r="BUT113" s="19"/>
      <c r="BUU113" s="19"/>
      <c r="BUV113" s="19"/>
      <c r="BUW113" s="19"/>
      <c r="BUX113" s="19"/>
      <c r="BUY113" s="19"/>
      <c r="BUZ113" s="19"/>
      <c r="BVA113" s="19"/>
      <c r="BVB113" s="19"/>
      <c r="BVC113" s="19"/>
      <c r="BVD113" s="19"/>
      <c r="BVE113" s="19"/>
      <c r="BVF113" s="19"/>
      <c r="BVG113" s="19"/>
      <c r="BVH113" s="19"/>
      <c r="BVI113" s="19"/>
      <c r="BVJ113" s="19"/>
      <c r="BVK113" s="19"/>
      <c r="BVL113" s="19"/>
      <c r="BVM113" s="19"/>
      <c r="BVN113" s="19"/>
      <c r="BVO113" s="19"/>
      <c r="BVP113" s="19"/>
      <c r="BVQ113" s="19"/>
      <c r="BVR113" s="19"/>
      <c r="BVS113" s="19"/>
      <c r="BVT113" s="19"/>
      <c r="BVU113" s="19"/>
      <c r="BVV113" s="19"/>
      <c r="BVW113" s="19"/>
      <c r="BVX113" s="19"/>
      <c r="BVY113" s="19"/>
      <c r="BVZ113" s="19"/>
      <c r="BWA113" s="19"/>
      <c r="BWB113" s="19"/>
      <c r="BWC113" s="19"/>
      <c r="BWD113" s="19"/>
      <c r="BWE113" s="19"/>
      <c r="BWF113" s="19"/>
      <c r="BWG113" s="19"/>
      <c r="BWH113" s="19"/>
      <c r="BWI113" s="19"/>
      <c r="BWJ113" s="19"/>
      <c r="BWK113" s="19"/>
      <c r="BWL113" s="19"/>
      <c r="BWM113" s="19"/>
      <c r="BWN113" s="19"/>
      <c r="BWO113" s="19"/>
      <c r="BWP113" s="19"/>
      <c r="BWQ113" s="19"/>
      <c r="BWR113" s="19"/>
      <c r="BWS113" s="19"/>
      <c r="BWT113" s="19"/>
      <c r="BWU113" s="19"/>
      <c r="BWV113" s="19"/>
      <c r="BWW113" s="19"/>
      <c r="BWX113" s="19"/>
      <c r="BWY113" s="19"/>
      <c r="BWZ113" s="19"/>
      <c r="BXA113" s="19"/>
      <c r="BXB113" s="19"/>
      <c r="BXC113" s="19"/>
      <c r="BXD113" s="19"/>
      <c r="BXE113" s="19"/>
      <c r="BXF113" s="19"/>
      <c r="BXG113" s="19"/>
      <c r="BXH113" s="19"/>
      <c r="BXI113" s="19"/>
      <c r="BXJ113" s="19"/>
      <c r="BXK113" s="19"/>
      <c r="BXL113" s="19"/>
      <c r="BXM113" s="19"/>
      <c r="BXN113" s="19"/>
      <c r="BXO113" s="19"/>
      <c r="BXP113" s="19"/>
      <c r="BXQ113" s="19"/>
      <c r="BXR113" s="19"/>
      <c r="BXS113" s="19"/>
      <c r="BXT113" s="19"/>
      <c r="BXU113" s="19"/>
      <c r="BXV113" s="19"/>
      <c r="BXW113" s="19"/>
      <c r="BXX113" s="19"/>
      <c r="BXY113" s="19"/>
      <c r="BXZ113" s="19"/>
      <c r="BYA113" s="19"/>
      <c r="BYB113" s="19"/>
      <c r="BYC113" s="19"/>
      <c r="BYD113" s="19"/>
      <c r="BYE113" s="19"/>
      <c r="BYF113" s="19"/>
      <c r="BYG113" s="19"/>
      <c r="BYH113" s="19"/>
      <c r="BYI113" s="19"/>
      <c r="BYJ113" s="19"/>
      <c r="BYK113" s="19"/>
      <c r="BYL113" s="19"/>
      <c r="BYM113" s="19"/>
      <c r="BYN113" s="19"/>
      <c r="BYO113" s="19"/>
      <c r="BYP113" s="19"/>
      <c r="BYQ113" s="19"/>
      <c r="BYR113" s="19"/>
      <c r="BYS113" s="19"/>
      <c r="BYT113" s="19"/>
      <c r="BYU113" s="19"/>
      <c r="BYV113" s="19"/>
      <c r="BYW113" s="19"/>
      <c r="BYX113" s="19"/>
      <c r="BYY113" s="19"/>
      <c r="BYZ113" s="19"/>
      <c r="BZA113" s="19"/>
      <c r="BZB113" s="19"/>
      <c r="BZC113" s="19"/>
      <c r="BZD113" s="19"/>
      <c r="BZE113" s="19"/>
      <c r="BZF113" s="19"/>
      <c r="BZG113" s="19"/>
      <c r="BZH113" s="19"/>
      <c r="BZI113" s="19"/>
      <c r="BZJ113" s="19"/>
      <c r="BZK113" s="19"/>
      <c r="BZL113" s="19"/>
      <c r="BZM113" s="19"/>
      <c r="BZN113" s="19"/>
      <c r="BZO113" s="19"/>
      <c r="BZP113" s="19"/>
      <c r="BZQ113" s="19"/>
      <c r="BZR113" s="19"/>
      <c r="BZS113" s="19"/>
      <c r="BZT113" s="19"/>
      <c r="BZU113" s="19"/>
      <c r="BZV113" s="19"/>
      <c r="BZW113" s="19"/>
      <c r="BZX113" s="19"/>
      <c r="BZY113" s="19"/>
      <c r="BZZ113" s="19"/>
      <c r="CAA113" s="19"/>
      <c r="CAB113" s="19"/>
      <c r="CAC113" s="19"/>
      <c r="CAD113" s="19"/>
      <c r="CAE113" s="19"/>
      <c r="CAF113" s="19"/>
      <c r="CAG113" s="19"/>
      <c r="CAH113" s="19"/>
      <c r="CAI113" s="19"/>
      <c r="CAJ113" s="19"/>
      <c r="CAK113" s="19"/>
      <c r="CAL113" s="19"/>
      <c r="CAM113" s="19"/>
      <c r="CAN113" s="19"/>
      <c r="CAO113" s="19"/>
      <c r="CAP113" s="19"/>
      <c r="CAQ113" s="19"/>
      <c r="CAR113" s="19"/>
      <c r="CAS113" s="19"/>
      <c r="CAT113" s="19"/>
      <c r="CAU113" s="19"/>
      <c r="CAV113" s="19"/>
      <c r="CAW113" s="19"/>
      <c r="CAX113" s="19"/>
      <c r="CAY113" s="19"/>
      <c r="CAZ113" s="19"/>
      <c r="CBF113" s="640"/>
      <c r="CBG113" s="640"/>
      <c r="CBH113" s="640"/>
      <c r="CBI113" s="640"/>
      <c r="CBJ113" s="640"/>
      <c r="CBK113" s="640"/>
      <c r="CBL113" s="640"/>
      <c r="CBM113" s="640"/>
      <c r="CBN113" s="640"/>
      <c r="CBO113" s="640"/>
      <c r="CBP113" s="640"/>
      <c r="CBQ113" s="640"/>
      <c r="CBR113" s="640"/>
      <c r="CBS113" s="640"/>
      <c r="CBT113" s="640"/>
      <c r="CBU113" s="640"/>
      <c r="CBV113" s="640"/>
      <c r="CBW113" s="640"/>
      <c r="CBX113" s="640"/>
      <c r="CBY113" s="640"/>
      <c r="CBZ113" s="640"/>
      <c r="CCA113" s="640"/>
      <c r="CCB113" s="640"/>
      <c r="CCC113" s="640"/>
      <c r="CCD113" s="640"/>
      <c r="CCE113" s="640"/>
      <c r="CCF113" s="640"/>
      <c r="CCG113" s="640"/>
      <c r="CCH113" s="640"/>
      <c r="CCI113" s="640"/>
      <c r="CCJ113" s="640"/>
      <c r="CCK113" s="640"/>
      <c r="CCL113" s="640"/>
      <c r="CCM113" s="640"/>
      <c r="CCN113" s="640"/>
      <c r="CCO113" s="640"/>
      <c r="CCP113" s="640"/>
      <c r="CCQ113" s="640"/>
      <c r="CCR113" s="640"/>
      <c r="CCS113" s="640"/>
      <c r="CCT113" s="640"/>
      <c r="CCU113" s="640"/>
      <c r="CCV113" s="640"/>
      <c r="CCW113" s="640"/>
      <c r="CCX113" s="640"/>
      <c r="CCY113" s="640"/>
      <c r="CCZ113" s="640"/>
      <c r="CDA113" s="640"/>
      <c r="CDB113" s="640"/>
      <c r="CDC113" s="640"/>
      <c r="CDD113" s="640"/>
      <c r="CDE113" s="640"/>
      <c r="CDF113" s="640"/>
      <c r="CDG113" s="640"/>
      <c r="CDH113" s="640"/>
      <c r="CDI113" s="640"/>
      <c r="CDJ113" s="640"/>
      <c r="CDK113" s="640"/>
      <c r="CDL113" s="640"/>
      <c r="CDM113" s="640"/>
      <c r="CDN113" s="640"/>
      <c r="CDO113" s="640"/>
      <c r="CDP113" s="640"/>
      <c r="CDQ113" s="640"/>
      <c r="CDR113" s="640"/>
      <c r="CDS113" s="640"/>
      <c r="CDT113" s="640"/>
      <c r="CDU113" s="640"/>
      <c r="CDV113" s="640"/>
      <c r="CDW113" s="640"/>
      <c r="CDX113" s="640"/>
      <c r="CDY113" s="640"/>
      <c r="CDZ113" s="640"/>
      <c r="CEA113" s="640"/>
      <c r="CEB113" s="640"/>
      <c r="CEC113" s="640"/>
      <c r="CED113" s="640"/>
      <c r="CEE113" s="640"/>
    </row>
    <row r="114" spans="1:2220" ht="16.05" customHeight="1">
      <c r="A114" s="19" t="s">
        <v>695</v>
      </c>
      <c r="B114" s="19" t="s">
        <v>690</v>
      </c>
      <c r="C114" s="643"/>
      <c r="D114" s="428" t="str">
        <f t="shared" ca="1" si="279"/>
        <v>Nueva Zelanda</v>
      </c>
      <c r="E114" s="643" t="s">
        <v>5</v>
      </c>
      <c r="F114" s="643" t="s">
        <v>454</v>
      </c>
      <c r="G114" s="10"/>
      <c r="H114" s="10"/>
      <c r="I114" s="10"/>
      <c r="J114" s="19">
        <v>86</v>
      </c>
      <c r="K114" s="439">
        <v>46206.75</v>
      </c>
      <c r="L114" s="19" t="s">
        <v>717</v>
      </c>
      <c r="M114" s="19" t="str">
        <f t="shared" ca="1" si="281"/>
        <v>Argentina</v>
      </c>
      <c r="N114" s="19"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9"/>
      <c r="P114" s="19"/>
      <c r="Q114" s="19"/>
      <c r="R114" s="19"/>
      <c r="S114" s="19"/>
      <c r="T114" s="19"/>
      <c r="U114" s="19"/>
      <c r="V114" s="20"/>
      <c r="W114" s="671"/>
      <c r="X114" s="27">
        <f ca="1">Horarios!C114</f>
        <v>46206.833333333336</v>
      </c>
      <c r="Y114" s="28">
        <f ca="1">Horarios!C114</f>
        <v>46206.833333333336</v>
      </c>
      <c r="Z114" s="289">
        <f t="shared" si="286"/>
        <v>88</v>
      </c>
      <c r="AA114" s="96" t="str">
        <f t="shared" ca="1" si="282"/>
        <v>Paraguay</v>
      </c>
      <c r="AB114" s="97"/>
      <c r="AC114" s="100">
        <v>0</v>
      </c>
      <c r="AD114" s="100">
        <v>1</v>
      </c>
      <c r="AE114" s="97"/>
      <c r="AF114" s="99" t="str">
        <f t="shared" ca="1" si="283"/>
        <v>Nueva Zelanda</v>
      </c>
      <c r="AG114" s="339">
        <f t="shared" ca="1" si="284"/>
        <v>1</v>
      </c>
      <c r="AH114" s="204">
        <v>88</v>
      </c>
      <c r="AI114" s="191"/>
      <c r="AJ114" s="168"/>
      <c r="AK114" s="169"/>
      <c r="AL114" s="170"/>
      <c r="AM114" s="171"/>
      <c r="AN114" s="168"/>
      <c r="AO114" s="168"/>
      <c r="AP114" s="168"/>
      <c r="AQ114" s="168"/>
      <c r="AR114" s="168"/>
      <c r="AS114" s="168"/>
      <c r="AT114" s="168"/>
      <c r="AU114" s="198"/>
      <c r="AV114" s="198"/>
      <c r="AW114" s="183"/>
      <c r="AX114" s="183"/>
      <c r="AY114" s="162"/>
      <c r="AZ114" s="163"/>
      <c r="BA114" s="155"/>
    </row>
    <row r="115" spans="1:2220" ht="16.05" customHeight="1">
      <c r="A115" s="19" t="s">
        <v>698</v>
      </c>
      <c r="B115" s="19" t="s">
        <v>748</v>
      </c>
      <c r="C115" s="643"/>
      <c r="D115" s="428" t="str">
        <f t="shared" ca="1" si="279"/>
        <v>Uruguay</v>
      </c>
      <c r="E115" s="643" t="s">
        <v>456</v>
      </c>
      <c r="F115" s="643" t="s">
        <v>740</v>
      </c>
      <c r="G115" s="10"/>
      <c r="H115" s="10"/>
      <c r="I115" s="10"/>
      <c r="J115" s="19">
        <v>87</v>
      </c>
      <c r="K115" s="439">
        <v>46206.75</v>
      </c>
      <c r="L115" s="19" t="s">
        <v>718</v>
      </c>
      <c r="M115" s="19" t="str">
        <f t="shared" ca="1" si="281"/>
        <v>Colombia</v>
      </c>
      <c r="N115" s="19"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9"/>
      <c r="P115" s="19"/>
      <c r="Q115" s="19"/>
      <c r="R115" s="19"/>
      <c r="S115" s="19"/>
      <c r="T115" s="19"/>
      <c r="U115" s="19"/>
      <c r="V115" s="20"/>
      <c r="W115" s="671"/>
      <c r="X115" s="27">
        <f ca="1">Horarios!C115</f>
        <v>46207</v>
      </c>
      <c r="Y115" s="28">
        <f ca="1">Horarios!C115</f>
        <v>46207</v>
      </c>
      <c r="Z115" s="289">
        <f t="shared" si="286"/>
        <v>86</v>
      </c>
      <c r="AA115" s="96" t="str">
        <f t="shared" ca="1" si="282"/>
        <v>Argentina</v>
      </c>
      <c r="AB115" s="97"/>
      <c r="AC115" s="100">
        <v>0</v>
      </c>
      <c r="AD115" s="100">
        <v>1</v>
      </c>
      <c r="AE115" s="97"/>
      <c r="AF115" s="99" t="str">
        <f t="shared" ca="1" si="283"/>
        <v>Uruguay</v>
      </c>
      <c r="AG115" s="339">
        <f t="shared" ca="1" si="284"/>
        <v>1</v>
      </c>
      <c r="AH115" s="204">
        <v>86</v>
      </c>
      <c r="AI115" s="191"/>
      <c r="AJ115" s="170"/>
      <c r="AK115" s="172"/>
      <c r="AL115" s="161"/>
      <c r="AM115" s="170"/>
      <c r="AN115" s="170"/>
      <c r="AO115" s="170"/>
      <c r="AP115" s="170"/>
      <c r="AQ115" s="170"/>
      <c r="AR115" s="170"/>
      <c r="AS115" s="170"/>
      <c r="AT115" s="170"/>
      <c r="AU115" s="197"/>
      <c r="AV115" s="197"/>
      <c r="AW115" s="174"/>
      <c r="AX115" s="174"/>
      <c r="AY115" s="162"/>
      <c r="AZ115" s="163"/>
      <c r="BA115" s="155"/>
      <c r="BNR115" s="419"/>
      <c r="CAZ115" s="19"/>
    </row>
    <row r="116" spans="1:2220" ht="16.05" customHeight="1" thickBot="1">
      <c r="A116" s="19" t="s">
        <v>678</v>
      </c>
      <c r="B116" s="19" t="s">
        <v>687</v>
      </c>
      <c r="C116" s="643"/>
      <c r="D116" s="428" t="str">
        <f t="shared" ca="1" si="279"/>
        <v>Ghana</v>
      </c>
      <c r="E116" s="643" t="s">
        <v>75</v>
      </c>
      <c r="F116" s="643" t="s">
        <v>6</v>
      </c>
      <c r="G116" s="10"/>
      <c r="H116" s="10"/>
      <c r="I116" s="10"/>
      <c r="J116" s="19">
        <v>88</v>
      </c>
      <c r="K116" s="439">
        <v>46206.75</v>
      </c>
      <c r="L116" s="19" t="s">
        <v>719</v>
      </c>
      <c r="M116" s="19" t="str">
        <f t="shared" ca="1" si="281"/>
        <v>Paraguay</v>
      </c>
      <c r="N116" s="19"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9"/>
      <c r="P116" s="19"/>
      <c r="Q116" s="19"/>
      <c r="R116" s="19"/>
      <c r="S116" s="19"/>
      <c r="T116" s="19"/>
      <c r="U116" s="19"/>
      <c r="V116" s="20"/>
      <c r="W116" s="672"/>
      <c r="X116" s="31">
        <f ca="1">Horarios!C116</f>
        <v>46207.145833333336</v>
      </c>
      <c r="Y116" s="32">
        <f ca="1">Horarios!C116</f>
        <v>46207.145833333336</v>
      </c>
      <c r="Z116" s="290">
        <f t="shared" si="286"/>
        <v>87</v>
      </c>
      <c r="AA116" s="101" t="str">
        <f t="shared" ca="1" si="282"/>
        <v>Colombia</v>
      </c>
      <c r="AB116" s="102"/>
      <c r="AC116" s="286">
        <v>0</v>
      </c>
      <c r="AD116" s="286">
        <v>1</v>
      </c>
      <c r="AE116" s="102"/>
      <c r="AF116" s="103" t="str">
        <f t="shared" ca="1" si="283"/>
        <v>Ghana</v>
      </c>
      <c r="AG116" s="339">
        <f t="shared" ca="1" si="284"/>
        <v>1</v>
      </c>
      <c r="AH116" s="204">
        <v>87</v>
      </c>
      <c r="AI116" s="191"/>
      <c r="AJ116" s="156"/>
      <c r="AK116" s="156"/>
      <c r="AL116" s="161"/>
      <c r="AM116" s="161"/>
      <c r="AN116" s="161"/>
      <c r="AO116" s="161"/>
      <c r="AP116" s="161"/>
      <c r="AQ116" s="161"/>
      <c r="AR116" s="161"/>
      <c r="AS116" s="161"/>
      <c r="AT116" s="161"/>
      <c r="AU116" s="346"/>
      <c r="AV116" s="190"/>
      <c r="AW116" s="161"/>
      <c r="AX116" s="161"/>
      <c r="AY116" s="162"/>
      <c r="AZ116" s="163"/>
      <c r="BA116" s="155"/>
      <c r="BNR116" s="19"/>
      <c r="CAZ116" s="19"/>
      <c r="CGJ116" s="429"/>
    </row>
    <row r="117" spans="1:2220" ht="16.05" customHeight="1" thickBot="1">
      <c r="A117" s="643"/>
      <c r="B117" s="643"/>
      <c r="C117" s="643"/>
      <c r="D117" s="647"/>
      <c r="E117" s="10"/>
      <c r="F117" s="10"/>
      <c r="G117" s="10"/>
      <c r="H117" s="10"/>
      <c r="I117" s="10"/>
      <c r="J117" s="10"/>
      <c r="K117" s="10"/>
      <c r="L117" s="10"/>
      <c r="M117" s="10"/>
      <c r="N117" s="10"/>
      <c r="O117" s="10"/>
      <c r="P117" s="10"/>
      <c r="Q117" s="10"/>
      <c r="R117" s="10"/>
      <c r="S117" s="10"/>
      <c r="T117" s="10"/>
      <c r="U117" s="10"/>
      <c r="V117" s="20"/>
      <c r="W117" s="162"/>
      <c r="X117" s="163"/>
      <c r="Y117" s="162"/>
      <c r="Z117" s="164"/>
      <c r="AA117" s="165"/>
      <c r="AB117" s="166"/>
      <c r="AC117" s="159"/>
      <c r="AD117" s="159"/>
      <c r="AE117" s="166"/>
      <c r="AF117" s="167"/>
      <c r="AG117" s="338"/>
      <c r="AH117" s="204"/>
      <c r="AI117" s="191"/>
      <c r="AJ117" s="156"/>
      <c r="AK117" s="156"/>
      <c r="AL117" s="156"/>
      <c r="AM117" s="161"/>
      <c r="AN117" s="161"/>
      <c r="AO117" s="161"/>
      <c r="AP117" s="161"/>
      <c r="AQ117" s="161"/>
      <c r="AR117" s="161"/>
      <c r="AS117" s="161"/>
      <c r="AT117" s="161"/>
      <c r="AU117" s="346"/>
      <c r="AV117" s="190"/>
      <c r="AW117" s="161"/>
      <c r="AX117" s="161"/>
      <c r="AY117" s="162"/>
      <c r="AZ117" s="163"/>
      <c r="BA117" s="155"/>
      <c r="BF117" s="641" t="s">
        <v>664</v>
      </c>
      <c r="BG117" s="10" t="str">
        <f ca="1">+IFERROR(INDEX(Combinaciones!$P$2:$W$496,MATCH(1,Combinaciones!$B$2:$B$497,0),MATCH(WORLDCUP!BF117,Combinaciones!$P$1:$W$1,0)),"")</f>
        <v>3H</v>
      </c>
      <c r="BNR117" s="19"/>
      <c r="CAZ117" s="19"/>
    </row>
    <row r="118" spans="1:2220" ht="16.05" customHeight="1" thickBot="1">
      <c r="A118" s="643"/>
      <c r="B118" s="643"/>
      <c r="C118" s="643"/>
      <c r="D118" s="647"/>
      <c r="E118" s="10"/>
      <c r="F118" s="10"/>
      <c r="G118" s="10"/>
      <c r="H118" s="10"/>
      <c r="I118" s="10"/>
      <c r="J118" s="10"/>
      <c r="K118" s="10"/>
      <c r="L118" s="10"/>
      <c r="M118" s="10"/>
      <c r="N118" s="10"/>
      <c r="O118" s="10"/>
      <c r="P118" s="10"/>
      <c r="Q118" s="10"/>
      <c r="R118" s="10"/>
      <c r="S118" s="10"/>
      <c r="T118" s="10"/>
      <c r="U118" s="10"/>
      <c r="V118" s="20"/>
      <c r="W118" s="74" t="str">
        <f>Idiomas!D28</f>
        <v>Octavos de final</v>
      </c>
      <c r="X118" s="13"/>
      <c r="Y118" s="14"/>
      <c r="Z118" s="14"/>
      <c r="AA118" s="14"/>
      <c r="AB118" s="14"/>
      <c r="AC118" s="14"/>
      <c r="AD118" s="14"/>
      <c r="AE118" s="14"/>
      <c r="AF118" s="15"/>
      <c r="AG118" s="338"/>
      <c r="AH118" s="204"/>
      <c r="AI118" s="191"/>
      <c r="AJ118" s="161"/>
      <c r="AK118" s="156"/>
      <c r="AL118" s="283"/>
      <c r="AM118" s="161"/>
      <c r="AN118" s="161"/>
      <c r="AO118" s="161"/>
      <c r="AP118" s="161"/>
      <c r="AQ118" s="161"/>
      <c r="AR118" s="161"/>
      <c r="AS118" s="161"/>
      <c r="AT118" s="161"/>
      <c r="AU118" s="346"/>
      <c r="AV118" s="190"/>
      <c r="AW118" s="161"/>
      <c r="AX118" s="161"/>
      <c r="AY118" s="162"/>
      <c r="AZ118" s="163"/>
      <c r="BA118" s="184"/>
      <c r="BF118" s="641" t="s">
        <v>667</v>
      </c>
      <c r="BG118" s="10" t="str">
        <f ca="1">+IFERROR(INDEX(Combinaciones!$P$2:$W$496,MATCH(1,Combinaciones!$B$2:$B$497,0),MATCH(WORLDCUP!BF118,Combinaciones!$P$1:$W$1,0)),"")</f>
        <v>3G</v>
      </c>
    </row>
    <row r="119" spans="1:2220" ht="16.05" customHeight="1">
      <c r="A119" s="643"/>
      <c r="B119" s="643"/>
      <c r="C119" s="643"/>
      <c r="D119" s="647"/>
      <c r="E119" s="10"/>
      <c r="F119" s="10"/>
      <c r="G119" s="10"/>
      <c r="H119" s="10"/>
      <c r="I119" s="10"/>
      <c r="J119" s="10"/>
      <c r="K119" s="10"/>
      <c r="L119" s="10"/>
      <c r="M119" s="10"/>
      <c r="N119" s="10"/>
      <c r="O119" s="10"/>
      <c r="P119" s="10"/>
      <c r="Q119" s="10"/>
      <c r="R119" s="10"/>
      <c r="S119" s="10"/>
      <c r="T119" s="10"/>
      <c r="U119" s="10"/>
      <c r="V119" s="20"/>
      <c r="W119" s="9"/>
      <c r="X119" s="77" t="str">
        <f>X3</f>
        <v>Fecha</v>
      </c>
      <c r="Y119" s="77" t="str">
        <f>Y3</f>
        <v>Hora</v>
      </c>
      <c r="Z119" s="75"/>
      <c r="AA119" s="76" t="str">
        <f>AA3</f>
        <v>Casa</v>
      </c>
      <c r="AB119" s="75" t="s">
        <v>13</v>
      </c>
      <c r="AC119" s="77" t="str">
        <f>AC3</f>
        <v>Gol</v>
      </c>
      <c r="AD119" s="77" t="str">
        <f>AD3</f>
        <v>Gol</v>
      </c>
      <c r="AE119" s="75" t="s">
        <v>13</v>
      </c>
      <c r="AF119" s="78" t="str">
        <f>AF3</f>
        <v>Fuera</v>
      </c>
      <c r="AG119" s="338"/>
      <c r="AH119" s="204"/>
      <c r="AI119" s="191"/>
      <c r="AJ119" s="156"/>
      <c r="AK119" s="156"/>
      <c r="AL119" s="156"/>
      <c r="AM119" s="161"/>
      <c r="AN119" s="161"/>
      <c r="AO119" s="161"/>
      <c r="AP119" s="161"/>
      <c r="AQ119" s="161"/>
      <c r="AR119" s="161"/>
      <c r="AS119" s="161"/>
      <c r="AT119" s="161"/>
      <c r="AU119" s="346"/>
      <c r="AV119" s="190"/>
      <c r="AW119" s="161"/>
      <c r="AX119" s="161"/>
      <c r="AY119" s="162"/>
      <c r="AZ119" s="163"/>
      <c r="BA119" s="155"/>
      <c r="BF119" s="641" t="s">
        <v>677</v>
      </c>
      <c r="BG119" s="10" t="str">
        <f ca="1">+IFERROR(INDEX(Combinaciones!$P$2:$W$496,MATCH(1,Combinaciones!$B$2:$B$497,0),MATCH(WORLDCUP!BF119,Combinaciones!$P$1:$W$1,0)),"")</f>
        <v>3B</v>
      </c>
    </row>
    <row r="120" spans="1:2220" ht="16.05" customHeight="1">
      <c r="A120" s="19" t="s">
        <v>749</v>
      </c>
      <c r="B120" s="19" t="s">
        <v>750</v>
      </c>
      <c r="C120" s="643"/>
      <c r="D120" s="428" t="str">
        <f t="shared" ref="D120:D127" ca="1" si="295">IF(AND(OR(AC120="",AD120="")),"W"&amp;AH120,IF(AC120&gt;AD120,AA120,IF(AC120&lt;AD120,AF120,IF(AND(AC120=AD120,AB120=AE120),"W"&amp;AH120,IF(AND(AC120=AD120,OR(AB120="",AE120="")),"W"&amp;AH120,IF(AND(AC120=AD120,AB120&gt;AE120),AA120,AF120))))))</f>
        <v>Marruecos</v>
      </c>
      <c r="E120" s="10">
        <v>74</v>
      </c>
      <c r="F120" s="10">
        <v>77</v>
      </c>
      <c r="G120" s="10"/>
      <c r="H120" s="10"/>
      <c r="I120" s="10"/>
      <c r="J120" s="19">
        <v>89</v>
      </c>
      <c r="K120" s="439">
        <v>46207.75</v>
      </c>
      <c r="L120" s="19" t="s">
        <v>720</v>
      </c>
      <c r="M120" s="10" t="str">
        <f t="shared" ref="M120:N127" ca="1" si="296">+INDEX($D$101:$D$147,MATCH(E120,$AH$101:$AH$147,0))</f>
        <v>Alemania</v>
      </c>
      <c r="N120" s="10" t="str">
        <f t="shared" ca="1" si="296"/>
        <v>Japón</v>
      </c>
      <c r="O120" s="10"/>
      <c r="P120" s="10"/>
      <c r="Q120" s="10"/>
      <c r="R120" s="10"/>
      <c r="S120" s="10"/>
      <c r="T120" s="10"/>
      <c r="U120" s="10"/>
      <c r="V120" s="20"/>
      <c r="W120" s="673" t="s">
        <v>90</v>
      </c>
      <c r="X120" s="27">
        <f ca="1">Horarios!C120</f>
        <v>46207.791666666664</v>
      </c>
      <c r="Y120" s="28">
        <f ca="1">Horarios!C120</f>
        <v>46207.791666666664</v>
      </c>
      <c r="Z120" s="289">
        <f t="shared" ref="Z120:Z127" si="297">AH120</f>
        <v>90</v>
      </c>
      <c r="AA120" s="96" t="str">
        <f t="shared" ref="AA120:AA127" si="298">+INDEX($M$101:$M$147,MATCH(AH120,$J$101:$J$147,0))</f>
        <v>W73</v>
      </c>
      <c r="AB120" s="97"/>
      <c r="AC120" s="104">
        <v>1</v>
      </c>
      <c r="AD120" s="104">
        <v>2</v>
      </c>
      <c r="AE120" s="97"/>
      <c r="AF120" s="99" t="str">
        <f t="shared" ref="AF120:AF127" ca="1" si="299">+INDEX($N$101:$N$147,MATCH(AH120,$J$101:$J$147,0))</f>
        <v>Marruecos</v>
      </c>
      <c r="AG120" s="339">
        <f t="shared" ref="AG120:AG127" ca="1" si="300">IF(D120="W"&amp;AH120,0,1)</f>
        <v>1</v>
      </c>
      <c r="AH120" s="204">
        <v>90</v>
      </c>
      <c r="AI120" s="191"/>
      <c r="AJ120" s="156"/>
      <c r="AK120" s="156"/>
      <c r="AL120" s="218"/>
      <c r="AM120" s="161"/>
      <c r="AN120" s="161"/>
      <c r="AO120" s="161"/>
      <c r="AP120" s="161"/>
      <c r="AQ120" s="161"/>
      <c r="AR120" s="161"/>
      <c r="AS120" s="161"/>
      <c r="AT120" s="161"/>
      <c r="AU120" s="346"/>
      <c r="AV120" s="190"/>
      <c r="AW120" s="161"/>
      <c r="AX120" s="161"/>
      <c r="AY120" s="162"/>
      <c r="AZ120" s="163"/>
      <c r="BA120" s="155"/>
      <c r="BF120" s="641" t="s">
        <v>680</v>
      </c>
      <c r="BG120" s="10" t="str">
        <f ca="1">+IFERROR(INDEX(Combinaciones!$P$2:$W$496,MATCH(1,Combinaciones!$B$2:$B$497,0),MATCH(WORLDCUP!BF120,Combinaciones!$P$1:$W$1,0)),"")</f>
        <v>3C</v>
      </c>
    </row>
    <row r="121" spans="1:2220" ht="16.05" customHeight="1">
      <c r="A121" s="19" t="s">
        <v>751</v>
      </c>
      <c r="B121" s="19" t="s">
        <v>752</v>
      </c>
      <c r="C121" s="643"/>
      <c r="D121" s="428" t="str">
        <f t="shared" ca="1" si="295"/>
        <v>Alemania</v>
      </c>
      <c r="E121" s="10">
        <v>73</v>
      </c>
      <c r="F121" s="10">
        <v>75</v>
      </c>
      <c r="G121" s="10"/>
      <c r="H121" s="10"/>
      <c r="I121" s="10"/>
      <c r="J121" s="19">
        <v>90</v>
      </c>
      <c r="K121" s="439">
        <v>46207.875</v>
      </c>
      <c r="L121" s="19" t="s">
        <v>721</v>
      </c>
      <c r="M121" s="10" t="str">
        <f t="shared" si="296"/>
        <v>W73</v>
      </c>
      <c r="N121" s="10" t="str">
        <f t="shared" ca="1" si="296"/>
        <v>Marruecos</v>
      </c>
      <c r="O121" s="10"/>
      <c r="P121" s="10"/>
      <c r="Q121" s="10"/>
      <c r="R121" s="10"/>
      <c r="S121" s="10"/>
      <c r="T121" s="10"/>
      <c r="U121" s="10"/>
      <c r="V121" s="20"/>
      <c r="W121" s="673"/>
      <c r="X121" s="27">
        <f ca="1">Horarios!C121</f>
        <v>46207.958333333336</v>
      </c>
      <c r="Y121" s="28">
        <f ca="1">Horarios!C121</f>
        <v>46207.958333333336</v>
      </c>
      <c r="Z121" s="289">
        <f t="shared" si="297"/>
        <v>89</v>
      </c>
      <c r="AA121" s="96" t="str">
        <f t="shared" ca="1" si="298"/>
        <v>Alemania</v>
      </c>
      <c r="AB121" s="97"/>
      <c r="AC121" s="105">
        <v>3</v>
      </c>
      <c r="AD121" s="105">
        <v>2</v>
      </c>
      <c r="AE121" s="97"/>
      <c r="AF121" s="99" t="str">
        <f t="shared" ca="1" si="299"/>
        <v>Japón</v>
      </c>
      <c r="AG121" s="339">
        <f t="shared" ca="1" si="300"/>
        <v>1</v>
      </c>
      <c r="AH121" s="204">
        <v>89</v>
      </c>
      <c r="AI121" s="191"/>
      <c r="AJ121" s="156"/>
      <c r="AK121" s="156"/>
      <c r="AL121" s="156"/>
      <c r="AM121" s="161"/>
      <c r="AN121" s="161"/>
      <c r="AO121" s="161"/>
      <c r="AP121" s="161"/>
      <c r="AQ121" s="161"/>
      <c r="AR121" s="161"/>
      <c r="AS121" s="161"/>
      <c r="AT121" s="161"/>
      <c r="AU121" s="346"/>
      <c r="AV121" s="190"/>
      <c r="AW121" s="161"/>
      <c r="AX121" s="161"/>
      <c r="AY121" s="162"/>
      <c r="AZ121" s="163"/>
      <c r="BA121" s="155"/>
      <c r="BF121" s="641" t="s">
        <v>686</v>
      </c>
      <c r="BG121" s="10" t="str">
        <f ca="1">+IFERROR(INDEX(Combinaciones!$P$2:$W$496,MATCH(1,Combinaciones!$B$2:$B$497,0),MATCH(WORLDCUP!BF121,Combinaciones!$P$1:$W$1,0)),"")</f>
        <v>3A</v>
      </c>
    </row>
    <row r="122" spans="1:2220" ht="16.05" customHeight="1">
      <c r="A122" s="19" t="s">
        <v>753</v>
      </c>
      <c r="B122" s="19" t="s">
        <v>754</v>
      </c>
      <c r="C122" s="643"/>
      <c r="D122" s="428" t="str">
        <f t="shared" ca="1" si="295"/>
        <v>Senegal</v>
      </c>
      <c r="E122" s="10">
        <v>76</v>
      </c>
      <c r="F122" s="10">
        <v>78</v>
      </c>
      <c r="G122" s="10"/>
      <c r="H122" s="10"/>
      <c r="I122" s="10"/>
      <c r="J122" s="19">
        <v>91</v>
      </c>
      <c r="K122" s="439">
        <v>46208.75</v>
      </c>
      <c r="L122" s="19" t="s">
        <v>722</v>
      </c>
      <c r="M122" s="10" t="str">
        <f t="shared" ca="1" si="296"/>
        <v>Brasil</v>
      </c>
      <c r="N122" s="10" t="str">
        <f t="shared" ca="1" si="296"/>
        <v>Senegal</v>
      </c>
      <c r="O122" s="10"/>
      <c r="P122" s="10"/>
      <c r="Q122" s="10"/>
      <c r="R122" s="10"/>
      <c r="S122" s="10"/>
      <c r="T122" s="10"/>
      <c r="U122" s="10"/>
      <c r="V122" s="20"/>
      <c r="W122" s="673"/>
      <c r="X122" s="27">
        <f ca="1">Horarios!C122</f>
        <v>46208.916666666664</v>
      </c>
      <c r="Y122" s="28">
        <f ca="1">Horarios!C122</f>
        <v>46208.916666666664</v>
      </c>
      <c r="Z122" s="289">
        <f t="shared" si="297"/>
        <v>91</v>
      </c>
      <c r="AA122" s="96" t="str">
        <f t="shared" ca="1" si="298"/>
        <v>Brasil</v>
      </c>
      <c r="AB122" s="97">
        <v>1</v>
      </c>
      <c r="AC122" s="105">
        <v>1</v>
      </c>
      <c r="AD122" s="105">
        <v>1</v>
      </c>
      <c r="AE122" s="97">
        <v>3</v>
      </c>
      <c r="AF122" s="99" t="str">
        <f t="shared" ca="1" si="299"/>
        <v>Senegal</v>
      </c>
      <c r="AG122" s="339">
        <f t="shared" ca="1" si="300"/>
        <v>1</v>
      </c>
      <c r="AH122" s="204">
        <v>91</v>
      </c>
      <c r="AI122" s="191"/>
      <c r="AJ122" s="156"/>
      <c r="AK122" s="156"/>
      <c r="AL122" s="156"/>
      <c r="AM122" s="161"/>
      <c r="AN122" s="161"/>
      <c r="AO122" s="161"/>
      <c r="AP122" s="161"/>
      <c r="AQ122" s="161"/>
      <c r="AR122" s="161"/>
      <c r="AS122" s="161"/>
      <c r="AT122" s="161"/>
      <c r="AU122" s="346"/>
      <c r="AV122" s="190"/>
      <c r="AW122" s="161"/>
      <c r="AX122" s="161"/>
      <c r="AY122" s="162"/>
      <c r="AZ122" s="163"/>
      <c r="BA122" s="155"/>
      <c r="BF122" s="625" t="s">
        <v>692</v>
      </c>
      <c r="BG122" s="10" t="str">
        <f ca="1">+IFERROR(INDEX(Combinaciones!$P$2:$W$496,MATCH(1,Combinaciones!$B$2:$B$497,0),MATCH(WORLDCUP!BF122,Combinaciones!$P$1:$W$1,0)),"")</f>
        <v>3F</v>
      </c>
    </row>
    <row r="123" spans="1:2220" ht="16.05" customHeight="1">
      <c r="A123" s="19" t="s">
        <v>755</v>
      </c>
      <c r="B123" s="19" t="s">
        <v>756</v>
      </c>
      <c r="C123" s="643"/>
      <c r="D123" s="428" t="str">
        <f t="shared" ca="1" si="295"/>
        <v>Noruega</v>
      </c>
      <c r="E123" s="10">
        <v>79</v>
      </c>
      <c r="F123" s="10">
        <v>80</v>
      </c>
      <c r="G123" s="10"/>
      <c r="H123" s="10"/>
      <c r="I123" s="10"/>
      <c r="J123" s="19">
        <v>92</v>
      </c>
      <c r="K123" s="439">
        <v>46208.875</v>
      </c>
      <c r="L123" s="19" t="s">
        <v>723</v>
      </c>
      <c r="M123" s="10" t="str">
        <f t="shared" ca="1" si="296"/>
        <v>Arabia Saudita</v>
      </c>
      <c r="N123" s="10" t="str">
        <f t="shared" ca="1" si="296"/>
        <v>Noruega</v>
      </c>
      <c r="O123" s="10"/>
      <c r="P123" s="10"/>
      <c r="Q123" s="10"/>
      <c r="R123" s="10"/>
      <c r="S123" s="10"/>
      <c r="T123" s="10"/>
      <c r="U123" s="10"/>
      <c r="V123" s="20"/>
      <c r="W123" s="673"/>
      <c r="X123" s="27">
        <f ca="1">Horarios!C123</f>
        <v>46209.083333333336</v>
      </c>
      <c r="Y123" s="28">
        <f ca="1">Horarios!C123</f>
        <v>46209.083333333336</v>
      </c>
      <c r="Z123" s="289">
        <f t="shared" si="297"/>
        <v>92</v>
      </c>
      <c r="AA123" s="96" t="str">
        <f t="shared" ca="1" si="298"/>
        <v>Arabia Saudita</v>
      </c>
      <c r="AB123" s="97"/>
      <c r="AC123" s="105">
        <v>1</v>
      </c>
      <c r="AD123" s="105">
        <v>2</v>
      </c>
      <c r="AE123" s="97"/>
      <c r="AF123" s="99" t="str">
        <f t="shared" ca="1" si="299"/>
        <v>Noruega</v>
      </c>
      <c r="AG123" s="339">
        <f t="shared" ca="1" si="300"/>
        <v>1</v>
      </c>
      <c r="AH123" s="204">
        <v>92</v>
      </c>
      <c r="AI123" s="191"/>
      <c r="AJ123" s="156"/>
      <c r="AK123" s="156"/>
      <c r="AL123" s="156"/>
      <c r="AM123" s="161"/>
      <c r="AN123" s="161"/>
      <c r="AO123" s="161"/>
      <c r="AP123" s="161"/>
      <c r="AQ123" s="161"/>
      <c r="AR123" s="161"/>
      <c r="AS123" s="161"/>
      <c r="AT123" s="161"/>
      <c r="AU123" s="346"/>
      <c r="AV123" s="190"/>
      <c r="AW123" s="161"/>
      <c r="AX123" s="161"/>
      <c r="AY123" s="162"/>
      <c r="AZ123" s="163"/>
      <c r="BA123" s="155"/>
      <c r="BF123" s="625" t="s">
        <v>698</v>
      </c>
      <c r="BG123" s="10" t="str">
        <f ca="1">+IFERROR(INDEX(Combinaciones!$P$2:$W$496,MATCH(1,Combinaciones!$B$2:$B$497,0),MATCH(WORLDCUP!BF123,Combinaciones!$P$1:$W$1,0)),"")</f>
        <v>3L</v>
      </c>
    </row>
    <row r="124" spans="1:2220" ht="16.05" customHeight="1">
      <c r="A124" s="19" t="s">
        <v>757</v>
      </c>
      <c r="B124" s="19" t="s">
        <v>758</v>
      </c>
      <c r="C124" s="643"/>
      <c r="D124" s="428" t="str">
        <f t="shared" ca="1" si="295"/>
        <v>Croacia</v>
      </c>
      <c r="E124" s="10">
        <v>83</v>
      </c>
      <c r="F124" s="10">
        <v>84</v>
      </c>
      <c r="G124" s="10"/>
      <c r="H124" s="10"/>
      <c r="I124" s="10"/>
      <c r="J124" s="19">
        <v>93</v>
      </c>
      <c r="K124" s="439">
        <v>46209.75</v>
      </c>
      <c r="L124" s="19" t="s">
        <v>724</v>
      </c>
      <c r="M124" s="10" t="str">
        <f t="shared" ca="1" si="296"/>
        <v>Croacia</v>
      </c>
      <c r="N124" s="10" t="str">
        <f t="shared" ca="1" si="296"/>
        <v>Austria</v>
      </c>
      <c r="O124" s="10"/>
      <c r="P124" s="10"/>
      <c r="Q124" s="10"/>
      <c r="R124" s="10"/>
      <c r="S124" s="10"/>
      <c r="T124" s="10"/>
      <c r="U124" s="10"/>
      <c r="V124" s="20"/>
      <c r="W124" s="673"/>
      <c r="X124" s="27">
        <f ca="1">Horarios!C124</f>
        <v>46209.875</v>
      </c>
      <c r="Y124" s="28">
        <f ca="1">Horarios!C124</f>
        <v>46209.875</v>
      </c>
      <c r="Z124" s="289">
        <f t="shared" si="297"/>
        <v>93</v>
      </c>
      <c r="AA124" s="96" t="str">
        <f t="shared" ca="1" si="298"/>
        <v>Croacia</v>
      </c>
      <c r="AB124" s="106"/>
      <c r="AC124" s="105">
        <v>3</v>
      </c>
      <c r="AD124" s="105">
        <v>1</v>
      </c>
      <c r="AE124" s="98"/>
      <c r="AF124" s="99" t="str">
        <f t="shared" ca="1" si="299"/>
        <v>Austria</v>
      </c>
      <c r="AG124" s="339">
        <f t="shared" ca="1" si="300"/>
        <v>1</v>
      </c>
      <c r="AH124" s="204">
        <v>93</v>
      </c>
      <c r="AI124" s="191"/>
      <c r="AJ124" s="156"/>
      <c r="AK124" s="156"/>
      <c r="AL124" s="156"/>
      <c r="AM124" s="161"/>
      <c r="AN124" s="161"/>
      <c r="AO124" s="161"/>
      <c r="AP124" s="161"/>
      <c r="AQ124" s="161"/>
      <c r="AR124" s="161"/>
      <c r="AS124" s="161"/>
      <c r="AT124" s="161"/>
      <c r="AU124" s="346"/>
      <c r="AV124" s="190"/>
      <c r="AW124" s="161"/>
      <c r="AX124" s="161"/>
      <c r="AY124" s="162"/>
      <c r="AZ124" s="163"/>
      <c r="BA124" s="155"/>
      <c r="BF124" s="625" t="s">
        <v>701</v>
      </c>
      <c r="BG124" s="10" t="str">
        <f ca="1">+IFERROR(INDEX(Combinaciones!$P$2:$W$496,MATCH(1,Combinaciones!$B$2:$B$497,0),MATCH(WORLDCUP!BF124,Combinaciones!$P$1:$W$1,0)),"")</f>
        <v>3I</v>
      </c>
    </row>
    <row r="125" spans="1:2220" ht="16.05" customHeight="1">
      <c r="A125" s="19" t="s">
        <v>759</v>
      </c>
      <c r="B125" s="19" t="s">
        <v>760</v>
      </c>
      <c r="C125" s="643"/>
      <c r="D125" s="428" t="str">
        <f t="shared" ca="1" si="295"/>
        <v>PO D: DEN/MKD/CZE/IRL</v>
      </c>
      <c r="E125" s="10">
        <v>81</v>
      </c>
      <c r="F125" s="10">
        <v>82</v>
      </c>
      <c r="G125" s="10"/>
      <c r="H125" s="10"/>
      <c r="I125" s="10"/>
      <c r="J125" s="19">
        <v>94</v>
      </c>
      <c r="K125" s="439">
        <v>46209.875</v>
      </c>
      <c r="L125" s="19" t="s">
        <v>725</v>
      </c>
      <c r="M125" s="10" t="str">
        <f t="shared" ca="1" si="296"/>
        <v>Catar</v>
      </c>
      <c r="N125" s="10" t="str">
        <f t="shared" ca="1" si="296"/>
        <v>PO D: DEN/MKD/CZE/IRL</v>
      </c>
      <c r="O125" s="10"/>
      <c r="P125" s="10"/>
      <c r="Q125" s="10"/>
      <c r="R125" s="10"/>
      <c r="S125" s="10"/>
      <c r="T125" s="10"/>
      <c r="U125" s="10"/>
      <c r="V125" s="20"/>
      <c r="W125" s="673"/>
      <c r="X125" s="27">
        <f ca="1">Horarios!C125</f>
        <v>46210.083333333336</v>
      </c>
      <c r="Y125" s="28">
        <f ca="1">Horarios!C125</f>
        <v>46210.083333333336</v>
      </c>
      <c r="Z125" s="289">
        <f t="shared" si="297"/>
        <v>94</v>
      </c>
      <c r="AA125" s="96" t="str">
        <f t="shared" ca="1" si="298"/>
        <v>Catar</v>
      </c>
      <c r="AB125" s="97"/>
      <c r="AC125" s="107">
        <v>1</v>
      </c>
      <c r="AD125" s="107">
        <v>2</v>
      </c>
      <c r="AE125" s="97"/>
      <c r="AF125" s="99" t="str">
        <f t="shared" ca="1" si="299"/>
        <v>PO D: DEN/MKD/CZE/IRL</v>
      </c>
      <c r="AG125" s="339">
        <f t="shared" ca="1" si="300"/>
        <v>1</v>
      </c>
      <c r="AH125" s="204">
        <v>94</v>
      </c>
      <c r="AI125" s="191"/>
      <c r="AJ125" s="156"/>
      <c r="AK125" s="156"/>
      <c r="AL125" s="156"/>
      <c r="AM125" s="161"/>
      <c r="AN125" s="161"/>
      <c r="AO125" s="161"/>
      <c r="AP125" s="161"/>
      <c r="AQ125" s="161"/>
      <c r="AR125" s="161"/>
      <c r="AS125" s="161"/>
      <c r="AT125" s="161"/>
      <c r="AU125" s="346"/>
      <c r="AV125" s="190"/>
      <c r="AW125" s="161"/>
      <c r="AX125" s="161"/>
      <c r="AY125" s="162"/>
      <c r="AZ125" s="163"/>
      <c r="BA125" s="155"/>
    </row>
    <row r="126" spans="1:2220" ht="16.05" customHeight="1">
      <c r="A126" s="19" t="s">
        <v>761</v>
      </c>
      <c r="B126" s="19" t="s">
        <v>762</v>
      </c>
      <c r="C126" s="643"/>
      <c r="D126" s="428" t="str">
        <f t="shared" ca="1" si="295"/>
        <v>Nueva Zelanda</v>
      </c>
      <c r="E126" s="10">
        <v>86</v>
      </c>
      <c r="F126" s="10">
        <v>88</v>
      </c>
      <c r="G126" s="10"/>
      <c r="H126" s="10"/>
      <c r="I126" s="10"/>
      <c r="J126" s="19">
        <v>95</v>
      </c>
      <c r="K126" s="439">
        <v>46210.75</v>
      </c>
      <c r="L126" s="19" t="s">
        <v>726</v>
      </c>
      <c r="M126" s="10" t="str">
        <f t="shared" ca="1" si="296"/>
        <v>Uruguay</v>
      </c>
      <c r="N126" s="10" t="str">
        <f t="shared" ca="1" si="296"/>
        <v>Nueva Zelanda</v>
      </c>
      <c r="O126" s="10"/>
      <c r="P126" s="10"/>
      <c r="Q126" s="10"/>
      <c r="R126" s="10"/>
      <c r="S126" s="10"/>
      <c r="T126" s="10"/>
      <c r="U126" s="10"/>
      <c r="V126" s="20"/>
      <c r="W126" s="673"/>
      <c r="X126" s="27">
        <f ca="1">Horarios!C126</f>
        <v>46210.75</v>
      </c>
      <c r="Y126" s="28">
        <f ca="1">Horarios!C126</f>
        <v>46210.75</v>
      </c>
      <c r="Z126" s="289">
        <f t="shared" si="297"/>
        <v>95</v>
      </c>
      <c r="AA126" s="96" t="str">
        <f t="shared" ca="1" si="298"/>
        <v>Uruguay</v>
      </c>
      <c r="AB126" s="97">
        <v>4</v>
      </c>
      <c r="AC126" s="107">
        <v>2</v>
      </c>
      <c r="AD126" s="107">
        <v>2</v>
      </c>
      <c r="AE126" s="97">
        <v>6</v>
      </c>
      <c r="AF126" s="99" t="str">
        <f t="shared" ca="1" si="299"/>
        <v>Nueva Zelanda</v>
      </c>
      <c r="AG126" s="339">
        <f t="shared" ca="1" si="300"/>
        <v>1</v>
      </c>
      <c r="AH126" s="204">
        <v>95</v>
      </c>
      <c r="AI126" s="191"/>
      <c r="AJ126" s="156"/>
      <c r="AK126" s="156"/>
      <c r="AL126" s="156"/>
      <c r="AM126" s="161"/>
      <c r="AN126" s="161"/>
      <c r="AO126" s="161"/>
      <c r="AP126" s="161"/>
      <c r="AQ126" s="161"/>
      <c r="AR126" s="161"/>
      <c r="AS126" s="161"/>
      <c r="AT126" s="161"/>
      <c r="AU126" s="346"/>
      <c r="AV126" s="190"/>
      <c r="AW126" s="161"/>
      <c r="AX126" s="161"/>
      <c r="AY126" s="162"/>
      <c r="AZ126" s="163"/>
      <c r="BA126" s="155"/>
    </row>
    <row r="127" spans="1:2220" ht="16.05" customHeight="1" thickBot="1">
      <c r="A127" s="19" t="s">
        <v>763</v>
      </c>
      <c r="B127" s="19" t="s">
        <v>764</v>
      </c>
      <c r="C127" s="643"/>
      <c r="D127" s="428" t="str">
        <f t="shared" ca="1" si="295"/>
        <v>Ghana</v>
      </c>
      <c r="E127" s="10">
        <v>85</v>
      </c>
      <c r="F127" s="10">
        <v>87</v>
      </c>
      <c r="G127" s="10"/>
      <c r="H127" s="10"/>
      <c r="I127" s="10"/>
      <c r="J127" s="19">
        <v>96</v>
      </c>
      <c r="K127" s="439">
        <v>46210.875</v>
      </c>
      <c r="L127" s="19" t="s">
        <v>727</v>
      </c>
      <c r="M127" s="10" t="str">
        <f t="shared" ca="1" si="296"/>
        <v>Egipto</v>
      </c>
      <c r="N127" s="10" t="str">
        <f t="shared" ca="1" si="296"/>
        <v>Ghana</v>
      </c>
      <c r="O127" s="10"/>
      <c r="P127" s="10"/>
      <c r="Q127" s="10"/>
      <c r="R127" s="10"/>
      <c r="S127" s="10"/>
      <c r="T127" s="10"/>
      <c r="U127" s="10"/>
      <c r="V127" s="20"/>
      <c r="W127" s="674"/>
      <c r="X127" s="31">
        <f ca="1">Horarios!C127</f>
        <v>46210.916666666664</v>
      </c>
      <c r="Y127" s="32">
        <f ca="1">Horarios!C127</f>
        <v>46210.916666666664</v>
      </c>
      <c r="Z127" s="290">
        <f t="shared" si="297"/>
        <v>96</v>
      </c>
      <c r="AA127" s="101" t="str">
        <f t="shared" ca="1" si="298"/>
        <v>Egipto</v>
      </c>
      <c r="AB127" s="102"/>
      <c r="AC127" s="108">
        <v>2</v>
      </c>
      <c r="AD127" s="108">
        <v>3</v>
      </c>
      <c r="AE127" s="102"/>
      <c r="AF127" s="103" t="str">
        <f t="shared" ca="1" si="299"/>
        <v>Ghana</v>
      </c>
      <c r="AG127" s="339">
        <f t="shared" ca="1" si="300"/>
        <v>1</v>
      </c>
      <c r="AH127" s="204">
        <v>96</v>
      </c>
      <c r="AI127" s="191"/>
      <c r="AJ127" s="156"/>
      <c r="AK127" s="156"/>
      <c r="AL127" s="156"/>
      <c r="AM127" s="161"/>
      <c r="AN127" s="161"/>
      <c r="AO127" s="161"/>
      <c r="AP127" s="161"/>
      <c r="AQ127" s="161"/>
      <c r="AR127" s="161"/>
      <c r="AS127" s="161"/>
      <c r="AT127" s="161"/>
      <c r="AU127" s="346"/>
      <c r="AV127" s="190"/>
      <c r="AW127" s="161"/>
      <c r="AX127" s="161"/>
      <c r="AY127" s="162"/>
      <c r="AZ127" s="163"/>
      <c r="BA127" s="155"/>
    </row>
    <row r="128" spans="1:2220" ht="16.05" customHeight="1" thickBot="1">
      <c r="A128" s="643"/>
      <c r="B128" s="643"/>
      <c r="C128" s="643"/>
      <c r="D128" s="428"/>
      <c r="E128" s="10"/>
      <c r="F128" s="10"/>
      <c r="G128" s="10"/>
      <c r="H128" s="10"/>
      <c r="I128" s="10"/>
      <c r="J128" s="10"/>
      <c r="K128" s="10"/>
      <c r="L128" s="10"/>
      <c r="M128" s="10"/>
      <c r="N128" s="10"/>
      <c r="O128" s="10"/>
      <c r="P128" s="10"/>
      <c r="Q128" s="10"/>
      <c r="R128" s="10"/>
      <c r="S128" s="10"/>
      <c r="T128" s="10"/>
      <c r="U128" s="10"/>
      <c r="V128" s="20"/>
      <c r="W128" s="162"/>
      <c r="X128" s="163"/>
      <c r="Y128" s="162"/>
      <c r="Z128" s="164"/>
      <c r="AA128" s="165"/>
      <c r="AB128" s="166"/>
      <c r="AC128" s="159"/>
      <c r="AD128" s="159"/>
      <c r="AE128" s="166"/>
      <c r="AF128" s="167"/>
      <c r="AG128" s="338"/>
      <c r="AH128" s="204"/>
      <c r="AI128" s="191"/>
      <c r="AJ128" s="156"/>
      <c r="AK128" s="156"/>
      <c r="AL128" s="156"/>
      <c r="AM128" s="161"/>
      <c r="AN128" s="161"/>
      <c r="AO128" s="161"/>
      <c r="AP128" s="161"/>
      <c r="AQ128" s="161"/>
      <c r="AR128" s="161"/>
      <c r="AS128" s="161"/>
      <c r="AT128" s="161"/>
      <c r="AU128" s="346"/>
      <c r="AV128" s="190"/>
      <c r="AW128" s="161"/>
      <c r="AX128" s="161"/>
      <c r="AY128" s="162"/>
      <c r="AZ128" s="163"/>
      <c r="BA128" s="155"/>
    </row>
    <row r="129" spans="1:824 1038:1325 2220:2220" ht="16.05" customHeight="1" thickBot="1">
      <c r="A129" s="643"/>
      <c r="B129" s="643"/>
      <c r="C129" s="643"/>
      <c r="D129" s="428"/>
      <c r="E129" s="10"/>
      <c r="F129" s="10"/>
      <c r="G129" s="10"/>
      <c r="H129" s="10"/>
      <c r="I129" s="10"/>
      <c r="J129" s="10"/>
      <c r="K129" s="10"/>
      <c r="L129" s="10"/>
      <c r="M129" s="10"/>
      <c r="N129" s="10"/>
      <c r="O129" s="10"/>
      <c r="P129" s="10"/>
      <c r="Q129" s="10"/>
      <c r="R129" s="10"/>
      <c r="S129" s="10"/>
      <c r="T129" s="10"/>
      <c r="U129" s="10"/>
      <c r="V129" s="20"/>
      <c r="W129" s="74" t="str">
        <f>Idiomas!D29</f>
        <v>Cuartos de final</v>
      </c>
      <c r="X129" s="13"/>
      <c r="Y129" s="14"/>
      <c r="Z129" s="14"/>
      <c r="AA129" s="14"/>
      <c r="AB129" s="14"/>
      <c r="AC129" s="14"/>
      <c r="AD129" s="14"/>
      <c r="AE129" s="14"/>
      <c r="AF129" s="15"/>
      <c r="AG129" s="336"/>
      <c r="AH129" s="190"/>
      <c r="AI129" s="191"/>
      <c r="AJ129" s="156"/>
      <c r="AK129" s="156"/>
      <c r="AL129" s="156"/>
      <c r="AM129" s="161"/>
      <c r="AN129" s="161"/>
      <c r="AO129" s="161"/>
      <c r="AP129" s="161"/>
      <c r="AQ129" s="161"/>
      <c r="AR129" s="161"/>
      <c r="AS129" s="161"/>
      <c r="AT129" s="161"/>
      <c r="AU129" s="346"/>
      <c r="AV129" s="190"/>
      <c r="AW129" s="161"/>
      <c r="AX129" s="161"/>
      <c r="AY129" s="162"/>
      <c r="AZ129" s="163"/>
      <c r="BA129" s="155"/>
    </row>
    <row r="130" spans="1:824 1038:1325 2220:2220" ht="16.05" customHeight="1">
      <c r="A130" s="643"/>
      <c r="B130" s="643"/>
      <c r="C130" s="643"/>
      <c r="D130" s="428"/>
      <c r="E130" s="10"/>
      <c r="F130" s="10"/>
      <c r="G130" s="10"/>
      <c r="H130" s="10"/>
      <c r="I130" s="10"/>
      <c r="J130" s="10"/>
      <c r="K130" s="10"/>
      <c r="L130" s="10"/>
      <c r="M130" s="10"/>
      <c r="N130" s="10"/>
      <c r="O130" s="10"/>
      <c r="P130" s="10"/>
      <c r="Q130" s="10"/>
      <c r="R130" s="10"/>
      <c r="S130" s="10"/>
      <c r="T130" s="10"/>
      <c r="U130" s="10"/>
      <c r="V130" s="20"/>
      <c r="W130" s="9"/>
      <c r="X130" s="77" t="str">
        <f>X3</f>
        <v>Fecha</v>
      </c>
      <c r="Y130" s="77" t="str">
        <f>Y3</f>
        <v>Hora</v>
      </c>
      <c r="Z130" s="75"/>
      <c r="AA130" s="76" t="str">
        <f>AA3</f>
        <v>Casa</v>
      </c>
      <c r="AB130" s="75" t="s">
        <v>13</v>
      </c>
      <c r="AC130" s="77" t="str">
        <f>AC3</f>
        <v>Gol</v>
      </c>
      <c r="AD130" s="77" t="str">
        <f>AD3</f>
        <v>Gol</v>
      </c>
      <c r="AE130" s="75" t="s">
        <v>13</v>
      </c>
      <c r="AF130" s="78" t="str">
        <f>AF3</f>
        <v>Fuera</v>
      </c>
      <c r="AG130" s="336"/>
      <c r="AH130" s="190"/>
      <c r="AI130" s="191"/>
      <c r="AJ130" s="156"/>
      <c r="AK130" s="156"/>
      <c r="AL130" s="156"/>
      <c r="AM130" s="161"/>
      <c r="AN130" s="161"/>
      <c r="AO130" s="161"/>
      <c r="AP130" s="161"/>
      <c r="AQ130" s="161"/>
      <c r="AR130" s="161"/>
      <c r="AS130" s="161"/>
      <c r="AT130" s="161"/>
      <c r="AU130" s="346"/>
      <c r="AV130" s="190"/>
      <c r="AW130" s="161"/>
      <c r="AX130" s="161"/>
      <c r="AY130" s="162"/>
      <c r="AZ130" s="163"/>
      <c r="BA130" s="155"/>
      <c r="UM130" s="19"/>
      <c r="AEP130" s="19"/>
      <c r="AEQ130" s="19"/>
      <c r="AER130" s="19"/>
      <c r="CGJ130" s="429"/>
    </row>
    <row r="131" spans="1:824 1038:1325 2220:2220" ht="16.05" customHeight="1">
      <c r="A131" s="19" t="s">
        <v>765</v>
      </c>
      <c r="B131" s="19" t="s">
        <v>766</v>
      </c>
      <c r="C131" s="643"/>
      <c r="D131" s="428" t="str">
        <f ca="1">IF(AND(OR(AC131="",AD131="")),"W"&amp;AH131,IF(AC131&gt;AD131,AA131,IF(AC131&lt;AD131,AF131,IF(AND(AC131=AD131,AB131=AE131),"W"&amp;AH131,IF(AND(AC131=AD131,OR(AB131="",AE131="")),"W"&amp;AH131,IF(AND(AC131=AD131,AB131&gt;AE131),AA131,AF131))))))</f>
        <v>Alemania</v>
      </c>
      <c r="E131" s="10">
        <v>89</v>
      </c>
      <c r="F131" s="10">
        <v>90</v>
      </c>
      <c r="G131" s="10"/>
      <c r="H131" s="10"/>
      <c r="I131" s="10"/>
      <c r="J131" s="19">
        <v>97</v>
      </c>
      <c r="K131" s="439">
        <v>46212.75</v>
      </c>
      <c r="L131" s="19" t="s">
        <v>728</v>
      </c>
      <c r="M131" s="10" t="str">
        <f t="shared" ref="M131:N134" ca="1" si="301">+INDEX($D$101:$D$147,MATCH(E131,$AH$101:$AH$147,0))</f>
        <v>Alemania</v>
      </c>
      <c r="N131" s="10" t="str">
        <f t="shared" ca="1" si="301"/>
        <v>Marruecos</v>
      </c>
      <c r="O131" s="10"/>
      <c r="P131" s="10"/>
      <c r="Q131" s="10"/>
      <c r="R131" s="10"/>
      <c r="S131" s="10"/>
      <c r="T131" s="10"/>
      <c r="U131" s="10"/>
      <c r="V131" s="20"/>
      <c r="W131" s="675" t="s">
        <v>36</v>
      </c>
      <c r="X131" s="27">
        <f ca="1">Horarios!C131</f>
        <v>46212.916666666664</v>
      </c>
      <c r="Y131" s="28">
        <f ca="1">Horarios!C131</f>
        <v>46212.916666666664</v>
      </c>
      <c r="Z131" s="291">
        <f t="shared" ref="Z131:Z134" si="302">AH131</f>
        <v>97</v>
      </c>
      <c r="AA131" s="96" t="str">
        <f t="shared" ref="AA131:AA134" ca="1" si="303">+INDEX($M$101:$M$147,MATCH(AH131,$J$101:$J$147,0))</f>
        <v>Alemania</v>
      </c>
      <c r="AB131" s="106"/>
      <c r="AC131" s="104">
        <v>2</v>
      </c>
      <c r="AD131" s="104">
        <v>1</v>
      </c>
      <c r="AE131" s="98"/>
      <c r="AF131" s="124" t="str">
        <f ca="1">+INDEX($N$101:$N$147,MATCH(AH131,$J$101:$J$147,0))</f>
        <v>Marruecos</v>
      </c>
      <c r="AG131" s="339">
        <f ca="1">IF(D131="W"&amp;AH131,0,1)</f>
        <v>1</v>
      </c>
      <c r="AH131" s="205">
        <v>97</v>
      </c>
      <c r="AI131" s="191"/>
      <c r="AJ131" s="156"/>
      <c r="AK131" s="156"/>
      <c r="AL131" s="156"/>
      <c r="AM131" s="161"/>
      <c r="AN131" s="161"/>
      <c r="AO131" s="161"/>
      <c r="AP131" s="161"/>
      <c r="AQ131" s="161"/>
      <c r="AR131" s="161"/>
      <c r="AS131" s="161"/>
      <c r="AT131" s="161"/>
      <c r="AU131" s="346"/>
      <c r="AV131" s="190"/>
      <c r="AW131" s="161"/>
      <c r="AX131" s="161"/>
      <c r="AY131" s="162"/>
      <c r="AZ131" s="163"/>
      <c r="BA131" s="184"/>
      <c r="BC131" s="428"/>
      <c r="LF131" s="19"/>
      <c r="LG131" s="19"/>
      <c r="LH131" s="19"/>
      <c r="LI131" s="19"/>
      <c r="LJ131" s="19"/>
      <c r="LK131" s="19"/>
      <c r="LL131" s="19"/>
      <c r="LM131" s="19"/>
      <c r="LN131" s="19"/>
      <c r="LO131" s="19"/>
      <c r="LP131" s="19"/>
      <c r="LQ131" s="19"/>
      <c r="LR131" s="19"/>
      <c r="LS131" s="19"/>
      <c r="LT131" s="19"/>
      <c r="LU131" s="19"/>
      <c r="LV131" s="19"/>
      <c r="LW131" s="19"/>
      <c r="LX131" s="19"/>
      <c r="LY131" s="19"/>
      <c r="LZ131" s="19"/>
      <c r="MA131" s="19"/>
      <c r="MB131" s="19"/>
      <c r="MC131" s="19"/>
      <c r="MD131" s="19"/>
      <c r="ME131" s="19"/>
      <c r="MF131" s="19"/>
      <c r="MG131" s="19"/>
      <c r="MH131" s="19"/>
      <c r="MI131" s="19"/>
      <c r="MJ131" s="19"/>
      <c r="MK131" s="19"/>
      <c r="ML131" s="19"/>
      <c r="MM131" s="19"/>
      <c r="MN131" s="19"/>
      <c r="MO131" s="19"/>
      <c r="MP131" s="19"/>
      <c r="MQ131" s="19"/>
      <c r="MR131" s="19"/>
      <c r="MS131" s="19"/>
      <c r="MT131" s="19"/>
      <c r="MU131" s="19"/>
      <c r="MV131" s="19"/>
      <c r="MW131" s="19"/>
      <c r="MX131" s="19"/>
      <c r="MY131" s="19"/>
      <c r="MZ131" s="19"/>
      <c r="NA131" s="19"/>
      <c r="NB131" s="19"/>
      <c r="NC131" s="19"/>
      <c r="ND131" s="19"/>
      <c r="NE131" s="19"/>
      <c r="NF131" s="19"/>
      <c r="NG131" s="19"/>
      <c r="NH131" s="19"/>
      <c r="NI131" s="19"/>
      <c r="NJ131" s="19"/>
      <c r="NK131" s="19"/>
      <c r="NL131" s="19"/>
      <c r="NM131" s="19"/>
      <c r="NN131" s="19"/>
      <c r="NO131" s="19"/>
      <c r="NP131" s="19"/>
      <c r="NQ131" s="19"/>
      <c r="NR131" s="19"/>
      <c r="NS131" s="19"/>
      <c r="NT131" s="19"/>
      <c r="NU131" s="19"/>
      <c r="NV131" s="19"/>
      <c r="NW131" s="19"/>
      <c r="NX131" s="19"/>
      <c r="NY131" s="19"/>
      <c r="NZ131" s="19"/>
      <c r="OA131" s="19"/>
      <c r="OB131" s="19"/>
      <c r="OC131" s="19"/>
      <c r="OD131" s="19"/>
      <c r="OE131" s="19"/>
      <c r="OF131" s="19"/>
      <c r="OG131" s="19"/>
      <c r="OH131" s="19"/>
      <c r="OI131" s="19"/>
      <c r="OJ131" s="19"/>
      <c r="OK131" s="19"/>
      <c r="OL131" s="19"/>
      <c r="OM131" s="19"/>
      <c r="ON131" s="19"/>
      <c r="OO131" s="19"/>
      <c r="OP131" s="19"/>
      <c r="OQ131" s="19"/>
      <c r="OR131" s="19"/>
      <c r="OS131" s="19"/>
      <c r="OT131" s="19"/>
      <c r="OU131" s="19"/>
      <c r="OV131" s="19"/>
      <c r="OW131" s="19"/>
      <c r="OX131" s="19"/>
      <c r="OY131" s="19"/>
      <c r="OZ131" s="19"/>
      <c r="PA131" s="19"/>
      <c r="PB131" s="19"/>
      <c r="PC131" s="19"/>
      <c r="PD131" s="19"/>
      <c r="PE131" s="19"/>
      <c r="PF131" s="19"/>
      <c r="PG131" s="19"/>
      <c r="PH131" s="19"/>
      <c r="PI131" s="19"/>
      <c r="PJ131" s="19"/>
      <c r="PK131" s="19"/>
      <c r="PL131" s="19"/>
      <c r="PM131" s="19"/>
      <c r="PN131" s="19"/>
      <c r="PO131" s="19"/>
      <c r="PP131" s="19"/>
      <c r="PQ131" s="19"/>
      <c r="PR131" s="19"/>
      <c r="PS131" s="19"/>
      <c r="PT131" s="19"/>
      <c r="PU131" s="19"/>
      <c r="PV131" s="19"/>
      <c r="PW131" s="19"/>
      <c r="PX131" s="19"/>
      <c r="PY131" s="19"/>
      <c r="PZ131" s="19"/>
      <c r="QA131" s="19"/>
      <c r="QB131" s="19"/>
      <c r="QC131" s="19"/>
      <c r="QD131" s="19"/>
      <c r="QE131" s="19"/>
      <c r="QF131" s="19"/>
      <c r="QG131" s="19"/>
      <c r="QH131" s="19"/>
      <c r="QI131" s="19"/>
      <c r="QJ131" s="19"/>
      <c r="QK131" s="19"/>
      <c r="QL131" s="19"/>
      <c r="QM131" s="19"/>
      <c r="QN131" s="19"/>
      <c r="QO131" s="19"/>
      <c r="QP131" s="19"/>
      <c r="QQ131" s="19"/>
      <c r="QR131" s="19"/>
      <c r="QS131" s="19"/>
      <c r="QT131" s="19"/>
      <c r="QU131" s="19"/>
      <c r="QV131" s="19"/>
      <c r="QW131" s="19"/>
      <c r="QX131" s="19"/>
      <c r="QY131" s="19"/>
      <c r="QZ131" s="19"/>
      <c r="RA131" s="19"/>
      <c r="RB131" s="19"/>
      <c r="RC131" s="19"/>
      <c r="RD131" s="19"/>
      <c r="RE131" s="19"/>
      <c r="RF131" s="19"/>
      <c r="RG131" s="19"/>
      <c r="RH131" s="19"/>
      <c r="RI131" s="19"/>
      <c r="RJ131" s="19"/>
      <c r="RK131" s="19"/>
      <c r="RL131" s="19"/>
      <c r="RM131" s="19"/>
      <c r="RN131" s="19"/>
      <c r="RO131" s="19"/>
      <c r="RP131" s="19"/>
      <c r="RQ131" s="19"/>
      <c r="RR131" s="19"/>
      <c r="RS131" s="19"/>
      <c r="RT131" s="19"/>
      <c r="RU131" s="19"/>
      <c r="RV131" s="19"/>
      <c r="RW131" s="19"/>
      <c r="RX131" s="19"/>
      <c r="RY131" s="19"/>
      <c r="RZ131" s="19"/>
      <c r="SA131" s="19"/>
      <c r="SB131" s="19"/>
      <c r="SC131" s="19"/>
      <c r="UM131" s="19"/>
      <c r="ACH131" s="19"/>
      <c r="ACO131" s="19"/>
      <c r="ACV131" s="19"/>
      <c r="AEB131" s="19"/>
      <c r="AEC131" s="19"/>
      <c r="AED131" s="19"/>
      <c r="AEE131" s="19"/>
      <c r="AEF131" s="19"/>
      <c r="AEG131" s="19"/>
      <c r="AEH131" s="19"/>
      <c r="AEP131" s="19"/>
      <c r="AEQ131" s="19"/>
      <c r="AER131" s="19"/>
      <c r="AMX131" s="19"/>
      <c r="AUC131" s="19"/>
      <c r="AVU131" s="19"/>
      <c r="CGJ131" s="429"/>
    </row>
    <row r="132" spans="1:824 1038:1325 2220:2220" ht="16.05" customHeight="1">
      <c r="A132" s="19" t="s">
        <v>767</v>
      </c>
      <c r="B132" s="19" t="s">
        <v>768</v>
      </c>
      <c r="C132" s="643"/>
      <c r="D132" s="428" t="str">
        <f ca="1">IF(AND(OR(AC132="",AD132="")),"W"&amp;AH132,IF(AC132&gt;AD132,AA132,IF(AC132&lt;AD132,AF132,IF(AND(AC132=AD132,AB132=AE132),"W"&amp;AH132,IF(AND(AC132=AD132,OR(AB132="",AE132="")),"W"&amp;AH132,IF(AND(AC132=AD132,AB132&gt;AE132),AA132,AF132))))))</f>
        <v>PO D: DEN/MKD/CZE/IRL</v>
      </c>
      <c r="E132" s="10">
        <v>93</v>
      </c>
      <c r="F132" s="10">
        <v>94</v>
      </c>
      <c r="G132" s="10"/>
      <c r="H132" s="10"/>
      <c r="I132" s="10"/>
      <c r="J132" s="19">
        <v>98</v>
      </c>
      <c r="K132" s="439">
        <v>46213.875</v>
      </c>
      <c r="L132" s="19" t="s">
        <v>729</v>
      </c>
      <c r="M132" s="10" t="str">
        <f t="shared" ca="1" si="301"/>
        <v>Croacia</v>
      </c>
      <c r="N132" s="10" t="str">
        <f t="shared" ca="1" si="301"/>
        <v>PO D: DEN/MKD/CZE/IRL</v>
      </c>
      <c r="O132" s="10"/>
      <c r="P132" s="10"/>
      <c r="Q132" s="10"/>
      <c r="R132" s="10"/>
      <c r="S132" s="10"/>
      <c r="T132" s="10"/>
      <c r="U132" s="10"/>
      <c r="V132" s="20"/>
      <c r="W132" s="675"/>
      <c r="X132" s="27">
        <f ca="1">Horarios!C132</f>
        <v>46213.875</v>
      </c>
      <c r="Y132" s="28">
        <f ca="1">Horarios!C132</f>
        <v>46213.875</v>
      </c>
      <c r="Z132" s="291">
        <f t="shared" si="302"/>
        <v>98</v>
      </c>
      <c r="AA132" s="96" t="str">
        <f t="shared" ca="1" si="303"/>
        <v>Croacia</v>
      </c>
      <c r="AB132" s="97"/>
      <c r="AC132" s="107">
        <v>1</v>
      </c>
      <c r="AD132" s="107">
        <v>2</v>
      </c>
      <c r="AE132" s="97"/>
      <c r="AF132" s="124" t="str">
        <f ca="1">+INDEX($N$101:$N$147,MATCH(AH132,$J$101:$J$147,0))</f>
        <v>PO D: DEN/MKD/CZE/IRL</v>
      </c>
      <c r="AG132" s="339">
        <f ca="1">IF(D132="W"&amp;AH132,0,1)</f>
        <v>1</v>
      </c>
      <c r="AH132" s="205">
        <v>98</v>
      </c>
      <c r="AI132" s="191"/>
      <c r="AJ132" s="156"/>
      <c r="AK132" s="156"/>
      <c r="AL132" s="156"/>
      <c r="AM132" s="161"/>
      <c r="AN132" s="161"/>
      <c r="AO132" s="161"/>
      <c r="AP132" s="161"/>
      <c r="AQ132" s="161"/>
      <c r="AR132" s="161"/>
      <c r="AS132" s="161"/>
      <c r="AT132" s="161"/>
      <c r="AU132" s="346"/>
      <c r="AV132" s="190"/>
      <c r="AW132" s="161"/>
      <c r="AX132" s="161"/>
      <c r="AY132" s="162"/>
      <c r="AZ132" s="163"/>
      <c r="BA132" s="184"/>
      <c r="BC132" s="428"/>
      <c r="LF132" s="19"/>
      <c r="LG132" s="19"/>
      <c r="LH132" s="19"/>
      <c r="LI132" s="19"/>
      <c r="LJ132" s="19"/>
      <c r="LK132" s="19"/>
      <c r="LL132" s="19"/>
      <c r="LM132" s="19"/>
      <c r="LN132" s="19"/>
      <c r="LO132" s="19"/>
      <c r="LP132" s="19"/>
      <c r="LQ132" s="19"/>
      <c r="LR132" s="19"/>
      <c r="LS132" s="19"/>
      <c r="LT132" s="19"/>
      <c r="LU132" s="453"/>
      <c r="LV132" s="453"/>
      <c r="LW132" s="453"/>
      <c r="LX132" s="453"/>
      <c r="LY132" s="453"/>
      <c r="LZ132" s="453"/>
      <c r="MA132" s="453"/>
      <c r="MB132" s="453"/>
      <c r="MC132" s="453"/>
      <c r="MD132" s="453"/>
      <c r="ME132" s="453"/>
      <c r="MF132" s="453"/>
      <c r="MG132" s="453"/>
      <c r="MH132" s="453"/>
      <c r="MI132" s="453"/>
      <c r="MJ132" s="19"/>
      <c r="MK132" s="19"/>
      <c r="ML132" s="19"/>
      <c r="MM132" s="19"/>
      <c r="MN132" s="19"/>
      <c r="MO132" s="19"/>
      <c r="MP132" s="19"/>
      <c r="MQ132" s="19"/>
      <c r="MR132" s="19"/>
      <c r="MS132" s="19"/>
      <c r="MT132" s="19"/>
      <c r="MU132" s="19"/>
      <c r="MV132" s="19"/>
      <c r="MW132" s="19"/>
      <c r="MX132" s="19"/>
      <c r="MY132" s="19"/>
      <c r="MZ132" s="19"/>
      <c r="NA132" s="19"/>
      <c r="NB132" s="19"/>
      <c r="NC132" s="19"/>
      <c r="ND132" s="19"/>
      <c r="NE132" s="19"/>
      <c r="NF132" s="19"/>
      <c r="NG132" s="19"/>
      <c r="NH132" s="19"/>
      <c r="NI132" s="19"/>
      <c r="NJ132" s="19"/>
      <c r="NK132" s="19"/>
      <c r="NL132" s="19"/>
      <c r="NM132" s="19"/>
      <c r="NN132" s="19"/>
      <c r="NO132" s="19"/>
      <c r="NP132" s="19"/>
      <c r="NQ132" s="19"/>
      <c r="NR132" s="19"/>
      <c r="NS132" s="19"/>
      <c r="NT132" s="19"/>
      <c r="NU132" s="19"/>
      <c r="NV132" s="19"/>
      <c r="NW132" s="19"/>
      <c r="NX132" s="19"/>
      <c r="NY132" s="19"/>
      <c r="NZ132" s="19"/>
      <c r="OA132" s="19"/>
      <c r="OB132" s="19"/>
      <c r="OC132" s="19"/>
      <c r="OD132" s="19"/>
      <c r="OE132" s="19"/>
      <c r="OF132" s="19"/>
      <c r="OG132" s="19"/>
      <c r="OH132" s="19"/>
      <c r="OI132" s="19"/>
      <c r="OJ132" s="19"/>
      <c r="OK132" s="19"/>
      <c r="OL132" s="453"/>
      <c r="OM132" s="453"/>
      <c r="ON132" s="453"/>
      <c r="OO132" s="453"/>
      <c r="OP132" s="453"/>
      <c r="OQ132" s="453"/>
      <c r="OR132" s="453"/>
      <c r="OS132" s="19"/>
      <c r="OT132" s="19"/>
      <c r="OU132" s="19"/>
      <c r="OV132" s="19"/>
      <c r="OW132" s="19"/>
      <c r="OX132" s="19"/>
      <c r="OY132" s="19"/>
      <c r="OZ132" s="19"/>
      <c r="PA132" s="19"/>
      <c r="PB132" s="19"/>
      <c r="PC132" s="19"/>
      <c r="PD132" s="19"/>
      <c r="PE132" s="19"/>
      <c r="PF132" s="19"/>
      <c r="PG132" s="19"/>
      <c r="PH132" s="19"/>
      <c r="PI132" s="19"/>
      <c r="PJ132" s="19"/>
      <c r="PK132" s="19"/>
      <c r="PL132" s="19"/>
      <c r="PM132" s="19"/>
      <c r="PN132" s="19"/>
      <c r="PO132" s="19"/>
      <c r="PP132" s="19"/>
      <c r="PQ132" s="19"/>
      <c r="PR132" s="19"/>
      <c r="PS132" s="19"/>
      <c r="PT132" s="19"/>
      <c r="PU132" s="19"/>
      <c r="PV132" s="19"/>
      <c r="PW132" s="19"/>
      <c r="PX132" s="19"/>
      <c r="PY132" s="19"/>
      <c r="PZ132" s="19"/>
      <c r="QA132" s="19"/>
      <c r="QB132" s="19"/>
      <c r="QC132" s="19"/>
      <c r="QD132" s="19"/>
      <c r="QE132" s="19"/>
      <c r="QF132" s="453"/>
      <c r="QG132" s="453"/>
      <c r="QH132" s="453"/>
      <c r="QI132" s="453"/>
      <c r="QJ132" s="453"/>
      <c r="QK132" s="453"/>
      <c r="QL132" s="453"/>
      <c r="QM132" s="19"/>
      <c r="QN132" s="19"/>
      <c r="QO132" s="19"/>
      <c r="QP132" s="19"/>
      <c r="QQ132" s="19"/>
      <c r="QR132" s="19"/>
      <c r="QS132" s="19"/>
      <c r="QT132" s="19"/>
      <c r="QU132" s="19"/>
      <c r="QV132" s="19"/>
      <c r="QW132" s="19"/>
      <c r="QX132" s="19"/>
      <c r="QY132" s="19"/>
      <c r="QZ132" s="19"/>
      <c r="RA132" s="19"/>
      <c r="RB132" s="19"/>
      <c r="RC132" s="19"/>
      <c r="RD132" s="19"/>
      <c r="RE132" s="19"/>
      <c r="RF132" s="19"/>
      <c r="RG132" s="19"/>
      <c r="RH132" s="19"/>
      <c r="RI132" s="19"/>
      <c r="RJ132" s="19"/>
      <c r="RK132" s="453"/>
      <c r="RL132" s="453"/>
      <c r="RM132" s="453"/>
      <c r="RN132" s="453"/>
      <c r="RO132" s="453"/>
      <c r="RP132" s="453"/>
      <c r="RQ132" s="453"/>
      <c r="RR132" s="19"/>
      <c r="RS132" s="19"/>
      <c r="RT132" s="19"/>
      <c r="RU132" s="19"/>
      <c r="RV132" s="19"/>
      <c r="RW132" s="19"/>
      <c r="RX132" s="19"/>
      <c r="RY132" s="19"/>
      <c r="RZ132" s="19"/>
      <c r="SA132" s="19"/>
      <c r="SB132" s="19"/>
      <c r="SC132" s="19"/>
      <c r="UM132" s="19"/>
      <c r="ACH132" s="19"/>
      <c r="ACO132" s="19"/>
      <c r="ACV132" s="19"/>
      <c r="AEB132" s="19"/>
      <c r="AEC132" s="19"/>
      <c r="AED132" s="19"/>
      <c r="AEE132" s="19"/>
      <c r="AEF132" s="19"/>
      <c r="AEG132" s="19"/>
      <c r="AEH132" s="19"/>
      <c r="AEP132" s="19"/>
      <c r="AEQ132" s="19"/>
      <c r="AER132" s="19"/>
      <c r="AMX132" s="19"/>
      <c r="AUC132" s="19"/>
      <c r="AVU132" s="19"/>
      <c r="AXY132" s="10">
        <v>123456</v>
      </c>
      <c r="CGJ132" s="429"/>
    </row>
    <row r="133" spans="1:824 1038:1325 2220:2220" ht="16.05" customHeight="1">
      <c r="A133" s="19" t="s">
        <v>769</v>
      </c>
      <c r="B133" s="19" t="s">
        <v>770</v>
      </c>
      <c r="C133" s="643"/>
      <c r="D133" s="428" t="str">
        <f ca="1">IF(AND(OR(AC133="",AD133="")),"W"&amp;AH133,IF(AC133&gt;AD133,AA133,IF(AC133&lt;AD133,AF133,IF(AND(AC133=AD133,AB133=AE133),"W"&amp;AH133,IF(AND(AC133=AD133,OR(AB133="",AE133="")),"W"&amp;AH133,IF(AND(AC133=AD133,AB133&gt;AE133),AA133,AF133))))))</f>
        <v>Senegal</v>
      </c>
      <c r="E133" s="10">
        <v>91</v>
      </c>
      <c r="F133" s="10">
        <v>92</v>
      </c>
      <c r="G133" s="10"/>
      <c r="H133" s="10"/>
      <c r="I133" s="10"/>
      <c r="J133" s="19">
        <v>99</v>
      </c>
      <c r="K133" s="439">
        <v>46214.75</v>
      </c>
      <c r="L133" s="19" t="s">
        <v>730</v>
      </c>
      <c r="M133" s="10" t="str">
        <f t="shared" ca="1" si="301"/>
        <v>Senegal</v>
      </c>
      <c r="N133" s="10" t="str">
        <f t="shared" ca="1" si="301"/>
        <v>Noruega</v>
      </c>
      <c r="O133" s="10"/>
      <c r="P133" s="10"/>
      <c r="Q133" s="10"/>
      <c r="R133" s="10"/>
      <c r="S133" s="10"/>
      <c r="T133" s="10"/>
      <c r="U133" s="10"/>
      <c r="V133" s="20"/>
      <c r="W133" s="675"/>
      <c r="X133" s="27">
        <f ca="1">Horarios!C133</f>
        <v>46214.958333333336</v>
      </c>
      <c r="Y133" s="28">
        <f ca="1">Horarios!C133</f>
        <v>46214.958333333336</v>
      </c>
      <c r="Z133" s="291">
        <f t="shared" si="302"/>
        <v>99</v>
      </c>
      <c r="AA133" s="96" t="str">
        <f t="shared" ca="1" si="303"/>
        <v>Senegal</v>
      </c>
      <c r="AB133" s="97"/>
      <c r="AC133" s="107">
        <v>2</v>
      </c>
      <c r="AD133" s="107">
        <v>1</v>
      </c>
      <c r="AE133" s="97"/>
      <c r="AF133" s="124" t="str">
        <f ca="1">+INDEX($N$101:$N$147,MATCH(AH133,$J$101:$J$147,0))</f>
        <v>Noruega</v>
      </c>
      <c r="AG133" s="339">
        <f ca="1">IF(D133="W"&amp;AH133,0,1)</f>
        <v>1</v>
      </c>
      <c r="AH133" s="205">
        <v>99</v>
      </c>
      <c r="AI133" s="191"/>
      <c r="AJ133" s="156"/>
      <c r="AK133" s="156"/>
      <c r="AL133" s="156"/>
      <c r="AM133" s="161"/>
      <c r="AN133" s="161"/>
      <c r="AO133" s="161"/>
      <c r="AP133" s="161"/>
      <c r="AQ133" s="161"/>
      <c r="AR133" s="161"/>
      <c r="AS133" s="161"/>
      <c r="AT133" s="161"/>
      <c r="AU133" s="346"/>
      <c r="AV133" s="190"/>
      <c r="AW133" s="161"/>
      <c r="AX133" s="161"/>
      <c r="AY133" s="162"/>
      <c r="AZ133" s="163"/>
      <c r="BA133" s="184"/>
      <c r="BC133" s="428"/>
      <c r="LF133" s="19"/>
      <c r="LG133" s="19"/>
      <c r="LH133" s="19"/>
      <c r="LI133" s="19"/>
      <c r="LJ133" s="19"/>
      <c r="LK133" s="19"/>
      <c r="LL133" s="19"/>
      <c r="LM133" s="19"/>
      <c r="LN133" s="19"/>
      <c r="LO133" s="19"/>
      <c r="LP133" s="19"/>
      <c r="LQ133" s="19"/>
      <c r="LR133" s="19"/>
      <c r="LS133" s="19"/>
      <c r="LT133" s="19"/>
      <c r="LU133" s="19"/>
      <c r="LV133" s="19"/>
      <c r="LW133" s="19"/>
      <c r="LX133" s="19"/>
      <c r="LY133" s="19"/>
      <c r="LZ133" s="19"/>
      <c r="MA133" s="19"/>
      <c r="MB133" s="19"/>
      <c r="MC133" s="19"/>
      <c r="MD133" s="19"/>
      <c r="ME133" s="19"/>
      <c r="MF133" s="19"/>
      <c r="MG133" s="19"/>
      <c r="MH133" s="19"/>
      <c r="MI133" s="19"/>
      <c r="MJ133" s="19"/>
      <c r="MK133" s="19"/>
      <c r="ML133" s="19"/>
      <c r="MM133" s="19"/>
      <c r="MN133" s="19"/>
      <c r="MO133" s="19"/>
      <c r="MP133" s="19"/>
      <c r="MQ133" s="19"/>
      <c r="MR133" s="19"/>
      <c r="MS133" s="19"/>
      <c r="MT133" s="19"/>
      <c r="MU133" s="19"/>
      <c r="MV133" s="19"/>
      <c r="MW133" s="19"/>
      <c r="MX133" s="19"/>
      <c r="MY133" s="19"/>
      <c r="MZ133" s="19"/>
      <c r="NA133" s="19"/>
      <c r="NB133" s="19"/>
      <c r="NC133" s="19"/>
      <c r="ND133" s="19"/>
      <c r="NE133" s="19"/>
      <c r="NF133" s="19"/>
      <c r="NG133" s="19"/>
      <c r="NH133" s="19"/>
      <c r="NI133" s="19"/>
      <c r="NJ133" s="19"/>
      <c r="NK133" s="19"/>
      <c r="NL133" s="19"/>
      <c r="NM133" s="19"/>
      <c r="NN133" s="19"/>
      <c r="NO133" s="19"/>
      <c r="NP133" s="19"/>
      <c r="NQ133" s="19"/>
      <c r="NR133" s="19"/>
      <c r="NS133" s="19"/>
      <c r="NT133" s="19"/>
      <c r="NU133" s="19"/>
      <c r="NV133" s="19"/>
      <c r="NW133" s="19"/>
      <c r="NX133" s="19"/>
      <c r="NY133" s="19"/>
      <c r="NZ133" s="19"/>
      <c r="OA133" s="19"/>
      <c r="OB133" s="19"/>
      <c r="OC133" s="19"/>
      <c r="OD133" s="19"/>
      <c r="OE133" s="19"/>
      <c r="OF133" s="19"/>
      <c r="OG133" s="19"/>
      <c r="OH133" s="19"/>
      <c r="OI133" s="19"/>
      <c r="OJ133" s="19"/>
      <c r="OK133" s="19"/>
      <c r="OL133" s="19"/>
      <c r="OM133" s="19"/>
      <c r="ON133" s="19"/>
      <c r="OO133" s="19"/>
      <c r="OP133" s="19"/>
      <c r="OQ133" s="19"/>
      <c r="OR133" s="19"/>
      <c r="OS133" s="19"/>
      <c r="OT133" s="19"/>
      <c r="OU133" s="19"/>
      <c r="OV133" s="19"/>
      <c r="OW133" s="19"/>
      <c r="OX133" s="19"/>
      <c r="OY133" s="19"/>
      <c r="OZ133" s="19"/>
      <c r="PA133" s="19"/>
      <c r="PB133" s="19"/>
      <c r="PC133" s="19"/>
      <c r="PD133" s="19"/>
      <c r="PE133" s="19"/>
      <c r="PF133" s="19"/>
      <c r="PG133" s="19"/>
      <c r="PH133" s="19"/>
      <c r="PI133" s="19"/>
      <c r="PJ133" s="19"/>
      <c r="PK133" s="19"/>
      <c r="PL133" s="19"/>
      <c r="PM133" s="19"/>
      <c r="PN133" s="19"/>
      <c r="PO133" s="19"/>
      <c r="PP133" s="19"/>
      <c r="PQ133" s="19"/>
      <c r="PR133" s="19"/>
      <c r="PS133" s="19"/>
      <c r="PT133" s="19"/>
      <c r="PU133" s="19"/>
      <c r="PV133" s="19"/>
      <c r="PW133" s="19"/>
      <c r="PX133" s="19"/>
      <c r="PY133" s="19"/>
      <c r="PZ133" s="19"/>
      <c r="QA133" s="19"/>
      <c r="QB133" s="19"/>
      <c r="QC133" s="19"/>
      <c r="QD133" s="19"/>
      <c r="QE133" s="19"/>
      <c r="QF133" s="19"/>
      <c r="QG133" s="19"/>
      <c r="QH133" s="19"/>
      <c r="QI133" s="19"/>
      <c r="QJ133" s="19"/>
      <c r="QK133" s="19"/>
      <c r="QL133" s="19"/>
      <c r="QM133" s="19"/>
      <c r="QN133" s="19"/>
      <c r="QO133" s="19"/>
      <c r="QP133" s="19"/>
      <c r="QQ133" s="19"/>
      <c r="QR133" s="19"/>
      <c r="QS133" s="19"/>
      <c r="QT133" s="19"/>
      <c r="QU133" s="19"/>
      <c r="QV133" s="19"/>
      <c r="QW133" s="19"/>
      <c r="QX133" s="19"/>
      <c r="QY133" s="19"/>
      <c r="QZ133" s="19"/>
      <c r="RA133" s="19"/>
      <c r="RB133" s="19"/>
      <c r="RC133" s="19"/>
      <c r="RD133" s="19"/>
      <c r="RE133" s="19"/>
      <c r="RF133" s="19"/>
      <c r="RG133" s="19"/>
      <c r="RH133" s="19"/>
      <c r="RI133" s="19"/>
      <c r="RJ133" s="19"/>
      <c r="RK133" s="19"/>
      <c r="RL133" s="19"/>
      <c r="RM133" s="19"/>
      <c r="RN133" s="19"/>
      <c r="RO133" s="19"/>
      <c r="RP133" s="19"/>
      <c r="RQ133" s="19"/>
      <c r="RR133" s="19"/>
      <c r="RS133" s="19"/>
      <c r="RT133" s="19"/>
      <c r="RU133" s="19"/>
      <c r="RV133" s="19"/>
      <c r="RW133" s="19"/>
      <c r="RX133" s="19"/>
      <c r="RY133" s="19"/>
      <c r="RZ133" s="19"/>
      <c r="SA133" s="19"/>
      <c r="SB133" s="19"/>
      <c r="SC133" s="19"/>
      <c r="UM133" s="19"/>
      <c r="VK133" s="19"/>
      <c r="VL133" s="19"/>
      <c r="VM133" s="19"/>
      <c r="VN133" s="19"/>
      <c r="VO133" s="19"/>
      <c r="VP133" s="19"/>
      <c r="VQ133" s="19"/>
      <c r="VR133" s="19"/>
      <c r="VS133" s="19"/>
      <c r="ACH133" s="19"/>
      <c r="ACO133" s="19"/>
      <c r="ACV133" s="19"/>
      <c r="AEB133" s="19"/>
      <c r="AEC133" s="19"/>
      <c r="AED133" s="19"/>
      <c r="AEE133" s="19"/>
      <c r="AEF133" s="19"/>
      <c r="AEG133" s="19"/>
      <c r="AEH133" s="19"/>
      <c r="AEP133" s="19"/>
      <c r="AEQ133" s="19"/>
      <c r="AER133" s="19"/>
      <c r="AMX133" s="19"/>
      <c r="AUC133" s="19"/>
      <c r="AVU133" s="19"/>
      <c r="AXY133" s="10" t="s">
        <v>113</v>
      </c>
      <c r="CGJ133" s="429"/>
    </row>
    <row r="134" spans="1:824 1038:1325 2220:2220" ht="16.05" customHeight="1" thickBot="1">
      <c r="A134" s="19" t="s">
        <v>771</v>
      </c>
      <c r="B134" s="19" t="s">
        <v>772</v>
      </c>
      <c r="C134" s="643"/>
      <c r="D134" s="428" t="str">
        <f ca="1">IF(AND(OR(AC134="",AD134="")),"W"&amp;AH134,IF(AC134&gt;AD134,AA134,IF(AC134&lt;AD134,AF134,IF(AND(AC134=AD134,AB134=AE134),"W"&amp;AH134,IF(AND(AC134=AD134,OR(AB134="",AE134="")),"W"&amp;AH134,IF(AND(AC134=AD134,AB134&gt;AE134),AA134,AF134))))))</f>
        <v>Ghana</v>
      </c>
      <c r="E134" s="10">
        <v>95</v>
      </c>
      <c r="F134" s="10">
        <v>96</v>
      </c>
      <c r="G134" s="10"/>
      <c r="H134" s="10"/>
      <c r="I134" s="10"/>
      <c r="J134" s="19">
        <v>100</v>
      </c>
      <c r="K134" s="439">
        <v>46214.875</v>
      </c>
      <c r="L134" s="19" t="s">
        <v>731</v>
      </c>
      <c r="M134" s="10" t="str">
        <f t="shared" ca="1" si="301"/>
        <v>Nueva Zelanda</v>
      </c>
      <c r="N134" s="10" t="str">
        <f t="shared" ca="1" si="301"/>
        <v>Ghana</v>
      </c>
      <c r="O134" s="10"/>
      <c r="P134" s="10"/>
      <c r="Q134" s="10"/>
      <c r="R134" s="10"/>
      <c r="S134" s="10"/>
      <c r="T134" s="10"/>
      <c r="U134" s="10"/>
      <c r="V134" s="20"/>
      <c r="W134" s="676"/>
      <c r="X134" s="31">
        <f ca="1">Horarios!C134</f>
        <v>46215.125</v>
      </c>
      <c r="Y134" s="32">
        <f ca="1">Horarios!C134</f>
        <v>46215.125</v>
      </c>
      <c r="Z134" s="292">
        <f t="shared" si="302"/>
        <v>100</v>
      </c>
      <c r="AA134" s="101" t="str">
        <f t="shared" ca="1" si="303"/>
        <v>Nueva Zelanda</v>
      </c>
      <c r="AB134" s="102">
        <v>2</v>
      </c>
      <c r="AC134" s="108">
        <v>2</v>
      </c>
      <c r="AD134" s="108">
        <v>2</v>
      </c>
      <c r="AE134" s="102">
        <v>4</v>
      </c>
      <c r="AF134" s="125" t="str">
        <f ca="1">+INDEX($N$101:$N$147,MATCH(AH134,$J$101:$J$147,0))</f>
        <v>Ghana</v>
      </c>
      <c r="AG134" s="339">
        <f ca="1">IF(D134="W"&amp;AH134,0,1)</f>
        <v>1</v>
      </c>
      <c r="AH134" s="205">
        <v>100</v>
      </c>
      <c r="AI134" s="191"/>
      <c r="AJ134" s="156"/>
      <c r="AK134" s="156"/>
      <c r="AL134" s="156"/>
      <c r="AM134" s="161"/>
      <c r="AN134" s="161"/>
      <c r="AO134" s="161"/>
      <c r="AP134" s="161"/>
      <c r="AQ134" s="161"/>
      <c r="AR134" s="161"/>
      <c r="AS134" s="161"/>
      <c r="AT134" s="161"/>
      <c r="AU134" s="346"/>
      <c r="AV134" s="190"/>
      <c r="AW134" s="161"/>
      <c r="AX134" s="161"/>
      <c r="AY134" s="162"/>
      <c r="AZ134" s="163"/>
      <c r="BA134" s="184"/>
      <c r="BC134" s="428"/>
      <c r="LF134" s="19"/>
      <c r="LG134" s="19"/>
      <c r="LH134" s="19"/>
      <c r="LI134" s="19"/>
      <c r="LJ134" s="19"/>
      <c r="LK134" s="19"/>
      <c r="LL134" s="19"/>
      <c r="LM134" s="19"/>
      <c r="LN134" s="19"/>
      <c r="LO134" s="19"/>
      <c r="LP134" s="19"/>
      <c r="LQ134" s="19"/>
      <c r="LR134" s="19"/>
      <c r="LS134" s="19"/>
      <c r="LT134" s="19"/>
      <c r="LU134" s="19"/>
      <c r="LV134" s="19"/>
      <c r="LW134" s="19"/>
      <c r="LX134" s="19"/>
      <c r="LY134" s="19"/>
      <c r="LZ134" s="19"/>
      <c r="MA134" s="19"/>
      <c r="MB134" s="19"/>
      <c r="MC134" s="19"/>
      <c r="MD134" s="19"/>
      <c r="ME134" s="19"/>
      <c r="MF134" s="19"/>
      <c r="MG134" s="19"/>
      <c r="MH134" s="19"/>
      <c r="MI134" s="19"/>
      <c r="MJ134" s="19"/>
      <c r="MK134" s="19"/>
      <c r="ML134" s="19"/>
      <c r="MM134" s="19"/>
      <c r="MN134" s="19"/>
      <c r="MO134" s="19"/>
      <c r="MP134" s="19"/>
      <c r="MQ134" s="19"/>
      <c r="MR134" s="19"/>
      <c r="MS134" s="19"/>
      <c r="MT134" s="19"/>
      <c r="MU134" s="19"/>
      <c r="MV134" s="19"/>
      <c r="MW134" s="19"/>
      <c r="MX134" s="19"/>
      <c r="MY134" s="19"/>
      <c r="MZ134" s="19"/>
      <c r="NA134" s="19"/>
      <c r="NB134" s="19"/>
      <c r="NC134" s="19"/>
      <c r="ND134" s="19"/>
      <c r="NE134" s="19"/>
      <c r="NF134" s="19"/>
      <c r="NG134" s="19"/>
      <c r="NH134" s="19"/>
      <c r="NI134" s="19"/>
      <c r="NJ134" s="19"/>
      <c r="NK134" s="19"/>
      <c r="NL134" s="19"/>
      <c r="NM134" s="19"/>
      <c r="NN134" s="19"/>
      <c r="NO134" s="19"/>
      <c r="NP134" s="19"/>
      <c r="NQ134" s="19"/>
      <c r="NR134" s="19"/>
      <c r="NS134" s="19"/>
      <c r="NT134" s="19"/>
      <c r="NU134" s="19"/>
      <c r="NV134" s="19"/>
      <c r="NW134" s="19"/>
      <c r="NX134" s="19"/>
      <c r="NY134" s="19"/>
      <c r="NZ134" s="19"/>
      <c r="OA134" s="19"/>
      <c r="OB134" s="19"/>
      <c r="OC134" s="19"/>
      <c r="OD134" s="19"/>
      <c r="OE134" s="19"/>
      <c r="OF134" s="19"/>
      <c r="OG134" s="19"/>
      <c r="OH134" s="19"/>
      <c r="OI134" s="19"/>
      <c r="OJ134" s="19"/>
      <c r="OK134" s="19"/>
      <c r="OL134" s="19"/>
      <c r="OM134" s="19"/>
      <c r="ON134" s="19"/>
      <c r="OO134" s="19"/>
      <c r="OP134" s="19"/>
      <c r="OQ134" s="19"/>
      <c r="OR134" s="19"/>
      <c r="OS134" s="19"/>
      <c r="OT134" s="19"/>
      <c r="OU134" s="19"/>
      <c r="OV134" s="19"/>
      <c r="OW134" s="19"/>
      <c r="OX134" s="19"/>
      <c r="OY134" s="19"/>
      <c r="OZ134" s="19"/>
      <c r="PA134" s="19"/>
      <c r="PB134" s="19"/>
      <c r="PC134" s="19"/>
      <c r="PD134" s="19"/>
      <c r="PE134" s="19"/>
      <c r="PF134" s="19"/>
      <c r="PG134" s="19"/>
      <c r="PH134" s="19"/>
      <c r="PI134" s="19"/>
      <c r="PJ134" s="642"/>
      <c r="PK134" s="19"/>
      <c r="PL134" s="19"/>
      <c r="PM134" s="19"/>
      <c r="PN134" s="19"/>
      <c r="PO134" s="19"/>
      <c r="PP134" s="19"/>
      <c r="PQ134" s="19"/>
      <c r="PR134" s="19"/>
      <c r="PS134" s="19"/>
      <c r="PT134" s="19"/>
      <c r="PU134" s="19"/>
      <c r="PV134" s="19"/>
      <c r="PW134" s="19"/>
      <c r="PX134" s="19"/>
      <c r="PY134" s="19"/>
      <c r="PZ134" s="19"/>
      <c r="QA134" s="19"/>
      <c r="QB134" s="19"/>
      <c r="QC134" s="19"/>
      <c r="QD134" s="19"/>
      <c r="QE134" s="19"/>
      <c r="QF134" s="19"/>
      <c r="QG134" s="19"/>
      <c r="QH134" s="19"/>
      <c r="QI134" s="19"/>
      <c r="QJ134" s="19"/>
      <c r="QK134" s="19"/>
      <c r="QL134" s="19"/>
      <c r="QM134" s="19"/>
      <c r="QN134" s="19"/>
      <c r="QO134" s="19"/>
      <c r="QP134" s="19"/>
      <c r="QQ134" s="19"/>
      <c r="QR134" s="19"/>
      <c r="QS134" s="19"/>
      <c r="QT134" s="19"/>
      <c r="QU134" s="19"/>
      <c r="QV134" s="19"/>
      <c r="QW134" s="19"/>
      <c r="QX134" s="19"/>
      <c r="QY134" s="19"/>
      <c r="QZ134" s="19"/>
      <c r="RA134" s="19"/>
      <c r="RB134" s="19"/>
      <c r="RC134" s="19"/>
      <c r="RD134" s="19"/>
      <c r="RE134" s="19"/>
      <c r="RF134" s="19"/>
      <c r="RG134" s="19"/>
      <c r="RH134" s="19"/>
      <c r="RI134" s="19"/>
      <c r="RJ134" s="19"/>
      <c r="RK134" s="19"/>
      <c r="RL134" s="19"/>
      <c r="RM134" s="19"/>
      <c r="RN134" s="19"/>
      <c r="RO134" s="19"/>
      <c r="RP134" s="19"/>
      <c r="RQ134" s="19"/>
      <c r="RR134" s="19"/>
      <c r="RS134" s="19"/>
      <c r="RT134" s="19"/>
      <c r="RU134" s="19"/>
      <c r="RV134" s="19"/>
      <c r="RW134" s="19"/>
      <c r="RX134" s="19"/>
      <c r="RY134" s="19"/>
      <c r="RZ134" s="19"/>
      <c r="SA134" s="19"/>
      <c r="SB134" s="19"/>
      <c r="SC134" s="19"/>
      <c r="ACH134" s="19"/>
      <c r="ACO134" s="19"/>
      <c r="ACV134" s="19"/>
      <c r="AEB134" s="19"/>
      <c r="AEC134" s="19"/>
      <c r="AED134" s="19"/>
      <c r="AEE134" s="19"/>
      <c r="AEF134" s="19"/>
      <c r="AEG134" s="19"/>
      <c r="AEH134" s="19"/>
      <c r="AMX134" s="19"/>
      <c r="AUC134" s="19"/>
      <c r="AVU134" s="19"/>
      <c r="AXY134" s="10" t="s">
        <v>118</v>
      </c>
    </row>
    <row r="135" spans="1:824 1038:1325 2220:2220" ht="16.05" customHeight="1" thickBot="1">
      <c r="A135" s="643"/>
      <c r="B135" s="643"/>
      <c r="C135" s="643"/>
      <c r="D135" s="428"/>
      <c r="E135" s="10"/>
      <c r="F135" s="10"/>
      <c r="G135" s="10"/>
      <c r="H135" s="10"/>
      <c r="I135" s="10"/>
      <c r="J135" s="10"/>
      <c r="K135" s="10"/>
      <c r="L135" s="10"/>
      <c r="M135" s="10"/>
      <c r="N135" s="10"/>
      <c r="O135" s="10"/>
      <c r="P135" s="10"/>
      <c r="Q135" s="10"/>
      <c r="R135" s="10"/>
      <c r="S135" s="10"/>
      <c r="T135" s="10"/>
      <c r="U135" s="10"/>
      <c r="V135" s="20"/>
      <c r="W135" s="162"/>
      <c r="X135" s="163"/>
      <c r="Y135" s="162"/>
      <c r="Z135" s="164"/>
      <c r="AA135" s="165"/>
      <c r="AB135" s="166"/>
      <c r="AC135" s="159"/>
      <c r="AD135" s="159"/>
      <c r="AE135" s="166"/>
      <c r="AF135" s="167"/>
      <c r="AG135" s="340"/>
      <c r="AH135" s="206"/>
      <c r="AI135" s="191"/>
      <c r="AJ135" s="156"/>
      <c r="AK135" s="156"/>
      <c r="AL135" s="156"/>
      <c r="AM135" s="161"/>
      <c r="AN135" s="161"/>
      <c r="AO135" s="161"/>
      <c r="AP135" s="161"/>
      <c r="AQ135" s="161"/>
      <c r="AR135" s="161"/>
      <c r="AS135" s="161"/>
      <c r="AT135" s="161"/>
      <c r="AU135" s="346"/>
      <c r="AV135" s="190"/>
      <c r="AW135" s="161"/>
      <c r="AX135" s="161"/>
      <c r="AY135" s="162"/>
      <c r="AZ135" s="163"/>
      <c r="BA135" s="184"/>
      <c r="BC135" s="428"/>
      <c r="LF135" s="19"/>
      <c r="LG135" s="19"/>
      <c r="LH135" s="19"/>
      <c r="LI135" s="19"/>
      <c r="LJ135" s="19"/>
      <c r="LK135" s="19"/>
      <c r="LL135" s="19"/>
      <c r="LM135" s="19"/>
      <c r="LN135" s="19"/>
      <c r="LO135" s="19"/>
      <c r="LP135" s="19"/>
      <c r="LQ135" s="19"/>
      <c r="LR135" s="19"/>
      <c r="LS135" s="19"/>
      <c r="LT135" s="19"/>
      <c r="LU135" s="19"/>
      <c r="LV135" s="19"/>
      <c r="LW135" s="19"/>
      <c r="LX135" s="19"/>
      <c r="LY135" s="19"/>
      <c r="LZ135" s="19"/>
      <c r="MA135" s="19"/>
      <c r="MB135" s="19"/>
      <c r="MC135" s="19"/>
      <c r="MD135" s="19"/>
      <c r="ME135" s="19"/>
      <c r="MF135" s="19"/>
      <c r="MG135" s="19"/>
      <c r="MH135" s="19"/>
      <c r="MI135" s="19"/>
      <c r="MJ135" s="19"/>
      <c r="MK135" s="19"/>
      <c r="ML135" s="19"/>
      <c r="MM135" s="19"/>
      <c r="MN135" s="19"/>
      <c r="MO135" s="19"/>
      <c r="MP135" s="19"/>
      <c r="MQ135" s="19"/>
      <c r="MR135" s="19"/>
      <c r="MS135" s="19"/>
      <c r="MT135" s="19"/>
      <c r="MU135" s="19"/>
      <c r="MV135" s="19"/>
      <c r="MW135" s="19"/>
      <c r="MX135" s="19"/>
      <c r="MY135" s="19"/>
      <c r="MZ135" s="19"/>
      <c r="NA135" s="19"/>
      <c r="NB135" s="19"/>
      <c r="NC135" s="19"/>
      <c r="ND135" s="19"/>
      <c r="NE135" s="19"/>
      <c r="NF135" s="19"/>
      <c r="NG135" s="19"/>
      <c r="NH135" s="19"/>
      <c r="NI135" s="19"/>
      <c r="NJ135" s="19"/>
      <c r="NK135" s="19"/>
      <c r="NL135" s="19"/>
      <c r="NM135" s="19"/>
      <c r="NN135" s="19"/>
      <c r="NO135" s="19"/>
      <c r="NP135" s="19"/>
      <c r="NQ135" s="19"/>
      <c r="NR135" s="19"/>
      <c r="NS135" s="19"/>
      <c r="NT135" s="19"/>
      <c r="NU135" s="19"/>
      <c r="NV135" s="19"/>
      <c r="NW135" s="19"/>
      <c r="NX135" s="19"/>
      <c r="NY135" s="19"/>
      <c r="NZ135" s="19"/>
      <c r="OA135" s="19"/>
      <c r="OB135" s="19"/>
      <c r="OC135" s="19"/>
      <c r="OD135" s="19"/>
      <c r="OE135" s="19"/>
      <c r="OF135" s="19"/>
      <c r="OG135" s="19"/>
      <c r="OH135" s="19"/>
      <c r="OI135" s="19"/>
      <c r="OJ135" s="19"/>
      <c r="OK135" s="19"/>
      <c r="OL135" s="19"/>
      <c r="OM135" s="19"/>
      <c r="ON135" s="19"/>
      <c r="OO135" s="19"/>
      <c r="OP135" s="19"/>
      <c r="OQ135" s="19"/>
      <c r="OR135" s="19"/>
      <c r="OS135" s="19"/>
      <c r="OT135" s="19"/>
      <c r="OU135" s="19"/>
      <c r="OV135" s="19"/>
      <c r="OW135" s="19"/>
      <c r="OX135" s="19"/>
      <c r="OY135" s="19"/>
      <c r="OZ135" s="19"/>
      <c r="PA135" s="19"/>
      <c r="PB135" s="19"/>
      <c r="PC135" s="19"/>
      <c r="PD135" s="19"/>
      <c r="PE135" s="19"/>
      <c r="PF135" s="19"/>
      <c r="PG135" s="19"/>
      <c r="PH135" s="19"/>
      <c r="PI135" s="19"/>
      <c r="PJ135" s="642"/>
      <c r="PK135" s="19"/>
      <c r="PL135" s="19"/>
      <c r="PM135" s="19"/>
      <c r="PN135" s="19"/>
      <c r="PO135" s="19"/>
      <c r="PP135" s="19"/>
      <c r="PQ135" s="19"/>
      <c r="PR135" s="19"/>
      <c r="PS135" s="19"/>
      <c r="PT135" s="19"/>
      <c r="PU135" s="19"/>
      <c r="PV135" s="19"/>
      <c r="PW135" s="19"/>
      <c r="PX135" s="19"/>
      <c r="PY135" s="19"/>
      <c r="PZ135" s="19"/>
      <c r="QA135" s="19"/>
      <c r="QB135" s="19"/>
      <c r="QC135" s="19"/>
      <c r="QD135" s="19"/>
      <c r="QE135" s="19"/>
      <c r="QF135" s="19"/>
      <c r="QG135" s="19"/>
      <c r="QH135" s="19"/>
      <c r="QI135" s="19"/>
      <c r="QJ135" s="19"/>
      <c r="QK135" s="19"/>
      <c r="QL135" s="19"/>
      <c r="QM135" s="19"/>
      <c r="QN135" s="19"/>
      <c r="QO135" s="19"/>
      <c r="QP135" s="19"/>
      <c r="QQ135" s="19"/>
      <c r="QR135" s="19"/>
      <c r="QS135" s="19"/>
      <c r="QT135" s="19"/>
      <c r="QU135" s="19"/>
      <c r="QV135" s="19"/>
      <c r="QW135" s="19"/>
      <c r="QX135" s="19"/>
      <c r="QY135" s="19"/>
      <c r="QZ135" s="19"/>
      <c r="RA135" s="19"/>
      <c r="RB135" s="19"/>
      <c r="RC135" s="19"/>
      <c r="RD135" s="19"/>
      <c r="RE135" s="19"/>
      <c r="RF135" s="19"/>
      <c r="RG135" s="19"/>
      <c r="RH135" s="19"/>
      <c r="RI135" s="19"/>
      <c r="RJ135" s="19"/>
      <c r="RK135" s="19"/>
      <c r="RL135" s="19"/>
      <c r="RM135" s="19"/>
      <c r="RN135" s="19"/>
      <c r="RO135" s="19"/>
      <c r="RP135" s="19"/>
      <c r="RQ135" s="19"/>
      <c r="RR135" s="19"/>
      <c r="RS135" s="19"/>
      <c r="RT135" s="19"/>
      <c r="RU135" s="19"/>
      <c r="RV135" s="19"/>
      <c r="RW135" s="19"/>
      <c r="RX135" s="19"/>
      <c r="RY135" s="19"/>
      <c r="RZ135" s="19"/>
      <c r="SA135" s="19"/>
      <c r="SB135" s="19"/>
      <c r="SC135" s="19"/>
      <c r="ACH135" s="19"/>
      <c r="ACO135" s="19"/>
      <c r="ACV135" s="19"/>
      <c r="AEB135" s="19"/>
      <c r="AEC135" s="19"/>
      <c r="AED135" s="19"/>
      <c r="AEE135" s="19"/>
      <c r="AEF135" s="19"/>
      <c r="AEG135" s="19"/>
      <c r="AEH135" s="19"/>
      <c r="AMX135" s="19"/>
      <c r="AUC135" s="19"/>
      <c r="AVU135" s="19"/>
    </row>
    <row r="136" spans="1:824 1038:1325 2220:2220" ht="16.05" customHeight="1" thickBot="1">
      <c r="A136" s="643"/>
      <c r="B136" s="643"/>
      <c r="C136" s="643"/>
      <c r="D136" s="428"/>
      <c r="E136" s="10"/>
      <c r="F136" s="10" t="s">
        <v>1213</v>
      </c>
      <c r="G136" s="10"/>
      <c r="H136" s="10"/>
      <c r="I136" s="10"/>
      <c r="J136" s="10"/>
      <c r="K136" s="10"/>
      <c r="L136" s="10"/>
      <c r="M136" s="10"/>
      <c r="N136" s="10"/>
      <c r="O136" s="10"/>
      <c r="P136" s="10"/>
      <c r="Q136" s="10"/>
      <c r="R136" s="10"/>
      <c r="S136" s="10"/>
      <c r="T136" s="10"/>
      <c r="U136" s="10"/>
      <c r="V136" s="20"/>
      <c r="W136" s="126" t="str">
        <f>Idiomas!D30</f>
        <v>Semifinales</v>
      </c>
      <c r="X136" s="127"/>
      <c r="Y136" s="128"/>
      <c r="Z136" s="128"/>
      <c r="AA136" s="128"/>
      <c r="AB136" s="128"/>
      <c r="AC136" s="128"/>
      <c r="AD136" s="128"/>
      <c r="AE136" s="128"/>
      <c r="AF136" s="129"/>
      <c r="AG136" s="340"/>
      <c r="AH136" s="206"/>
      <c r="AI136" s="191"/>
      <c r="AJ136" s="156"/>
      <c r="AK136" s="156"/>
      <c r="AL136" s="156"/>
      <c r="AM136" s="161"/>
      <c r="AN136" s="161"/>
      <c r="AO136" s="161"/>
      <c r="AP136" s="161"/>
      <c r="AQ136" s="161"/>
      <c r="AR136" s="161"/>
      <c r="AS136" s="161"/>
      <c r="AT136" s="161"/>
      <c r="AU136" s="346"/>
      <c r="AV136" s="190"/>
      <c r="AW136" s="161"/>
      <c r="AX136" s="161"/>
      <c r="AY136" s="162"/>
      <c r="AZ136" s="163"/>
      <c r="BA136" s="184"/>
      <c r="BC136" s="428"/>
      <c r="LF136" s="19"/>
      <c r="LG136" s="19"/>
      <c r="LH136" s="19"/>
      <c r="LI136" s="19"/>
      <c r="LJ136" s="19"/>
      <c r="LK136" s="19"/>
      <c r="LL136" s="19"/>
      <c r="LM136" s="19"/>
      <c r="LN136" s="19"/>
      <c r="LO136" s="19"/>
      <c r="LP136" s="19"/>
      <c r="LQ136" s="19"/>
      <c r="LR136" s="19"/>
      <c r="LS136" s="19"/>
      <c r="LT136" s="19"/>
      <c r="LU136" s="19"/>
      <c r="LV136" s="19"/>
      <c r="LW136" s="19"/>
      <c r="LX136" s="19"/>
      <c r="LY136" s="19"/>
      <c r="LZ136" s="19"/>
      <c r="MA136" s="19"/>
      <c r="MB136" s="19"/>
      <c r="MC136" s="19"/>
      <c r="MD136" s="19"/>
      <c r="ME136" s="19"/>
      <c r="MF136" s="19"/>
      <c r="MG136" s="19"/>
      <c r="MH136" s="19"/>
      <c r="MI136" s="19"/>
      <c r="MJ136" s="19"/>
      <c r="MK136" s="19"/>
      <c r="ML136" s="19"/>
      <c r="MM136" s="19"/>
      <c r="MN136" s="19"/>
      <c r="MO136" s="19"/>
      <c r="MP136" s="19"/>
      <c r="MQ136" s="19"/>
      <c r="MR136" s="19"/>
      <c r="MS136" s="19"/>
      <c r="MT136" s="19"/>
      <c r="MU136" s="19"/>
      <c r="MV136" s="19"/>
      <c r="MW136" s="19"/>
      <c r="MX136" s="19"/>
      <c r="MY136" s="19"/>
      <c r="MZ136" s="19"/>
      <c r="NA136" s="19"/>
      <c r="NB136" s="19"/>
      <c r="NC136" s="19"/>
      <c r="ND136" s="19"/>
      <c r="NE136" s="19"/>
      <c r="NF136" s="19"/>
      <c r="NG136" s="19"/>
      <c r="NH136" s="19"/>
      <c r="NI136" s="19"/>
      <c r="NJ136" s="19"/>
      <c r="NK136" s="19"/>
      <c r="NL136" s="19"/>
      <c r="NM136" s="19"/>
      <c r="NN136" s="19"/>
      <c r="NO136" s="19"/>
      <c r="NP136" s="19"/>
      <c r="NQ136" s="19"/>
      <c r="NR136" s="19"/>
      <c r="NS136" s="19"/>
      <c r="NT136" s="19"/>
      <c r="NU136" s="19"/>
      <c r="NV136" s="19"/>
      <c r="NW136" s="19"/>
      <c r="NX136" s="19"/>
      <c r="NY136" s="19"/>
      <c r="NZ136" s="19"/>
      <c r="OA136" s="19"/>
      <c r="OB136" s="19"/>
      <c r="OC136" s="19"/>
      <c r="OD136" s="19"/>
      <c r="OE136" s="19"/>
      <c r="OF136" s="19"/>
      <c r="OG136" s="19"/>
      <c r="OH136" s="19"/>
      <c r="OI136" s="19"/>
      <c r="OJ136" s="19"/>
      <c r="OK136" s="19"/>
      <c r="OL136" s="19"/>
      <c r="OM136" s="19"/>
      <c r="ON136" s="19"/>
      <c r="OO136" s="19"/>
      <c r="OP136" s="19"/>
      <c r="OQ136" s="19"/>
      <c r="OR136" s="19"/>
      <c r="OS136" s="19"/>
      <c r="OT136" s="19"/>
      <c r="OU136" s="19"/>
      <c r="OV136" s="19"/>
      <c r="OW136" s="19"/>
      <c r="OX136" s="19"/>
      <c r="OY136" s="19"/>
      <c r="OZ136" s="19"/>
      <c r="PA136" s="19"/>
      <c r="PB136" s="19"/>
      <c r="PC136" s="19"/>
      <c r="PD136" s="19"/>
      <c r="PE136" s="19"/>
      <c r="PF136" s="19"/>
      <c r="PG136" s="19"/>
      <c r="PH136" s="19"/>
      <c r="PI136" s="19"/>
      <c r="PJ136" s="642"/>
      <c r="PK136" s="19"/>
      <c r="PL136" s="19"/>
      <c r="PM136" s="19"/>
      <c r="PN136" s="19"/>
      <c r="PO136" s="19"/>
      <c r="PP136" s="19"/>
      <c r="PQ136" s="19"/>
      <c r="PR136" s="19"/>
      <c r="PS136" s="19"/>
      <c r="PT136" s="19"/>
      <c r="PU136" s="19"/>
      <c r="PV136" s="19"/>
      <c r="PW136" s="19"/>
      <c r="PX136" s="19"/>
      <c r="PY136" s="19"/>
      <c r="PZ136" s="19"/>
      <c r="QA136" s="19"/>
      <c r="QB136" s="19"/>
      <c r="QC136" s="19"/>
      <c r="QD136" s="19"/>
      <c r="QE136" s="19"/>
      <c r="QF136" s="19"/>
      <c r="QG136" s="19"/>
      <c r="QH136" s="19"/>
      <c r="QI136" s="19"/>
      <c r="QJ136" s="19"/>
      <c r="QK136" s="19"/>
      <c r="QL136" s="19"/>
      <c r="QM136" s="19"/>
      <c r="QN136" s="19"/>
      <c r="QO136" s="19"/>
      <c r="QP136" s="19"/>
      <c r="QQ136" s="19"/>
      <c r="QR136" s="19"/>
      <c r="QS136" s="19"/>
      <c r="QT136" s="19"/>
      <c r="QU136" s="19"/>
      <c r="QV136" s="19"/>
      <c r="QW136" s="19"/>
      <c r="QX136" s="19"/>
      <c r="QY136" s="19"/>
      <c r="QZ136" s="19"/>
      <c r="RA136" s="19"/>
      <c r="RB136" s="19"/>
      <c r="RC136" s="19"/>
      <c r="RD136" s="19"/>
      <c r="RE136" s="19"/>
      <c r="RF136" s="19"/>
      <c r="RG136" s="19"/>
      <c r="RH136" s="19"/>
      <c r="RI136" s="19"/>
      <c r="RJ136" s="19"/>
      <c r="RK136" s="19"/>
      <c r="RL136" s="19"/>
      <c r="RM136" s="19"/>
      <c r="RN136" s="19"/>
      <c r="RO136" s="19"/>
      <c r="RP136" s="19"/>
      <c r="RQ136" s="19"/>
      <c r="RR136" s="19"/>
      <c r="RS136" s="19"/>
      <c r="RT136" s="19"/>
      <c r="RU136" s="19"/>
      <c r="RV136" s="19"/>
      <c r="RW136" s="19"/>
      <c r="RX136" s="19"/>
      <c r="RY136" s="19"/>
      <c r="RZ136" s="19"/>
      <c r="SA136" s="19"/>
      <c r="SB136" s="19"/>
      <c r="SC136" s="19"/>
      <c r="ACH136" s="19"/>
      <c r="ACO136" s="19"/>
      <c r="ACV136" s="19"/>
      <c r="AEB136" s="19"/>
      <c r="AEC136" s="19"/>
      <c r="AED136" s="19"/>
      <c r="AEE136" s="19"/>
      <c r="AEF136" s="19"/>
      <c r="AEG136" s="19"/>
      <c r="AEH136" s="19"/>
      <c r="AMX136" s="19"/>
      <c r="AUC136" s="19"/>
      <c r="AVU136" s="19"/>
    </row>
    <row r="137" spans="1:824 1038:1325 2220:2220" ht="16.05" customHeight="1">
      <c r="A137" s="643"/>
      <c r="B137" s="643"/>
      <c r="C137" s="643"/>
      <c r="D137" s="428"/>
      <c r="E137" s="10"/>
      <c r="F137" s="10"/>
      <c r="G137" s="10"/>
      <c r="H137" s="10" t="s">
        <v>1460</v>
      </c>
      <c r="I137" s="10"/>
      <c r="J137" s="10"/>
      <c r="K137" s="10"/>
      <c r="L137" s="10"/>
      <c r="M137" s="10"/>
      <c r="N137" s="10"/>
      <c r="O137" s="10"/>
      <c r="P137" s="10"/>
      <c r="Q137" s="10"/>
      <c r="R137" s="10"/>
      <c r="S137" s="10"/>
      <c r="T137" s="10"/>
      <c r="U137" s="10"/>
      <c r="V137" s="20"/>
      <c r="W137" s="146"/>
      <c r="X137" s="77" t="str">
        <f>X3</f>
        <v>Fecha</v>
      </c>
      <c r="Y137" s="77" t="str">
        <f>Y3</f>
        <v>Hora</v>
      </c>
      <c r="Z137" s="75"/>
      <c r="AA137" s="76" t="str">
        <f>AA3</f>
        <v>Casa</v>
      </c>
      <c r="AB137" s="75" t="s">
        <v>13</v>
      </c>
      <c r="AC137" s="77" t="s">
        <v>18</v>
      </c>
      <c r="AD137" s="77" t="s">
        <v>18</v>
      </c>
      <c r="AE137" s="75" t="s">
        <v>13</v>
      </c>
      <c r="AF137" s="110" t="str">
        <f>AF3</f>
        <v>Fuera</v>
      </c>
      <c r="AG137" s="340"/>
      <c r="AH137" s="206"/>
      <c r="AI137" s="191"/>
      <c r="AJ137" s="156"/>
      <c r="AK137" s="156"/>
      <c r="AL137" s="156"/>
      <c r="AM137" s="161"/>
      <c r="AN137" s="161"/>
      <c r="AO137" s="161"/>
      <c r="AP137" s="161"/>
      <c r="AQ137" s="161"/>
      <c r="AR137" s="161"/>
      <c r="AS137" s="161"/>
      <c r="AT137" s="161"/>
      <c r="AU137" s="346"/>
      <c r="AV137" s="190"/>
      <c r="AW137" s="161"/>
      <c r="AX137" s="161"/>
      <c r="AY137" s="162"/>
      <c r="AZ137" s="163"/>
      <c r="BA137" s="184"/>
      <c r="BC137" s="428"/>
      <c r="LF137" s="19"/>
      <c r="LG137" s="19"/>
      <c r="LH137" s="19"/>
      <c r="LI137" s="19"/>
      <c r="LJ137" s="19"/>
      <c r="LK137" s="19"/>
      <c r="LL137" s="19"/>
      <c r="LM137" s="19"/>
      <c r="LN137" s="19"/>
      <c r="LO137" s="19"/>
      <c r="LP137" s="19"/>
      <c r="LQ137" s="19"/>
      <c r="LR137" s="19"/>
      <c r="LS137" s="19"/>
      <c r="LT137" s="19"/>
      <c r="LU137" s="19"/>
      <c r="LV137" s="19"/>
      <c r="LW137" s="19"/>
      <c r="LX137" s="19"/>
      <c r="LY137" s="19"/>
      <c r="LZ137" s="19"/>
      <c r="MA137" s="19"/>
      <c r="MB137" s="19"/>
      <c r="MC137" s="19"/>
      <c r="MD137" s="19"/>
      <c r="ME137" s="19"/>
      <c r="MF137" s="19"/>
      <c r="MG137" s="19"/>
      <c r="MH137" s="19"/>
      <c r="MI137" s="19"/>
      <c r="MJ137" s="19"/>
      <c r="MK137" s="19"/>
      <c r="ML137" s="19"/>
      <c r="MM137" s="19"/>
      <c r="MN137" s="19"/>
      <c r="MO137" s="19"/>
      <c r="MP137" s="19"/>
      <c r="MQ137" s="19"/>
      <c r="MR137" s="19"/>
      <c r="MS137" s="19"/>
      <c r="MT137" s="19"/>
      <c r="MU137" s="19"/>
      <c r="MV137" s="19"/>
      <c r="MW137" s="19"/>
      <c r="MX137" s="19"/>
      <c r="MY137" s="19"/>
      <c r="MZ137" s="19"/>
      <c r="NA137" s="19"/>
      <c r="NB137" s="19"/>
      <c r="NC137" s="19"/>
      <c r="ND137" s="19"/>
      <c r="NE137" s="19"/>
      <c r="NF137" s="19"/>
      <c r="NG137" s="19"/>
      <c r="NH137" s="19"/>
      <c r="NI137" s="19"/>
      <c r="NJ137" s="19"/>
      <c r="NK137" s="19"/>
      <c r="NL137" s="19"/>
      <c r="NM137" s="19"/>
      <c r="NN137" s="19"/>
      <c r="NO137" s="19"/>
      <c r="NP137" s="19"/>
      <c r="NQ137" s="19"/>
      <c r="NR137" s="19"/>
      <c r="NS137" s="19"/>
      <c r="NT137" s="19"/>
      <c r="NU137" s="19"/>
      <c r="NV137" s="19"/>
      <c r="NW137" s="19"/>
      <c r="NX137" s="19"/>
      <c r="NY137" s="19"/>
      <c r="NZ137" s="19"/>
      <c r="OA137" s="19"/>
      <c r="OB137" s="19"/>
      <c r="OC137" s="19"/>
      <c r="OD137" s="19"/>
      <c r="OE137" s="19"/>
      <c r="OF137" s="19"/>
      <c r="OG137" s="19"/>
      <c r="OH137" s="19"/>
      <c r="OI137" s="19"/>
      <c r="OJ137" s="19"/>
      <c r="OK137" s="19"/>
      <c r="OL137" s="19"/>
      <c r="OM137" s="19"/>
      <c r="ON137" s="19"/>
      <c r="OO137" s="19"/>
      <c r="OP137" s="19"/>
      <c r="OQ137" s="19"/>
      <c r="OR137" s="19"/>
      <c r="OS137" s="19"/>
      <c r="OT137" s="19"/>
      <c r="OU137" s="19"/>
      <c r="OV137" s="19"/>
      <c r="OW137" s="19"/>
      <c r="OX137" s="19"/>
      <c r="OY137" s="19"/>
      <c r="OZ137" s="19"/>
      <c r="PA137" s="19"/>
      <c r="PB137" s="19"/>
      <c r="PC137" s="19"/>
      <c r="PD137" s="19"/>
      <c r="PE137" s="19"/>
      <c r="PF137" s="19"/>
      <c r="PG137" s="19"/>
      <c r="PH137" s="19"/>
      <c r="PI137" s="19"/>
      <c r="PJ137" s="642"/>
      <c r="PK137" s="19"/>
      <c r="PL137" s="19"/>
      <c r="PM137" s="19"/>
      <c r="PN137" s="19"/>
      <c r="PO137" s="19"/>
      <c r="PP137" s="19"/>
      <c r="PQ137" s="19"/>
      <c r="PR137" s="19"/>
      <c r="PS137" s="19"/>
      <c r="PT137" s="19"/>
      <c r="PU137" s="19"/>
      <c r="PV137" s="19"/>
      <c r="PW137" s="19"/>
      <c r="PX137" s="19"/>
      <c r="PY137" s="19"/>
      <c r="PZ137" s="19"/>
      <c r="QA137" s="19"/>
      <c r="QB137" s="19"/>
      <c r="QC137" s="19"/>
      <c r="QD137" s="19"/>
      <c r="QE137" s="19"/>
      <c r="QF137" s="19"/>
      <c r="QG137" s="19"/>
      <c r="QH137" s="19"/>
      <c r="QI137" s="19"/>
      <c r="QJ137" s="19"/>
      <c r="QK137" s="19"/>
      <c r="QL137" s="19"/>
      <c r="QM137" s="19"/>
      <c r="QN137" s="19"/>
      <c r="QO137" s="19"/>
      <c r="QP137" s="19"/>
      <c r="QQ137" s="19"/>
      <c r="QR137" s="19"/>
      <c r="QS137" s="19"/>
      <c r="QT137" s="19"/>
      <c r="QU137" s="19"/>
      <c r="QV137" s="19"/>
      <c r="QW137" s="19"/>
      <c r="QX137" s="19"/>
      <c r="QY137" s="19"/>
      <c r="QZ137" s="19"/>
      <c r="RA137" s="19"/>
      <c r="RB137" s="19"/>
      <c r="RC137" s="19"/>
      <c r="RD137" s="19"/>
      <c r="RE137" s="19"/>
      <c r="RF137" s="19"/>
      <c r="RG137" s="19"/>
      <c r="RH137" s="19"/>
      <c r="RI137" s="19"/>
      <c r="RJ137" s="19"/>
      <c r="RK137" s="19"/>
      <c r="RL137" s="19"/>
      <c r="RM137" s="19"/>
      <c r="RN137" s="19"/>
      <c r="RO137" s="19"/>
      <c r="RP137" s="19"/>
      <c r="RQ137" s="19"/>
      <c r="RR137" s="19"/>
      <c r="RS137" s="19"/>
      <c r="RT137" s="19"/>
      <c r="RU137" s="19"/>
      <c r="RV137" s="19"/>
      <c r="RW137" s="19"/>
      <c r="RX137" s="19"/>
      <c r="RY137" s="19"/>
      <c r="RZ137" s="19"/>
      <c r="SA137" s="19"/>
      <c r="SB137" s="19"/>
      <c r="SC137" s="19"/>
      <c r="ACH137" s="19"/>
      <c r="ACO137" s="19"/>
      <c r="ACV137" s="19"/>
      <c r="AEB137" s="19"/>
      <c r="AEC137" s="19"/>
      <c r="AED137" s="19"/>
      <c r="AEE137" s="19"/>
      <c r="AEF137" s="19"/>
      <c r="AEG137" s="19"/>
      <c r="AEH137" s="19"/>
      <c r="AMX137" s="19"/>
      <c r="AUC137" s="19"/>
      <c r="AVU137" s="19"/>
    </row>
    <row r="138" spans="1:824 1038:1325 2220:2220" ht="16.05" customHeight="1">
      <c r="A138" s="19" t="s">
        <v>773</v>
      </c>
      <c r="B138" s="19" t="s">
        <v>774</v>
      </c>
      <c r="C138" s="643"/>
      <c r="D138" s="428" t="str">
        <f ca="1">IF(AND(OR(AC138="",AD138="")),"W"&amp;AH138,IF(AC138&gt;AD138,AA138,IF(AC138&lt;AD138,AF138,IF(AND(AC138=AD138,AB138=AE138),"W"&amp;AH138,IF(AND(AC138=AD138,OR(AB138="",AE138="")),"W"&amp;AH138,IF(AND(AC138=AD138,AB138&gt;AE138),AA138,AF138))))))</f>
        <v>Alemania</v>
      </c>
      <c r="E138" s="10">
        <v>97</v>
      </c>
      <c r="F138" s="10">
        <v>98</v>
      </c>
      <c r="G138" s="10"/>
      <c r="H138" s="10" t="str">
        <f ca="1">IF(AND(OR(AC138="",AD138="")),"L101",IF(AC138&gt;AD138,AF138,IF(AC138&lt;AD138,AA138,IF(AND(AC138=AD138,AB138=AE138),"L101",IF(AND(AC138=AD138,OR(AB138="",AE138="")),"L101",IF(AND(AC138=AD138,AB138&gt;AE138),AF138,AA138))))))</f>
        <v>PO D: DEN/MKD/CZE/IRL</v>
      </c>
      <c r="I138" s="10"/>
      <c r="J138" s="19">
        <v>101</v>
      </c>
      <c r="K138" s="439">
        <v>46217.875</v>
      </c>
      <c r="L138" s="19" t="s">
        <v>732</v>
      </c>
      <c r="M138" s="19" t="str">
        <f ca="1">+INDEX($D$101:$D$147,MATCH(E138,$AH$101:$AH$147,0))</f>
        <v>Alemania</v>
      </c>
      <c r="N138" s="19" t="str">
        <f ca="1">+INDEX($D$101:$D$147,MATCH(F138,$AH$101:$AH$147,0))</f>
        <v>PO D: DEN/MKD/CZE/IRL</v>
      </c>
      <c r="O138" s="19"/>
      <c r="P138" s="19"/>
      <c r="Q138" s="19"/>
      <c r="R138" s="19"/>
      <c r="S138" s="19"/>
      <c r="T138" s="19"/>
      <c r="U138" s="19"/>
      <c r="V138" s="20"/>
      <c r="W138" s="677" t="s">
        <v>37</v>
      </c>
      <c r="X138" s="27">
        <f ca="1">Horarios!C138</f>
        <v>46217.875</v>
      </c>
      <c r="Y138" s="28">
        <f ca="1">Horarios!C138</f>
        <v>46217.875</v>
      </c>
      <c r="Z138" s="291">
        <f t="shared" ref="Z138:Z139" si="304">AH138</f>
        <v>101</v>
      </c>
      <c r="AA138" s="96" t="str">
        <f t="shared" ref="AA138:AA139" ca="1" si="305">+INDEX($M$101:$M$147,MATCH(AH138,$J$101:$J$147,0))</f>
        <v>Alemania</v>
      </c>
      <c r="AB138" s="97"/>
      <c r="AC138" s="109">
        <v>2</v>
      </c>
      <c r="AD138" s="109">
        <v>0</v>
      </c>
      <c r="AE138" s="97"/>
      <c r="AF138" s="124" t="str">
        <f ca="1">+INDEX($N$101:$N$147,MATCH(AH138,$J$101:$J$147,0))</f>
        <v>PO D: DEN/MKD/CZE/IRL</v>
      </c>
      <c r="AG138" s="339">
        <f ca="1">IF(D138="W"&amp;AH138,0,1)</f>
        <v>1</v>
      </c>
      <c r="AH138" s="205">
        <v>101</v>
      </c>
      <c r="AI138" s="191"/>
      <c r="AJ138" s="156"/>
      <c r="AK138" s="156"/>
      <c r="AL138" s="156"/>
      <c r="AM138" s="161"/>
      <c r="AN138" s="161"/>
      <c r="AO138" s="161"/>
      <c r="AP138" s="161"/>
      <c r="AQ138" s="161"/>
      <c r="AR138" s="161"/>
      <c r="AS138" s="161"/>
      <c r="AT138" s="161"/>
      <c r="AU138" s="346"/>
      <c r="AV138" s="190"/>
      <c r="AW138" s="161"/>
      <c r="AX138" s="161"/>
      <c r="AY138" s="162"/>
      <c r="AZ138" s="163"/>
      <c r="BA138" s="184"/>
      <c r="BC138" s="428"/>
      <c r="LF138" s="19"/>
      <c r="LG138" s="19"/>
      <c r="LH138" s="19"/>
      <c r="LI138" s="19"/>
      <c r="LJ138" s="19"/>
      <c r="LK138" s="19"/>
      <c r="LL138" s="19"/>
      <c r="LM138" s="19"/>
      <c r="LN138" s="19"/>
      <c r="LO138" s="19"/>
      <c r="LP138" s="19"/>
      <c r="LQ138" s="19"/>
      <c r="LR138" s="19"/>
      <c r="LS138" s="19"/>
      <c r="LT138" s="19"/>
      <c r="LU138" s="19"/>
      <c r="LV138" s="19"/>
      <c r="LW138" s="19"/>
      <c r="LX138" s="19"/>
      <c r="LY138" s="19"/>
      <c r="LZ138" s="19"/>
      <c r="MA138" s="19"/>
      <c r="MB138" s="19"/>
      <c r="MC138" s="19"/>
      <c r="MD138" s="19"/>
      <c r="ME138" s="19"/>
      <c r="MF138" s="19"/>
      <c r="MG138" s="19"/>
      <c r="MH138" s="19"/>
      <c r="MI138" s="19"/>
      <c r="MJ138" s="19"/>
      <c r="MK138" s="19"/>
      <c r="ML138" s="19"/>
      <c r="MM138" s="19"/>
      <c r="MN138" s="19"/>
      <c r="MO138" s="19"/>
      <c r="MP138" s="19"/>
      <c r="MQ138" s="19"/>
      <c r="MR138" s="19"/>
      <c r="MS138" s="19"/>
      <c r="MT138" s="19"/>
      <c r="MU138" s="19"/>
      <c r="MV138" s="19"/>
      <c r="MW138" s="19"/>
      <c r="MX138" s="19"/>
      <c r="MY138" s="19"/>
      <c r="MZ138" s="19"/>
      <c r="NA138" s="19"/>
      <c r="NB138" s="19"/>
      <c r="NC138" s="19"/>
      <c r="ND138" s="19"/>
      <c r="NE138" s="19"/>
      <c r="NF138" s="19"/>
      <c r="NG138" s="19"/>
      <c r="NH138" s="19"/>
      <c r="NI138" s="19"/>
      <c r="NJ138" s="19"/>
      <c r="NK138" s="19"/>
      <c r="NL138" s="19"/>
      <c r="NM138" s="19"/>
      <c r="NN138" s="19"/>
      <c r="NO138" s="19"/>
      <c r="NP138" s="19"/>
      <c r="NQ138" s="19"/>
      <c r="NR138" s="19"/>
      <c r="NS138" s="19"/>
      <c r="NT138" s="19"/>
      <c r="NU138" s="19"/>
      <c r="NV138" s="19"/>
      <c r="NW138" s="19"/>
      <c r="NX138" s="19"/>
      <c r="NY138" s="19"/>
      <c r="NZ138" s="19"/>
      <c r="OA138" s="19"/>
      <c r="OB138" s="19"/>
      <c r="OC138" s="19"/>
      <c r="OD138" s="19"/>
      <c r="OE138" s="19"/>
      <c r="OF138" s="19"/>
      <c r="OG138" s="19"/>
      <c r="OH138" s="19"/>
      <c r="OI138" s="19"/>
      <c r="OJ138" s="19"/>
      <c r="OK138" s="19"/>
      <c r="OL138" s="19"/>
      <c r="OM138" s="19"/>
      <c r="ON138" s="19"/>
      <c r="OO138" s="19"/>
      <c r="OP138" s="19"/>
      <c r="OQ138" s="19"/>
      <c r="OR138" s="19"/>
      <c r="OS138" s="19"/>
      <c r="OT138" s="19"/>
      <c r="OU138" s="19"/>
      <c r="OV138" s="19"/>
      <c r="OW138" s="19"/>
      <c r="OX138" s="19"/>
      <c r="OY138" s="19"/>
      <c r="OZ138" s="19"/>
      <c r="PA138" s="19"/>
      <c r="PB138" s="19"/>
      <c r="PC138" s="19"/>
      <c r="PD138" s="19"/>
      <c r="PE138" s="19"/>
      <c r="PF138" s="19"/>
      <c r="PG138" s="19"/>
      <c r="PH138" s="19"/>
      <c r="PI138" s="19"/>
      <c r="PJ138" s="642"/>
      <c r="PK138" s="19"/>
      <c r="PL138" s="19"/>
      <c r="PM138" s="19"/>
      <c r="PN138" s="19"/>
      <c r="PO138" s="19"/>
      <c r="PP138" s="19"/>
      <c r="PQ138" s="19"/>
      <c r="PR138" s="19"/>
      <c r="PS138" s="19"/>
      <c r="PT138" s="19"/>
      <c r="PU138" s="19"/>
      <c r="PV138" s="19"/>
      <c r="PW138" s="19"/>
      <c r="PX138" s="19"/>
      <c r="PY138" s="19"/>
      <c r="PZ138" s="19"/>
      <c r="QA138" s="19"/>
      <c r="QB138" s="19"/>
      <c r="QC138" s="19"/>
      <c r="QD138" s="19"/>
      <c r="QE138" s="19"/>
      <c r="QF138" s="19"/>
      <c r="QG138" s="19"/>
      <c r="QH138" s="19"/>
      <c r="QI138" s="19"/>
      <c r="QJ138" s="19"/>
      <c r="QK138" s="19"/>
      <c r="QL138" s="19"/>
      <c r="QM138" s="19"/>
      <c r="QN138" s="19"/>
      <c r="QO138" s="19"/>
      <c r="QP138" s="19"/>
      <c r="QQ138" s="19"/>
      <c r="QR138" s="19"/>
      <c r="QS138" s="19"/>
      <c r="QT138" s="19"/>
      <c r="QU138" s="19"/>
      <c r="QV138" s="19"/>
      <c r="QW138" s="19"/>
      <c r="QX138" s="19"/>
      <c r="QY138" s="19"/>
      <c r="QZ138" s="19"/>
      <c r="RA138" s="19"/>
      <c r="RB138" s="19"/>
      <c r="RC138" s="19"/>
      <c r="RD138" s="19"/>
      <c r="RE138" s="19"/>
      <c r="RF138" s="19"/>
      <c r="RG138" s="19"/>
      <c r="RH138" s="19"/>
      <c r="RI138" s="19"/>
      <c r="RJ138" s="19"/>
      <c r="RK138" s="19"/>
      <c r="RL138" s="19"/>
      <c r="RM138" s="19"/>
      <c r="RN138" s="19"/>
      <c r="RO138" s="19"/>
      <c r="RP138" s="19"/>
      <c r="RQ138" s="19"/>
      <c r="RR138" s="19"/>
      <c r="RS138" s="19"/>
      <c r="RT138" s="19"/>
      <c r="RU138" s="19"/>
      <c r="RV138" s="19"/>
      <c r="RW138" s="19"/>
      <c r="RX138" s="19"/>
      <c r="RY138" s="19"/>
      <c r="RZ138" s="19"/>
      <c r="SA138" s="19"/>
      <c r="SB138" s="19"/>
      <c r="SC138" s="19"/>
      <c r="ACH138" s="19"/>
      <c r="ACO138" s="19"/>
      <c r="ACV138" s="19"/>
      <c r="AEB138" s="19"/>
      <c r="AEC138" s="19"/>
      <c r="AED138" s="19"/>
      <c r="AEE138" s="19"/>
      <c r="AEF138" s="19"/>
      <c r="AEG138" s="19"/>
      <c r="AEH138" s="19"/>
      <c r="AMX138" s="19"/>
      <c r="AUC138" s="19"/>
      <c r="AVU138" s="19"/>
    </row>
    <row r="139" spans="1:824 1038:1325 2220:2220" ht="16.05" customHeight="1" thickBot="1">
      <c r="A139" s="19" t="s">
        <v>775</v>
      </c>
      <c r="B139" s="19" t="s">
        <v>776</v>
      </c>
      <c r="C139" s="643"/>
      <c r="D139" s="428" t="str">
        <f ca="1">IF(AND(OR(AC139="",AD139="")),"W"&amp;AH139,IF(AC139&gt;AD139,AA139,IF(AC139&lt;AD139,AF139,IF(AND(AC139=AD139,AB139=AE139),"W"&amp;AH139,IF(AND(AC139=AD139,OR(AB139="",AE139="")),"W"&amp;AH139,IF(AND(AC139=AD139,AB139&gt;AE139),AA139,AF139))))))</f>
        <v>Ghana</v>
      </c>
      <c r="E139" s="10">
        <v>99</v>
      </c>
      <c r="F139" s="10">
        <v>100</v>
      </c>
      <c r="G139" s="10"/>
      <c r="H139" s="10" t="str">
        <f ca="1">IF(AND(OR(AC139="",AD139="")),"L102",IF(AC139&gt;AD139,AF139,IF(AC139&lt;AD139,AA139,IF(AND(AC139=AD139,AB139=AE139),"W102",IF(AND(AC139=AD139,OR(AB139="",AE139="")),"L102",IF(AND(AC139=AD139,AB139&gt;AE139),AF139,AA139))))))</f>
        <v>Senegal</v>
      </c>
      <c r="I139" s="10"/>
      <c r="J139" s="19">
        <v>102</v>
      </c>
      <c r="K139" s="439">
        <v>46218.875</v>
      </c>
      <c r="L139" s="19" t="s">
        <v>733</v>
      </c>
      <c r="M139" s="19" t="str">
        <f ca="1">+INDEX($D$101:$D$147,MATCH(E139,$AH$101:$AH$147,0))</f>
        <v>Senegal</v>
      </c>
      <c r="N139" s="19" t="str">
        <f ca="1">+INDEX($D$101:$D$147,MATCH(F139,$AH$101:$AH$147,0))</f>
        <v>Ghana</v>
      </c>
      <c r="O139" s="19"/>
      <c r="P139" s="19"/>
      <c r="Q139" s="19"/>
      <c r="R139" s="19"/>
      <c r="S139" s="19"/>
      <c r="T139" s="19"/>
      <c r="U139" s="19"/>
      <c r="V139" s="20"/>
      <c r="W139" s="678"/>
      <c r="X139" s="131">
        <f ca="1">Horarios!C139</f>
        <v>46218.875</v>
      </c>
      <c r="Y139" s="132">
        <f ca="1">Horarios!C139</f>
        <v>46218.875</v>
      </c>
      <c r="Z139" s="293">
        <f t="shared" si="304"/>
        <v>102</v>
      </c>
      <c r="AA139" s="147" t="str">
        <f t="shared" ca="1" si="305"/>
        <v>Senegal</v>
      </c>
      <c r="AB139" s="148"/>
      <c r="AC139" s="108">
        <v>1</v>
      </c>
      <c r="AD139" s="108">
        <v>3</v>
      </c>
      <c r="AE139" s="148"/>
      <c r="AF139" s="149" t="str">
        <f ca="1">+INDEX($N$101:$N$147,MATCH(AH139,$J$101:$J$147,0))</f>
        <v>Ghana</v>
      </c>
      <c r="AG139" s="339">
        <f ca="1">IF(D139="W"&amp;AH139,0,1)</f>
        <v>1</v>
      </c>
      <c r="AH139" s="205">
        <v>102</v>
      </c>
      <c r="AI139" s="191"/>
      <c r="AJ139" s="156"/>
      <c r="AK139" s="156"/>
      <c r="AL139" s="156"/>
      <c r="AM139" s="161"/>
      <c r="AN139" s="161"/>
      <c r="AO139" s="161"/>
      <c r="AP139" s="161"/>
      <c r="AQ139" s="161"/>
      <c r="AR139" s="161"/>
      <c r="AS139" s="161"/>
      <c r="AT139" s="161"/>
      <c r="AU139" s="346"/>
      <c r="AV139" s="190"/>
      <c r="AW139" s="161"/>
      <c r="AX139" s="161"/>
      <c r="AY139" s="162"/>
      <c r="AZ139" s="163"/>
      <c r="BA139" s="184"/>
      <c r="BC139" s="428"/>
      <c r="LF139" s="19"/>
      <c r="LG139" s="19"/>
      <c r="LH139" s="19"/>
      <c r="LI139" s="19"/>
      <c r="LJ139" s="19"/>
      <c r="LK139" s="19"/>
      <c r="LL139" s="19"/>
      <c r="LM139" s="19"/>
      <c r="LN139" s="19"/>
      <c r="LO139" s="19"/>
      <c r="LP139" s="19"/>
      <c r="LQ139" s="19"/>
      <c r="LR139" s="19"/>
      <c r="LS139" s="19"/>
      <c r="LT139" s="19"/>
      <c r="LU139" s="19"/>
      <c r="LV139" s="19"/>
      <c r="LW139" s="19"/>
      <c r="LX139" s="19"/>
      <c r="LY139" s="19"/>
      <c r="LZ139" s="19"/>
      <c r="MA139" s="19"/>
      <c r="MB139" s="19"/>
      <c r="MC139" s="19"/>
      <c r="MD139" s="19"/>
      <c r="ME139" s="19"/>
      <c r="MF139" s="19"/>
      <c r="MG139" s="19"/>
      <c r="MH139" s="19"/>
      <c r="MI139" s="19"/>
      <c r="MJ139" s="19"/>
      <c r="MK139" s="19"/>
      <c r="ML139" s="19"/>
      <c r="MM139" s="19"/>
      <c r="MN139" s="19"/>
      <c r="MO139" s="19"/>
      <c r="MP139" s="19"/>
      <c r="MQ139" s="19"/>
      <c r="MR139" s="19"/>
      <c r="MS139" s="19"/>
      <c r="MT139" s="19"/>
      <c r="MU139" s="19"/>
      <c r="MV139" s="19"/>
      <c r="MW139" s="19"/>
      <c r="MX139" s="19"/>
      <c r="MY139" s="19"/>
      <c r="MZ139" s="19"/>
      <c r="NA139" s="19"/>
      <c r="NB139" s="19"/>
      <c r="NC139" s="19"/>
      <c r="ND139" s="19"/>
      <c r="NE139" s="19"/>
      <c r="NF139" s="19"/>
      <c r="NG139" s="19"/>
      <c r="NH139" s="19"/>
      <c r="NI139" s="19"/>
      <c r="NJ139" s="19"/>
      <c r="NK139" s="19"/>
      <c r="NL139" s="19"/>
      <c r="NM139" s="19"/>
      <c r="NN139" s="19"/>
      <c r="NO139" s="19"/>
      <c r="NP139" s="19"/>
      <c r="NQ139" s="19"/>
      <c r="NR139" s="19"/>
      <c r="NS139" s="19"/>
      <c r="NT139" s="19"/>
      <c r="NU139" s="19"/>
      <c r="NV139" s="19"/>
      <c r="NW139" s="19"/>
      <c r="NX139" s="19"/>
      <c r="NY139" s="19"/>
      <c r="NZ139" s="19"/>
      <c r="OA139" s="19"/>
      <c r="OB139" s="19"/>
      <c r="OC139" s="19"/>
      <c r="OD139" s="19"/>
      <c r="OE139" s="19"/>
      <c r="OF139" s="19"/>
      <c r="OG139" s="19"/>
      <c r="OH139" s="19"/>
      <c r="OI139" s="19"/>
      <c r="OJ139" s="19"/>
      <c r="OK139" s="19"/>
      <c r="OL139" s="19"/>
      <c r="OM139" s="19"/>
      <c r="ON139" s="19"/>
      <c r="OO139" s="19"/>
      <c r="OP139" s="19"/>
      <c r="OQ139" s="19"/>
      <c r="OR139" s="19"/>
      <c r="OS139" s="19"/>
      <c r="OT139" s="19"/>
      <c r="OU139" s="19"/>
      <c r="OV139" s="19"/>
      <c r="OW139" s="19"/>
      <c r="OX139" s="19"/>
      <c r="OY139" s="19"/>
      <c r="OZ139" s="19"/>
      <c r="PA139" s="19"/>
      <c r="PB139" s="19"/>
      <c r="PC139" s="19"/>
      <c r="PD139" s="19"/>
      <c r="PE139" s="19"/>
      <c r="PF139" s="19"/>
      <c r="PG139" s="19"/>
      <c r="PH139" s="19"/>
      <c r="PI139" s="19"/>
      <c r="PJ139" s="642"/>
      <c r="PK139" s="19"/>
      <c r="PL139" s="19"/>
      <c r="PM139" s="19"/>
      <c r="PN139" s="19"/>
      <c r="PO139" s="19"/>
      <c r="PP139" s="19"/>
      <c r="PQ139" s="19"/>
      <c r="PR139" s="19"/>
      <c r="PS139" s="19"/>
      <c r="PT139" s="19"/>
      <c r="PU139" s="19"/>
      <c r="PV139" s="19"/>
      <c r="PW139" s="19"/>
      <c r="PX139" s="19"/>
      <c r="PY139" s="19"/>
      <c r="PZ139" s="19"/>
      <c r="QA139" s="19"/>
      <c r="QB139" s="19"/>
      <c r="QC139" s="19"/>
      <c r="QD139" s="19"/>
      <c r="QE139" s="19"/>
      <c r="QF139" s="19"/>
      <c r="QG139" s="19"/>
      <c r="QH139" s="19"/>
      <c r="QI139" s="19"/>
      <c r="QJ139" s="19"/>
      <c r="QK139" s="19"/>
      <c r="QL139" s="19"/>
      <c r="QM139" s="19"/>
      <c r="QN139" s="19"/>
      <c r="QO139" s="19"/>
      <c r="QP139" s="19"/>
      <c r="QQ139" s="19"/>
      <c r="QR139" s="19"/>
      <c r="QS139" s="19"/>
      <c r="QT139" s="19"/>
      <c r="QU139" s="19"/>
      <c r="QV139" s="19"/>
      <c r="QW139" s="19"/>
      <c r="QX139" s="19"/>
      <c r="QY139" s="19"/>
      <c r="QZ139" s="19"/>
      <c r="RA139" s="19"/>
      <c r="RB139" s="19"/>
      <c r="RC139" s="19"/>
      <c r="RD139" s="19"/>
      <c r="RE139" s="19"/>
      <c r="RF139" s="19"/>
      <c r="RG139" s="19"/>
      <c r="RH139" s="19"/>
      <c r="RI139" s="19"/>
      <c r="RJ139" s="19"/>
      <c r="RK139" s="19"/>
      <c r="RL139" s="19"/>
      <c r="RM139" s="19"/>
      <c r="RN139" s="19"/>
      <c r="RO139" s="19"/>
      <c r="RP139" s="19"/>
      <c r="RQ139" s="19"/>
      <c r="RR139" s="19"/>
      <c r="RS139" s="19"/>
      <c r="RT139" s="19"/>
      <c r="RU139" s="19"/>
      <c r="RV139" s="19"/>
      <c r="RW139" s="19"/>
      <c r="RX139" s="19"/>
      <c r="RY139" s="19"/>
      <c r="RZ139" s="19"/>
      <c r="SA139" s="19"/>
      <c r="SB139" s="19"/>
      <c r="SC139" s="19"/>
      <c r="ACH139" s="19"/>
      <c r="ACO139" s="19"/>
      <c r="ACV139" s="19"/>
      <c r="AEB139" s="19"/>
      <c r="AEC139" s="19"/>
      <c r="AED139" s="19"/>
      <c r="AEE139" s="19"/>
      <c r="AEF139" s="19"/>
      <c r="AEG139" s="19"/>
      <c r="AEH139" s="19"/>
      <c r="AMX139" s="19"/>
      <c r="AUC139" s="19"/>
      <c r="AVU139" s="19"/>
    </row>
    <row r="140" spans="1:824 1038:1325 2220:2220" ht="16.05" customHeight="1" thickBot="1">
      <c r="A140" s="643"/>
      <c r="B140" s="643"/>
      <c r="C140" s="643"/>
      <c r="D140" s="428"/>
      <c r="E140" s="10"/>
      <c r="F140" s="10"/>
      <c r="G140" s="10"/>
      <c r="H140" s="10"/>
      <c r="I140" s="10"/>
      <c r="J140" s="10"/>
      <c r="K140" s="10"/>
      <c r="L140" s="10"/>
      <c r="M140" s="10"/>
      <c r="N140" s="10"/>
      <c r="O140" s="10"/>
      <c r="P140" s="10"/>
      <c r="Q140" s="10"/>
      <c r="R140" s="10"/>
      <c r="S140" s="10"/>
      <c r="T140" s="10"/>
      <c r="U140" s="10"/>
      <c r="V140" s="20"/>
      <c r="W140" s="162"/>
      <c r="X140" s="163"/>
      <c r="Y140" s="162"/>
      <c r="Z140" s="164"/>
      <c r="AA140" s="165"/>
      <c r="AB140" s="166"/>
      <c r="AC140" s="159"/>
      <c r="AD140" s="159"/>
      <c r="AE140" s="166"/>
      <c r="AF140" s="167"/>
      <c r="AG140" s="340"/>
      <c r="AH140" s="206"/>
      <c r="AI140" s="191"/>
      <c r="AJ140" s="156"/>
      <c r="AK140" s="156"/>
      <c r="AL140" s="156"/>
      <c r="AM140" s="161"/>
      <c r="AN140" s="161"/>
      <c r="AO140" s="161"/>
      <c r="AP140" s="161"/>
      <c r="AQ140" s="161"/>
      <c r="AR140" s="161"/>
      <c r="AS140" s="161"/>
      <c r="AT140" s="161"/>
      <c r="AU140" s="346"/>
      <c r="AV140" s="190"/>
      <c r="AW140" s="161"/>
      <c r="AX140" s="161"/>
      <c r="AY140" s="162"/>
      <c r="AZ140" s="163"/>
      <c r="BA140" s="184"/>
      <c r="BC140" s="428"/>
      <c r="LF140" s="19"/>
      <c r="LG140" s="19"/>
      <c r="LH140" s="19"/>
      <c r="LI140" s="19"/>
      <c r="LJ140" s="19"/>
      <c r="LK140" s="19"/>
      <c r="LL140" s="19"/>
      <c r="LM140" s="19"/>
      <c r="LN140" s="19"/>
      <c r="LO140" s="19"/>
      <c r="LP140" s="19"/>
      <c r="LQ140" s="19"/>
      <c r="LR140" s="19"/>
      <c r="LS140" s="19"/>
      <c r="LT140" s="19"/>
      <c r="LU140" s="19"/>
      <c r="LV140" s="19"/>
      <c r="LW140" s="19"/>
      <c r="LX140" s="19"/>
      <c r="LY140" s="19"/>
      <c r="LZ140" s="19"/>
      <c r="MA140" s="19"/>
      <c r="MB140" s="19"/>
      <c r="MC140" s="19"/>
      <c r="MD140" s="19"/>
      <c r="ME140" s="19"/>
      <c r="MF140" s="19"/>
      <c r="MG140" s="19"/>
      <c r="MH140" s="19"/>
      <c r="MI140" s="19"/>
      <c r="MJ140" s="19"/>
      <c r="MK140" s="19"/>
      <c r="ML140" s="19"/>
      <c r="MM140" s="19"/>
      <c r="MN140" s="19"/>
      <c r="MO140" s="19"/>
      <c r="MP140" s="19"/>
      <c r="MQ140" s="19"/>
      <c r="MR140" s="19"/>
      <c r="MS140" s="19"/>
      <c r="MT140" s="19"/>
      <c r="MU140" s="19"/>
      <c r="MV140" s="19"/>
      <c r="MW140" s="19"/>
      <c r="MX140" s="19"/>
      <c r="MY140" s="19"/>
      <c r="MZ140" s="19"/>
      <c r="NA140" s="19"/>
      <c r="NB140" s="19"/>
      <c r="NC140" s="19"/>
      <c r="ND140" s="19"/>
      <c r="NE140" s="19"/>
      <c r="NF140" s="19"/>
      <c r="NG140" s="19"/>
      <c r="NH140" s="19"/>
      <c r="NI140" s="19"/>
      <c r="NJ140" s="19"/>
      <c r="NK140" s="19"/>
      <c r="NL140" s="19"/>
      <c r="NM140" s="19"/>
      <c r="NN140" s="19"/>
      <c r="NO140" s="19"/>
      <c r="NP140" s="19"/>
      <c r="NQ140" s="19"/>
      <c r="NR140" s="19"/>
      <c r="NS140" s="19"/>
      <c r="NT140" s="19"/>
      <c r="NU140" s="19"/>
      <c r="NV140" s="19"/>
      <c r="NW140" s="19"/>
      <c r="NX140" s="19"/>
      <c r="NY140" s="19"/>
      <c r="NZ140" s="19"/>
      <c r="OA140" s="19"/>
      <c r="OB140" s="19"/>
      <c r="OC140" s="19"/>
      <c r="OD140" s="19"/>
      <c r="OE140" s="19"/>
      <c r="OF140" s="19"/>
      <c r="OG140" s="19"/>
      <c r="OH140" s="19"/>
      <c r="OI140" s="19"/>
      <c r="OJ140" s="19"/>
      <c r="OK140" s="19"/>
      <c r="OL140" s="19"/>
      <c r="OM140" s="19"/>
      <c r="ON140" s="19"/>
      <c r="OO140" s="19"/>
      <c r="OP140" s="19"/>
      <c r="OQ140" s="19"/>
      <c r="OR140" s="19"/>
      <c r="OS140" s="19"/>
      <c r="OT140" s="19"/>
      <c r="OU140" s="19"/>
      <c r="OV140" s="19"/>
      <c r="OW140" s="19"/>
      <c r="OX140" s="19"/>
      <c r="OY140" s="19"/>
      <c r="OZ140" s="19"/>
      <c r="PA140" s="19"/>
      <c r="PB140" s="19"/>
      <c r="PC140" s="19"/>
      <c r="PD140" s="19"/>
      <c r="PE140" s="19"/>
      <c r="PF140" s="19"/>
      <c r="PG140" s="19"/>
      <c r="PH140" s="19"/>
      <c r="PI140" s="19"/>
      <c r="PJ140" s="642"/>
      <c r="PK140" s="19"/>
      <c r="PL140" s="19"/>
      <c r="PM140" s="19"/>
      <c r="PN140" s="19"/>
      <c r="PO140" s="19"/>
      <c r="PP140" s="19"/>
      <c r="PQ140" s="19"/>
      <c r="PR140" s="19"/>
      <c r="PS140" s="19"/>
      <c r="PT140" s="19"/>
      <c r="PU140" s="19"/>
      <c r="PV140" s="19"/>
      <c r="PW140" s="19"/>
      <c r="PX140" s="19"/>
      <c r="PY140" s="19"/>
      <c r="PZ140" s="19"/>
      <c r="QA140" s="19"/>
      <c r="QB140" s="19"/>
      <c r="QC140" s="19"/>
      <c r="QD140" s="19"/>
      <c r="QE140" s="19"/>
      <c r="QF140" s="19"/>
      <c r="QG140" s="19"/>
      <c r="QH140" s="19"/>
      <c r="QI140" s="19"/>
      <c r="QJ140" s="19"/>
      <c r="QK140" s="19"/>
      <c r="QL140" s="19"/>
      <c r="QM140" s="19"/>
      <c r="QN140" s="19"/>
      <c r="QO140" s="19"/>
      <c r="QP140" s="19"/>
      <c r="QQ140" s="19"/>
      <c r="QR140" s="19"/>
      <c r="QS140" s="19"/>
      <c r="QT140" s="19"/>
      <c r="QU140" s="19"/>
      <c r="QV140" s="19"/>
      <c r="QW140" s="19"/>
      <c r="QX140" s="19"/>
      <c r="QY140" s="19"/>
      <c r="QZ140" s="19"/>
      <c r="RA140" s="19"/>
      <c r="RB140" s="19"/>
      <c r="RC140" s="19"/>
      <c r="RD140" s="19"/>
      <c r="RE140" s="19"/>
      <c r="RF140" s="19"/>
      <c r="RG140" s="19"/>
      <c r="RH140" s="19"/>
      <c r="RI140" s="19"/>
      <c r="RJ140" s="19"/>
      <c r="RK140" s="19"/>
      <c r="RL140" s="19"/>
      <c r="RM140" s="19"/>
      <c r="RN140" s="19"/>
      <c r="RO140" s="19"/>
      <c r="RP140" s="19"/>
      <c r="RQ140" s="19"/>
      <c r="RR140" s="19"/>
      <c r="RS140" s="19"/>
      <c r="RT140" s="19"/>
      <c r="RU140" s="19"/>
      <c r="RV140" s="19"/>
      <c r="RW140" s="19"/>
      <c r="RX140" s="19"/>
      <c r="RY140" s="19"/>
      <c r="RZ140" s="19"/>
      <c r="SA140" s="19"/>
      <c r="SB140" s="19"/>
      <c r="SC140" s="19"/>
      <c r="ACH140" s="19"/>
      <c r="ACO140" s="19"/>
      <c r="ACV140" s="19"/>
      <c r="AEB140" s="19"/>
      <c r="AEC140" s="19"/>
      <c r="AED140" s="19"/>
      <c r="AEE140" s="19"/>
      <c r="AEF140" s="19"/>
      <c r="AEG140" s="19"/>
      <c r="AEH140" s="19"/>
      <c r="AMX140" s="19"/>
      <c r="AUC140" s="19"/>
      <c r="AVU140" s="19"/>
    </row>
    <row r="141" spans="1:824 1038:1325 2220:2220" ht="16.05" customHeight="1" thickBot="1">
      <c r="A141" s="643"/>
      <c r="B141" s="643"/>
      <c r="C141" s="643"/>
      <c r="D141" s="428"/>
      <c r="E141" s="10"/>
      <c r="F141" s="10"/>
      <c r="G141" s="10"/>
      <c r="H141" s="10"/>
      <c r="I141" s="10"/>
      <c r="J141" s="10"/>
      <c r="K141" s="10"/>
      <c r="L141" s="10"/>
      <c r="M141" s="10"/>
      <c r="N141" s="10"/>
      <c r="O141" s="10"/>
      <c r="P141" s="10"/>
      <c r="Q141" s="10"/>
      <c r="R141" s="10"/>
      <c r="S141" s="10"/>
      <c r="T141" s="10"/>
      <c r="U141" s="10"/>
      <c r="V141" s="20"/>
      <c r="W141" s="126" t="str">
        <f>Idiomas!D31</f>
        <v>3º y 4º puesto</v>
      </c>
      <c r="X141" s="127"/>
      <c r="Y141" s="128"/>
      <c r="Z141" s="128"/>
      <c r="AA141" s="128"/>
      <c r="AB141" s="128"/>
      <c r="AC141" s="128"/>
      <c r="AD141" s="128"/>
      <c r="AE141" s="128"/>
      <c r="AF141" s="129"/>
      <c r="AG141" s="340"/>
      <c r="AH141" s="206"/>
      <c r="AI141" s="191"/>
      <c r="AJ141" s="156"/>
      <c r="AK141" s="156"/>
      <c r="AL141" s="156"/>
      <c r="AM141" s="161"/>
      <c r="AN141" s="161"/>
      <c r="AO141" s="161"/>
      <c r="AP141" s="161"/>
      <c r="AQ141" s="184"/>
      <c r="AR141" s="161"/>
      <c r="AS141" s="161"/>
      <c r="AT141" s="161"/>
      <c r="AU141" s="346"/>
      <c r="AV141" s="190"/>
      <c r="AW141" s="161"/>
      <c r="AX141" s="161"/>
      <c r="AY141" s="162"/>
      <c r="AZ141" s="163"/>
      <c r="BA141" s="184"/>
      <c r="BC141" s="428"/>
      <c r="LF141" s="19"/>
      <c r="LG141" s="19"/>
      <c r="LH141" s="19"/>
      <c r="LI141" s="19"/>
      <c r="LJ141" s="19"/>
      <c r="LK141" s="19"/>
      <c r="LL141" s="19"/>
      <c r="LM141" s="19"/>
      <c r="LN141" s="19"/>
      <c r="LO141" s="19"/>
      <c r="LP141" s="19"/>
      <c r="LQ141" s="19"/>
      <c r="LR141" s="19"/>
      <c r="LS141" s="19"/>
      <c r="LT141" s="19"/>
      <c r="LU141" s="19"/>
      <c r="LV141" s="19"/>
      <c r="LW141" s="19"/>
      <c r="LX141" s="19"/>
      <c r="LY141" s="19"/>
      <c r="LZ141" s="19"/>
      <c r="MA141" s="19"/>
      <c r="MB141" s="19"/>
      <c r="MC141" s="19"/>
      <c r="MD141" s="19"/>
      <c r="ME141" s="19"/>
      <c r="MF141" s="19"/>
      <c r="MG141" s="19"/>
      <c r="MH141" s="19"/>
      <c r="MI141" s="19"/>
      <c r="MJ141" s="19"/>
      <c r="MK141" s="19"/>
      <c r="ML141" s="19"/>
      <c r="MM141" s="19"/>
      <c r="MN141" s="19"/>
      <c r="MO141" s="19"/>
      <c r="MP141" s="19"/>
      <c r="MQ141" s="19"/>
      <c r="MR141" s="19"/>
      <c r="MS141" s="19"/>
      <c r="MT141" s="19"/>
      <c r="MU141" s="19"/>
      <c r="MV141" s="19"/>
      <c r="MW141" s="19"/>
      <c r="MX141" s="19"/>
      <c r="MY141" s="19"/>
      <c r="MZ141" s="19"/>
      <c r="NA141" s="19"/>
      <c r="NB141" s="19"/>
      <c r="NC141" s="19"/>
      <c r="ND141" s="19"/>
      <c r="NE141" s="19"/>
      <c r="NF141" s="19"/>
      <c r="NG141" s="19"/>
      <c r="NH141" s="19"/>
      <c r="NI141" s="19"/>
      <c r="NJ141" s="19"/>
      <c r="NK141" s="19"/>
      <c r="NL141" s="19"/>
      <c r="NM141" s="19"/>
      <c r="NN141" s="19"/>
      <c r="NO141" s="19"/>
      <c r="NP141" s="19"/>
      <c r="NQ141" s="19"/>
      <c r="NR141" s="19"/>
      <c r="NS141" s="19"/>
      <c r="NT141" s="19"/>
      <c r="NU141" s="19"/>
      <c r="NV141" s="19"/>
      <c r="NW141" s="19"/>
      <c r="NX141" s="19"/>
      <c r="NY141" s="19"/>
      <c r="NZ141" s="19"/>
      <c r="OA141" s="19"/>
      <c r="OB141" s="19"/>
      <c r="OC141" s="19"/>
      <c r="OD141" s="19"/>
      <c r="OE141" s="19"/>
      <c r="OF141" s="19"/>
      <c r="OG141" s="19"/>
      <c r="OH141" s="19"/>
      <c r="OI141" s="19"/>
      <c r="OJ141" s="19"/>
      <c r="OK141" s="19"/>
      <c r="OL141" s="19"/>
      <c r="OM141" s="19"/>
      <c r="ON141" s="19"/>
      <c r="OO141" s="19"/>
      <c r="OP141" s="19"/>
      <c r="OQ141" s="19"/>
      <c r="OR141" s="19"/>
      <c r="OS141" s="19"/>
      <c r="OT141" s="19"/>
      <c r="OU141" s="19"/>
      <c r="OV141" s="19"/>
      <c r="OW141" s="19"/>
      <c r="OX141" s="19"/>
      <c r="OY141" s="19"/>
      <c r="OZ141" s="19"/>
      <c r="PA141" s="19"/>
      <c r="PB141" s="19"/>
      <c r="PC141" s="19"/>
      <c r="PD141" s="19"/>
      <c r="PE141" s="19"/>
      <c r="PF141" s="19"/>
      <c r="PG141" s="19"/>
      <c r="PH141" s="19"/>
      <c r="PI141" s="19"/>
      <c r="PJ141" s="642"/>
      <c r="PK141" s="19"/>
      <c r="PL141" s="19"/>
      <c r="PM141" s="19"/>
      <c r="PN141" s="19"/>
      <c r="PO141" s="19"/>
      <c r="PP141" s="19"/>
      <c r="PQ141" s="19"/>
      <c r="PR141" s="19"/>
      <c r="PS141" s="19"/>
      <c r="PT141" s="19"/>
      <c r="PU141" s="19"/>
      <c r="PV141" s="19"/>
      <c r="PW141" s="19"/>
      <c r="PX141" s="19"/>
      <c r="PY141" s="19"/>
      <c r="PZ141" s="19"/>
      <c r="QA141" s="19"/>
      <c r="QB141" s="19"/>
      <c r="QC141" s="19"/>
      <c r="QD141" s="19"/>
      <c r="QE141" s="19"/>
      <c r="QF141" s="19"/>
      <c r="QG141" s="19"/>
      <c r="QH141" s="19"/>
      <c r="QI141" s="19"/>
      <c r="QJ141" s="19"/>
      <c r="QK141" s="19"/>
      <c r="QL141" s="19"/>
      <c r="QM141" s="19"/>
      <c r="QN141" s="19"/>
      <c r="QO141" s="19"/>
      <c r="QP141" s="19"/>
      <c r="QQ141" s="19"/>
      <c r="QR141" s="19"/>
      <c r="QS141" s="19"/>
      <c r="QT141" s="19"/>
      <c r="QU141" s="19"/>
      <c r="QV141" s="19"/>
      <c r="QW141" s="19"/>
      <c r="QX141" s="19"/>
      <c r="QY141" s="19"/>
      <c r="QZ141" s="19"/>
      <c r="RA141" s="19"/>
      <c r="RB141" s="19"/>
      <c r="RC141" s="19"/>
      <c r="RD141" s="19"/>
      <c r="RE141" s="19"/>
      <c r="RF141" s="19"/>
      <c r="RG141" s="19"/>
      <c r="RH141" s="19"/>
      <c r="RI141" s="19"/>
      <c r="RJ141" s="19"/>
      <c r="RK141" s="19"/>
      <c r="RL141" s="19"/>
      <c r="RM141" s="19"/>
      <c r="RN141" s="19"/>
      <c r="RO141" s="19"/>
      <c r="RP141" s="19"/>
      <c r="RQ141" s="19"/>
      <c r="RR141" s="19"/>
      <c r="RS141" s="19"/>
      <c r="RT141" s="19"/>
      <c r="RU141" s="19"/>
      <c r="RV141" s="19"/>
      <c r="RW141" s="19"/>
      <c r="RX141" s="19"/>
      <c r="RY141" s="19"/>
      <c r="RZ141" s="19"/>
      <c r="SA141" s="19"/>
      <c r="SB141" s="19"/>
      <c r="SC141" s="19"/>
      <c r="ACH141" s="19"/>
      <c r="ACO141" s="19"/>
      <c r="ACV141" s="19"/>
      <c r="AEB141" s="19"/>
      <c r="AEC141" s="19"/>
      <c r="AED141" s="19"/>
      <c r="AEE141" s="19"/>
      <c r="AEF141" s="19"/>
      <c r="AEG141" s="19"/>
      <c r="AEH141" s="19"/>
      <c r="AMX141" s="19"/>
      <c r="AUC141" s="19"/>
      <c r="AVU141" s="19"/>
    </row>
    <row r="142" spans="1:824 1038:1325 2220:2220" ht="16.05" customHeight="1">
      <c r="A142" s="643"/>
      <c r="B142" s="643"/>
      <c r="C142" s="643"/>
      <c r="D142" s="428"/>
      <c r="E142" s="10"/>
      <c r="F142" s="10"/>
      <c r="G142" s="10"/>
      <c r="H142" s="10"/>
      <c r="I142" s="10"/>
      <c r="J142" s="10"/>
      <c r="K142" s="10"/>
      <c r="L142" s="10"/>
      <c r="M142" s="10"/>
      <c r="N142" s="10"/>
      <c r="O142" s="10"/>
      <c r="P142" s="10"/>
      <c r="Q142" s="10"/>
      <c r="R142" s="10"/>
      <c r="S142" s="10"/>
      <c r="T142" s="10"/>
      <c r="U142" s="10"/>
      <c r="V142" s="20"/>
      <c r="W142" s="130"/>
      <c r="X142" s="77" t="str">
        <f>X3</f>
        <v>Fecha</v>
      </c>
      <c r="Y142" s="77" t="str">
        <f>Y3</f>
        <v>Hora</v>
      </c>
      <c r="Z142" s="75"/>
      <c r="AA142" s="76" t="str">
        <f>AA3</f>
        <v>Casa</v>
      </c>
      <c r="AB142" s="75" t="s">
        <v>13</v>
      </c>
      <c r="AC142" s="77" t="str">
        <f>AC3</f>
        <v>Gol</v>
      </c>
      <c r="AD142" s="77" t="str">
        <f>AD3</f>
        <v>Gol</v>
      </c>
      <c r="AE142" s="75" t="s">
        <v>13</v>
      </c>
      <c r="AF142" s="110" t="str">
        <f>AF3</f>
        <v>Fuera</v>
      </c>
      <c r="AG142" s="340"/>
      <c r="AH142" s="206"/>
      <c r="AI142" s="191"/>
      <c r="AJ142" s="156"/>
      <c r="AK142" s="156"/>
      <c r="AL142" s="156"/>
      <c r="AM142" s="161"/>
      <c r="AN142" s="161"/>
      <c r="AO142" s="161"/>
      <c r="AP142" s="161"/>
      <c r="AQ142" s="161"/>
      <c r="AR142" s="161"/>
      <c r="AS142" s="161"/>
      <c r="AT142" s="161"/>
      <c r="AU142" s="346"/>
      <c r="AV142" s="190"/>
      <c r="AW142" s="161"/>
      <c r="AX142" s="161"/>
      <c r="AY142" s="162"/>
      <c r="AZ142" s="163"/>
      <c r="BA142" s="155"/>
      <c r="LF142" s="19"/>
      <c r="LG142" s="19"/>
      <c r="LH142" s="19"/>
      <c r="LI142" s="19"/>
      <c r="LJ142" s="19"/>
      <c r="LK142" s="19"/>
      <c r="LL142" s="19"/>
      <c r="LM142" s="19"/>
      <c r="LN142" s="19"/>
      <c r="LO142" s="19"/>
      <c r="LP142" s="19"/>
      <c r="LQ142" s="19"/>
      <c r="LR142" s="19"/>
      <c r="LS142" s="19"/>
      <c r="LT142" s="19"/>
      <c r="LU142" s="19"/>
      <c r="LV142" s="19"/>
      <c r="LW142" s="19"/>
      <c r="LX142" s="19"/>
      <c r="LY142" s="19"/>
      <c r="LZ142" s="19"/>
      <c r="MA142" s="19"/>
      <c r="MB142" s="19"/>
      <c r="MC142" s="19"/>
      <c r="MD142" s="19"/>
      <c r="ME142" s="19"/>
      <c r="MF142" s="19"/>
      <c r="MG142" s="19"/>
      <c r="MH142" s="19"/>
      <c r="MI142" s="19"/>
      <c r="MJ142" s="19"/>
      <c r="MK142" s="19"/>
      <c r="ML142" s="19"/>
      <c r="MM142" s="19"/>
      <c r="MN142" s="19"/>
      <c r="MO142" s="19"/>
      <c r="MP142" s="19"/>
      <c r="MQ142" s="19"/>
      <c r="MR142" s="19"/>
      <c r="MS142" s="19"/>
      <c r="MT142" s="19"/>
      <c r="MU142" s="19"/>
      <c r="MV142" s="19"/>
      <c r="MW142" s="19"/>
      <c r="MX142" s="19"/>
      <c r="MY142" s="19"/>
      <c r="MZ142" s="19"/>
      <c r="NA142" s="19"/>
      <c r="NB142" s="19"/>
      <c r="NC142" s="19"/>
      <c r="ND142" s="19"/>
      <c r="NE142" s="19"/>
      <c r="NF142" s="19"/>
      <c r="NG142" s="19"/>
      <c r="NH142" s="19"/>
      <c r="NI142" s="19"/>
      <c r="NJ142" s="19"/>
      <c r="NK142" s="19"/>
      <c r="NL142" s="19"/>
      <c r="NM142" s="19"/>
      <c r="NN142" s="19"/>
      <c r="NO142" s="19"/>
      <c r="NP142" s="19"/>
      <c r="NQ142" s="19"/>
      <c r="NR142" s="19"/>
      <c r="NS142" s="19"/>
      <c r="NT142" s="19"/>
      <c r="NU142" s="19"/>
      <c r="NV142" s="19"/>
      <c r="NW142" s="19"/>
      <c r="NX142" s="19"/>
      <c r="NY142" s="19"/>
      <c r="NZ142" s="19"/>
      <c r="OA142" s="19"/>
      <c r="OB142" s="19"/>
      <c r="OC142" s="19"/>
      <c r="OD142" s="19"/>
      <c r="OE142" s="19"/>
      <c r="OF142" s="19"/>
      <c r="OG142" s="19"/>
      <c r="OH142" s="19"/>
      <c r="OI142" s="19"/>
      <c r="OJ142" s="19"/>
      <c r="OK142" s="19"/>
      <c r="OL142" s="19"/>
      <c r="OM142" s="19"/>
      <c r="ON142" s="19"/>
      <c r="OO142" s="19"/>
      <c r="OP142" s="19"/>
      <c r="OQ142" s="19"/>
      <c r="OR142" s="19"/>
      <c r="OS142" s="19"/>
      <c r="OT142" s="19"/>
      <c r="OU142" s="19"/>
      <c r="OV142" s="19"/>
      <c r="OW142" s="19"/>
      <c r="OX142" s="19"/>
      <c r="OY142" s="19"/>
      <c r="OZ142" s="19"/>
      <c r="PA142" s="19"/>
      <c r="PB142" s="19"/>
      <c r="PC142" s="19"/>
      <c r="PD142" s="19"/>
      <c r="PE142" s="19"/>
      <c r="PF142" s="19"/>
      <c r="PG142" s="19"/>
      <c r="PH142" s="19"/>
      <c r="PI142" s="19"/>
      <c r="PJ142" s="642"/>
      <c r="PK142" s="19"/>
      <c r="PL142" s="19"/>
      <c r="PM142" s="19"/>
      <c r="PN142" s="19"/>
      <c r="PO142" s="19"/>
      <c r="PP142" s="19"/>
      <c r="PQ142" s="19"/>
      <c r="PR142" s="19"/>
      <c r="PS142" s="19"/>
      <c r="PT142" s="19"/>
      <c r="PU142" s="19"/>
      <c r="PV142" s="19"/>
      <c r="PW142" s="19"/>
      <c r="PX142" s="19"/>
      <c r="PY142" s="19"/>
      <c r="PZ142" s="19"/>
      <c r="QA142" s="19"/>
      <c r="QB142" s="19"/>
      <c r="QC142" s="19"/>
      <c r="QD142" s="19"/>
      <c r="QE142" s="19"/>
      <c r="QF142" s="19"/>
      <c r="QG142" s="19"/>
      <c r="QH142" s="19"/>
      <c r="QI142" s="19"/>
      <c r="QJ142" s="19"/>
      <c r="QK142" s="19"/>
      <c r="QL142" s="19"/>
      <c r="QM142" s="19"/>
      <c r="QN142" s="19"/>
      <c r="QO142" s="19"/>
      <c r="QP142" s="19"/>
      <c r="QQ142" s="19"/>
      <c r="QR142" s="19"/>
      <c r="QS142" s="19"/>
      <c r="QT142" s="19"/>
      <c r="QU142" s="19"/>
      <c r="QV142" s="19"/>
      <c r="QW142" s="19"/>
      <c r="QX142" s="19"/>
      <c r="QY142" s="19"/>
      <c r="QZ142" s="19"/>
      <c r="RA142" s="19"/>
      <c r="RB142" s="19"/>
      <c r="RC142" s="19"/>
      <c r="RD142" s="19"/>
      <c r="RE142" s="19"/>
      <c r="RF142" s="19"/>
      <c r="RG142" s="19"/>
      <c r="RH142" s="19"/>
      <c r="RI142" s="19"/>
      <c r="RJ142" s="19"/>
      <c r="RK142" s="19"/>
      <c r="RL142" s="19"/>
      <c r="RM142" s="19"/>
      <c r="RN142" s="19"/>
      <c r="RO142" s="19"/>
      <c r="RP142" s="19"/>
      <c r="RQ142" s="19"/>
      <c r="RR142" s="19"/>
      <c r="RS142" s="19"/>
      <c r="RT142" s="19"/>
      <c r="RU142" s="19"/>
      <c r="RV142" s="19"/>
      <c r="RW142" s="19"/>
      <c r="RX142" s="19"/>
      <c r="RY142" s="19"/>
      <c r="RZ142" s="19"/>
      <c r="SA142" s="19"/>
      <c r="SB142" s="19"/>
      <c r="SC142" s="19"/>
      <c r="ACH142" s="19"/>
      <c r="ACO142" s="19"/>
      <c r="ACV142" s="19"/>
      <c r="AEB142" s="19"/>
      <c r="AEC142" s="19"/>
      <c r="AED142" s="19"/>
      <c r="AEE142" s="19"/>
      <c r="AEF142" s="19"/>
      <c r="AEG142" s="19"/>
      <c r="AEH142" s="19"/>
      <c r="AMX142" s="19"/>
      <c r="AUC142" s="19"/>
      <c r="AVU142" s="19"/>
    </row>
    <row r="143" spans="1:824 1038:1325 2220:2220" ht="16.05" customHeight="1" thickBot="1">
      <c r="A143" s="19" t="s">
        <v>777</v>
      </c>
      <c r="B143" s="19" t="s">
        <v>778</v>
      </c>
      <c r="C143" s="643"/>
      <c r="D143" s="428" t="str">
        <f ca="1">IF(AND(OR(AC143="",AD143="")),"W"&amp;AH143,IF(AC143&gt;AD143,AA143,IF(AC143&lt;AD143,AF143,IF(AND(AC143=AD143,AB143=AE143),"W"&amp;AH143,IF(AND(AC143=AD143,OR(AB143="",AE143="")),"W"&amp;AH143,IF(AND(AC143=AD143,AB143&gt;AE143),AA143,AF143))))))</f>
        <v>PO D: DEN/MKD/CZE/IRL</v>
      </c>
      <c r="E143" s="10">
        <v>101</v>
      </c>
      <c r="F143" s="10">
        <v>102</v>
      </c>
      <c r="G143" s="10"/>
      <c r="H143" s="10"/>
      <c r="I143" s="10"/>
      <c r="J143" s="19">
        <v>103</v>
      </c>
      <c r="K143" s="439">
        <v>46221.875</v>
      </c>
      <c r="L143" s="19" t="s">
        <v>734</v>
      </c>
      <c r="M143" s="19" t="str">
        <f ca="1">+INDEX($D$101:$D$147,MATCH(E143,$AH$101:$AH$147,0))</f>
        <v>Alemania</v>
      </c>
      <c r="N143" s="19" t="str">
        <f ca="1">+INDEX($D$101:$D$147,MATCH(F143,$AH$101:$AH$147,0))</f>
        <v>Ghana</v>
      </c>
      <c r="O143" s="19"/>
      <c r="P143" s="19"/>
      <c r="Q143" s="19"/>
      <c r="R143" s="19"/>
      <c r="S143" s="19"/>
      <c r="T143" s="19"/>
      <c r="U143" s="19"/>
      <c r="V143" s="20"/>
      <c r="W143" s="150" t="s">
        <v>510</v>
      </c>
      <c r="X143" s="131">
        <f ca="1">Horarios!C143</f>
        <v>46221.958333333336</v>
      </c>
      <c r="Y143" s="132">
        <f ca="1">Horarios!C143</f>
        <v>46221.958333333336</v>
      </c>
      <c r="Z143" s="294">
        <f>AH143</f>
        <v>103</v>
      </c>
      <c r="AA143" s="112" t="str">
        <f ca="1">IF(AND(OR(AC138="",AD138="")),"L101",IF(AC138&gt;AD138,AF138,IF(AC138&lt;AD138,AA138,IF(AND(AC138=AD138,AB138=AE138),"L101",IF(AND(AC138=AD138,OR(AB138="",AE138="")),"L101",IF(AND(AC138=AD138,AB138&gt;AE138),AF138,AA138))))))</f>
        <v>PO D: DEN/MKD/CZE/IRL</v>
      </c>
      <c r="AB143" s="225"/>
      <c r="AC143" s="113">
        <v>2</v>
      </c>
      <c r="AD143" s="113">
        <v>1</v>
      </c>
      <c r="AE143" s="225"/>
      <c r="AF143" s="114" t="str">
        <f ca="1">IF(AND(OR(AC139="",AD139="")),"L102",IF(AC139&gt;AD139,AF139,IF(AC139&lt;AD139,AA139,IF(AND(AC139=AD139,AB139=AE139),"L102",IF(AND(AC139=AD139,OR(AB139="",AE139="")),"L102",IF(AND(AC139=AD139,AB139&gt;AE139),AF139,AA139))))))</f>
        <v>Senegal</v>
      </c>
      <c r="AG143" s="339">
        <f ca="1">IF(D143="W"&amp;AH143,0,1)</f>
        <v>1</v>
      </c>
      <c r="AH143" s="205">
        <v>103</v>
      </c>
      <c r="AI143" s="191"/>
      <c r="AJ143" s="156"/>
      <c r="AK143" s="156"/>
      <c r="AL143" s="156"/>
      <c r="AM143" s="161"/>
      <c r="AN143" s="161"/>
      <c r="AO143" s="161"/>
      <c r="AP143" s="161"/>
      <c r="AQ143" s="161"/>
      <c r="AR143" s="161"/>
      <c r="AS143" s="161"/>
      <c r="AT143" s="161"/>
      <c r="AU143" s="346"/>
      <c r="AV143" s="190"/>
      <c r="AW143" s="161"/>
      <c r="AX143" s="161"/>
      <c r="AY143" s="162"/>
      <c r="AZ143" s="163"/>
      <c r="BA143" s="155"/>
      <c r="LF143" s="19"/>
      <c r="LG143" s="19"/>
      <c r="LH143" s="19"/>
      <c r="LI143" s="19"/>
      <c r="LJ143" s="19"/>
      <c r="LK143" s="19"/>
      <c r="LL143" s="19"/>
      <c r="LM143" s="19"/>
      <c r="LN143" s="19"/>
      <c r="LO143" s="19"/>
      <c r="LP143" s="19"/>
      <c r="LQ143" s="19"/>
      <c r="LR143" s="19"/>
      <c r="LS143" s="19"/>
      <c r="LT143" s="19"/>
      <c r="LU143" s="19"/>
      <c r="LV143" s="19"/>
      <c r="LW143" s="19"/>
      <c r="LX143" s="19"/>
      <c r="LY143" s="19"/>
      <c r="LZ143" s="19"/>
      <c r="MA143" s="19"/>
      <c r="MB143" s="19"/>
      <c r="MC143" s="19"/>
      <c r="MD143" s="19"/>
      <c r="ME143" s="19"/>
      <c r="MF143" s="19"/>
      <c r="MG143" s="19"/>
      <c r="MH143" s="19"/>
      <c r="MI143" s="19"/>
      <c r="MJ143" s="19"/>
      <c r="MK143" s="19"/>
      <c r="ML143" s="19"/>
      <c r="MM143" s="19"/>
      <c r="MN143" s="19"/>
      <c r="MO143" s="19"/>
      <c r="MP143" s="19"/>
      <c r="MQ143" s="19"/>
      <c r="MR143" s="19"/>
      <c r="MS143" s="19"/>
      <c r="MT143" s="19"/>
      <c r="MU143" s="19"/>
      <c r="MV143" s="19"/>
      <c r="MW143" s="19"/>
      <c r="MX143" s="19"/>
      <c r="MY143" s="19"/>
      <c r="MZ143" s="19"/>
      <c r="NA143" s="19"/>
      <c r="NB143" s="19"/>
      <c r="NC143" s="19"/>
      <c r="ND143" s="19"/>
      <c r="NE143" s="19"/>
      <c r="NF143" s="19"/>
      <c r="NG143" s="19"/>
      <c r="NH143" s="19"/>
      <c r="NI143" s="19"/>
      <c r="NJ143" s="19"/>
      <c r="NK143" s="19"/>
      <c r="NL143" s="19"/>
      <c r="NM143" s="19"/>
      <c r="NN143" s="19"/>
      <c r="NO143" s="19"/>
      <c r="NP143" s="19"/>
      <c r="NQ143" s="19"/>
      <c r="NR143" s="19"/>
      <c r="NS143" s="19"/>
      <c r="NT143" s="19"/>
      <c r="NU143" s="19"/>
      <c r="NV143" s="19"/>
      <c r="NW143" s="19"/>
      <c r="NX143" s="19"/>
      <c r="NY143" s="19"/>
      <c r="NZ143" s="19"/>
      <c r="OA143" s="19"/>
      <c r="OB143" s="19"/>
      <c r="OC143" s="19"/>
      <c r="OD143" s="19"/>
      <c r="OE143" s="19"/>
      <c r="OF143" s="19"/>
      <c r="OG143" s="19"/>
      <c r="OH143" s="19"/>
      <c r="OI143" s="19"/>
      <c r="OJ143" s="19"/>
      <c r="OK143" s="19"/>
      <c r="OL143" s="19"/>
      <c r="OM143" s="19"/>
      <c r="ON143" s="19"/>
      <c r="OO143" s="19"/>
      <c r="OP143" s="19"/>
      <c r="OQ143" s="19"/>
      <c r="OR143" s="19"/>
      <c r="OS143" s="19"/>
      <c r="OT143" s="19"/>
      <c r="OU143" s="19"/>
      <c r="OV143" s="19"/>
      <c r="OW143" s="19"/>
      <c r="OX143" s="19"/>
      <c r="OY143" s="19"/>
      <c r="OZ143" s="19"/>
      <c r="PA143" s="19"/>
      <c r="PB143" s="19"/>
      <c r="PC143" s="19"/>
      <c r="PD143" s="19"/>
      <c r="PE143" s="19"/>
      <c r="PF143" s="19"/>
      <c r="PG143" s="19"/>
      <c r="PH143" s="19"/>
      <c r="PI143" s="19"/>
      <c r="PJ143" s="642"/>
      <c r="PK143" s="19"/>
      <c r="PL143" s="19"/>
      <c r="PM143" s="19"/>
      <c r="PN143" s="19"/>
      <c r="PO143" s="19"/>
      <c r="PP143" s="19"/>
      <c r="PQ143" s="19"/>
      <c r="PR143" s="19"/>
      <c r="PS143" s="19"/>
      <c r="PT143" s="19"/>
      <c r="PU143" s="19"/>
      <c r="PV143" s="19"/>
      <c r="PW143" s="19"/>
      <c r="PX143" s="19"/>
      <c r="PY143" s="19"/>
      <c r="PZ143" s="19"/>
      <c r="QA143" s="19"/>
      <c r="QB143" s="19"/>
      <c r="QC143" s="19"/>
      <c r="QD143" s="19"/>
      <c r="QE143" s="19"/>
      <c r="QF143" s="19"/>
      <c r="QG143" s="19"/>
      <c r="QH143" s="19"/>
      <c r="QI143" s="19"/>
      <c r="QJ143" s="19"/>
      <c r="QK143" s="19"/>
      <c r="QL143" s="19"/>
      <c r="QM143" s="19"/>
      <c r="QN143" s="19"/>
      <c r="QO143" s="19"/>
      <c r="QP143" s="19"/>
      <c r="QQ143" s="19"/>
      <c r="QR143" s="19"/>
      <c r="QS143" s="19"/>
      <c r="QT143" s="19"/>
      <c r="QU143" s="19"/>
      <c r="QV143" s="19"/>
      <c r="QW143" s="19"/>
      <c r="QX143" s="19"/>
      <c r="QY143" s="19"/>
      <c r="QZ143" s="19"/>
      <c r="RA143" s="19"/>
      <c r="RB143" s="19"/>
      <c r="RC143" s="19"/>
      <c r="RD143" s="19"/>
      <c r="RE143" s="19"/>
      <c r="RF143" s="19"/>
      <c r="RG143" s="19"/>
      <c r="RH143" s="19"/>
      <c r="RI143" s="19"/>
      <c r="RJ143" s="19"/>
      <c r="RK143" s="19"/>
      <c r="RL143" s="19"/>
      <c r="RM143" s="19"/>
      <c r="RN143" s="19"/>
      <c r="RO143" s="19"/>
      <c r="RP143" s="19"/>
      <c r="RQ143" s="19"/>
      <c r="RR143" s="19"/>
      <c r="RS143" s="19"/>
      <c r="RT143" s="19"/>
      <c r="RU143" s="19"/>
      <c r="RV143" s="19"/>
      <c r="RW143" s="19"/>
      <c r="RX143" s="19"/>
      <c r="RY143" s="19"/>
      <c r="RZ143" s="19"/>
      <c r="SA143" s="19"/>
      <c r="SB143" s="19"/>
      <c r="SC143" s="19"/>
      <c r="ACH143" s="19"/>
      <c r="ACO143" s="19"/>
      <c r="ACV143" s="19"/>
      <c r="AEB143" s="19"/>
      <c r="AEC143" s="19"/>
      <c r="AED143" s="19"/>
      <c r="AEE143" s="19"/>
      <c r="AEF143" s="19"/>
      <c r="AEG143" s="19"/>
      <c r="AEH143" s="19"/>
      <c r="AMX143" s="19"/>
      <c r="AUC143" s="19"/>
      <c r="AVU143" s="19"/>
    </row>
    <row r="144" spans="1:824 1038:1325 2220:2220" ht="16.05" customHeight="1" thickBot="1">
      <c r="A144" s="643"/>
      <c r="B144" s="643"/>
      <c r="C144" s="643"/>
      <c r="D144" s="428"/>
      <c r="E144" s="10"/>
      <c r="F144" s="10"/>
      <c r="G144" s="10"/>
      <c r="H144" s="10"/>
      <c r="I144" s="10"/>
      <c r="J144" s="10"/>
      <c r="K144" s="10"/>
      <c r="L144" s="10"/>
      <c r="M144" s="10"/>
      <c r="N144" s="10"/>
      <c r="O144" s="10"/>
      <c r="P144" s="10"/>
      <c r="Q144" s="10"/>
      <c r="R144" s="10"/>
      <c r="S144" s="10"/>
      <c r="T144" s="10"/>
      <c r="U144" s="10"/>
      <c r="V144" s="20"/>
      <c r="W144" s="162"/>
      <c r="X144" s="163"/>
      <c r="Y144" s="162"/>
      <c r="Z144" s="164"/>
      <c r="AA144" s="165"/>
      <c r="AB144" s="166"/>
      <c r="AC144" s="159"/>
      <c r="AD144" s="159"/>
      <c r="AE144" s="166"/>
      <c r="AF144" s="167"/>
      <c r="AG144" s="340"/>
      <c r="AH144" s="205"/>
      <c r="AI144" s="191"/>
      <c r="AJ144" s="156"/>
      <c r="AK144" s="156"/>
      <c r="AL144" s="156"/>
      <c r="AM144" s="161"/>
      <c r="AN144" s="161"/>
      <c r="AO144" s="161"/>
      <c r="AP144" s="161"/>
      <c r="AQ144" s="161"/>
      <c r="AR144" s="161"/>
      <c r="AS144" s="161"/>
      <c r="AT144" s="161"/>
      <c r="AU144" s="346"/>
      <c r="AV144" s="190"/>
      <c r="AW144" s="161"/>
      <c r="AX144" s="161"/>
      <c r="AY144" s="162"/>
      <c r="AZ144" s="163"/>
      <c r="BA144" s="155"/>
      <c r="LF144" s="19"/>
      <c r="LG144" s="19"/>
      <c r="LH144" s="19"/>
      <c r="LI144" s="19"/>
      <c r="LJ144" s="19"/>
      <c r="LK144" s="19"/>
      <c r="LL144" s="19"/>
      <c r="LM144" s="19"/>
      <c r="LN144" s="19"/>
      <c r="LO144" s="19"/>
      <c r="LP144" s="19"/>
      <c r="LQ144" s="19"/>
      <c r="LR144" s="19"/>
      <c r="LS144" s="19"/>
      <c r="LT144" s="19"/>
      <c r="LU144" s="19"/>
      <c r="LV144" s="19"/>
      <c r="LW144" s="19"/>
      <c r="LX144" s="19"/>
      <c r="LY144" s="19"/>
      <c r="LZ144" s="19"/>
      <c r="MA144" s="19"/>
      <c r="MB144" s="19"/>
      <c r="MC144" s="19"/>
      <c r="MD144" s="19"/>
      <c r="ME144" s="19"/>
      <c r="MF144" s="19"/>
      <c r="MG144" s="19"/>
      <c r="MH144" s="19"/>
      <c r="MI144" s="19"/>
      <c r="MJ144" s="19"/>
      <c r="MK144" s="19"/>
      <c r="ML144" s="19"/>
      <c r="MM144" s="19"/>
      <c r="MN144" s="19"/>
      <c r="MO144" s="19"/>
      <c r="MP144" s="19"/>
      <c r="MQ144" s="19"/>
      <c r="MR144" s="19"/>
      <c r="MS144" s="19"/>
      <c r="MT144" s="19"/>
      <c r="MU144" s="19"/>
      <c r="MV144" s="19"/>
      <c r="MW144" s="19"/>
      <c r="MX144" s="19"/>
      <c r="MY144" s="19"/>
      <c r="MZ144" s="19"/>
      <c r="NA144" s="19"/>
      <c r="NB144" s="19"/>
      <c r="NC144" s="19"/>
      <c r="ND144" s="19"/>
      <c r="NE144" s="19"/>
      <c r="NF144" s="19"/>
      <c r="NG144" s="19"/>
      <c r="NH144" s="19"/>
      <c r="NI144" s="19"/>
      <c r="NJ144" s="19"/>
      <c r="NK144" s="19"/>
      <c r="NL144" s="19"/>
      <c r="NM144" s="19"/>
      <c r="NN144" s="19"/>
      <c r="NO144" s="19"/>
      <c r="NP144" s="19"/>
      <c r="NQ144" s="19"/>
      <c r="NR144" s="19"/>
      <c r="NS144" s="19"/>
      <c r="NT144" s="19"/>
      <c r="NU144" s="19"/>
      <c r="NV144" s="19"/>
      <c r="NW144" s="19"/>
      <c r="NX144" s="19"/>
      <c r="NY144" s="19"/>
      <c r="NZ144" s="19"/>
      <c r="OA144" s="19"/>
      <c r="OB144" s="19"/>
      <c r="OC144" s="19"/>
      <c r="OD144" s="19"/>
      <c r="OE144" s="19"/>
      <c r="OF144" s="19"/>
      <c r="OG144" s="19"/>
      <c r="OH144" s="19"/>
      <c r="OI144" s="19"/>
      <c r="OJ144" s="19"/>
      <c r="OK144" s="19"/>
      <c r="OL144" s="19"/>
      <c r="OM144" s="19"/>
      <c r="ON144" s="19"/>
      <c r="OO144" s="19"/>
      <c r="OP144" s="19"/>
      <c r="OQ144" s="19"/>
      <c r="OR144" s="19"/>
      <c r="OS144" s="19"/>
      <c r="OT144" s="19"/>
      <c r="OU144" s="19"/>
      <c r="OV144" s="19"/>
      <c r="OW144" s="19"/>
      <c r="OX144" s="19"/>
      <c r="OY144" s="19"/>
      <c r="OZ144" s="19"/>
      <c r="PA144" s="19"/>
      <c r="PB144" s="19"/>
      <c r="PC144" s="19"/>
      <c r="PD144" s="19"/>
      <c r="PE144" s="19"/>
      <c r="PF144" s="19"/>
      <c r="PG144" s="19"/>
      <c r="PH144" s="19"/>
      <c r="PI144" s="19"/>
      <c r="PJ144" s="642"/>
      <c r="PK144" s="19"/>
      <c r="PL144" s="19"/>
      <c r="PM144" s="19"/>
      <c r="PN144" s="19"/>
      <c r="PO144" s="19"/>
      <c r="PP144" s="19"/>
      <c r="PQ144" s="19"/>
      <c r="PR144" s="19"/>
      <c r="PS144" s="19"/>
      <c r="PT144" s="19"/>
      <c r="PU144" s="19"/>
      <c r="PV144" s="19"/>
      <c r="PW144" s="19"/>
      <c r="PX144" s="19"/>
      <c r="PY144" s="19"/>
      <c r="PZ144" s="19"/>
      <c r="QA144" s="19"/>
      <c r="QB144" s="19"/>
      <c r="QC144" s="19"/>
      <c r="QD144" s="19"/>
      <c r="QE144" s="19"/>
      <c r="QF144" s="19"/>
      <c r="QG144" s="19"/>
      <c r="QH144" s="19"/>
      <c r="QI144" s="19"/>
      <c r="QJ144" s="19"/>
      <c r="QK144" s="19"/>
      <c r="QL144" s="19"/>
      <c r="QM144" s="19"/>
      <c r="QN144" s="19"/>
      <c r="QO144" s="19"/>
      <c r="QP144" s="19"/>
      <c r="QQ144" s="19"/>
      <c r="QR144" s="19"/>
      <c r="QS144" s="19"/>
      <c r="QT144" s="19"/>
      <c r="QU144" s="19"/>
      <c r="QV144" s="19"/>
      <c r="QW144" s="19"/>
      <c r="QX144" s="19"/>
      <c r="QY144" s="19"/>
      <c r="QZ144" s="19"/>
      <c r="RA144" s="19"/>
      <c r="RB144" s="19"/>
      <c r="RC144" s="19"/>
      <c r="RD144" s="19"/>
      <c r="RE144" s="19"/>
      <c r="RF144" s="19"/>
      <c r="RG144" s="19"/>
      <c r="RH144" s="19"/>
      <c r="RI144" s="19"/>
      <c r="RJ144" s="19"/>
      <c r="RK144" s="19"/>
      <c r="RL144" s="19"/>
      <c r="RM144" s="19"/>
      <c r="RN144" s="19"/>
      <c r="RO144" s="19"/>
      <c r="RP144" s="19"/>
      <c r="RQ144" s="19"/>
      <c r="RR144" s="19"/>
      <c r="RS144" s="19"/>
      <c r="RT144" s="19"/>
      <c r="RU144" s="19"/>
      <c r="RV144" s="19"/>
      <c r="RW144" s="19"/>
      <c r="RX144" s="19"/>
      <c r="RY144" s="19"/>
      <c r="RZ144" s="19"/>
      <c r="SA144" s="19"/>
      <c r="SB144" s="19"/>
      <c r="SC144" s="19"/>
      <c r="ACH144" s="19"/>
      <c r="ACO144" s="19"/>
      <c r="ACV144" s="19"/>
      <c r="AEB144" s="19"/>
      <c r="AEC144" s="19"/>
      <c r="AED144" s="19"/>
      <c r="AEE144" s="19"/>
      <c r="AEF144" s="19"/>
      <c r="AEG144" s="19"/>
      <c r="AEH144" s="19"/>
      <c r="AMX144" s="19"/>
      <c r="AUC144" s="19"/>
      <c r="AVU144" s="19"/>
    </row>
    <row r="145" spans="1:814 1038:1325" ht="16.05" customHeight="1" thickBot="1">
      <c r="A145" s="643"/>
      <c r="B145" s="643"/>
      <c r="C145" s="643"/>
      <c r="D145" s="428"/>
      <c r="E145" s="10"/>
      <c r="F145" s="10"/>
      <c r="G145" s="10"/>
      <c r="H145" s="10"/>
      <c r="I145" s="10"/>
      <c r="J145" s="10"/>
      <c r="K145" s="10"/>
      <c r="L145" s="10"/>
      <c r="M145" s="10"/>
      <c r="N145" s="10"/>
      <c r="O145" s="10"/>
      <c r="P145" s="10"/>
      <c r="Q145" s="10"/>
      <c r="R145" s="10"/>
      <c r="S145" s="10"/>
      <c r="T145" s="10"/>
      <c r="U145" s="10"/>
      <c r="V145" s="20"/>
      <c r="W145" s="126" t="str">
        <f>Idiomas!D32</f>
        <v>Final</v>
      </c>
      <c r="X145" s="127"/>
      <c r="Y145" s="128"/>
      <c r="Z145" s="128"/>
      <c r="AA145" s="145"/>
      <c r="AB145" s="128"/>
      <c r="AC145" s="128"/>
      <c r="AD145" s="128"/>
      <c r="AE145" s="128"/>
      <c r="AF145" s="129"/>
      <c r="AG145" s="340"/>
      <c r="AH145" s="205"/>
      <c r="AI145" s="191"/>
      <c r="AJ145" s="156"/>
      <c r="AK145" s="156"/>
      <c r="AL145" s="156"/>
      <c r="AM145" s="161"/>
      <c r="AN145" s="161"/>
      <c r="AO145" s="161"/>
      <c r="AP145" s="161"/>
      <c r="AQ145" s="161"/>
      <c r="AR145" s="161"/>
      <c r="AS145" s="161"/>
      <c r="AT145" s="161"/>
      <c r="AU145" s="346"/>
      <c r="AV145" s="190"/>
      <c r="AW145" s="161"/>
      <c r="AX145" s="161"/>
      <c r="AY145" s="162"/>
      <c r="AZ145" s="163"/>
      <c r="BA145" s="155"/>
      <c r="LF145" s="19"/>
      <c r="LG145" s="19"/>
      <c r="LH145" s="19"/>
      <c r="LI145" s="19"/>
      <c r="LJ145" s="19"/>
      <c r="LK145" s="19"/>
      <c r="LL145" s="19"/>
      <c r="LM145" s="19"/>
      <c r="LN145" s="19"/>
      <c r="LO145" s="19"/>
      <c r="LP145" s="19"/>
      <c r="LQ145" s="19"/>
      <c r="LR145" s="19"/>
      <c r="LS145" s="19"/>
      <c r="LT145" s="19"/>
      <c r="LU145" s="19"/>
      <c r="LV145" s="19"/>
      <c r="LW145" s="19"/>
      <c r="LX145" s="19"/>
      <c r="LY145" s="19"/>
      <c r="LZ145" s="19"/>
      <c r="MA145" s="19"/>
      <c r="MB145" s="19"/>
      <c r="MC145" s="19"/>
      <c r="MD145" s="19"/>
      <c r="ME145" s="19"/>
      <c r="MF145" s="19"/>
      <c r="MG145" s="19"/>
      <c r="MH145" s="19"/>
      <c r="MI145" s="19"/>
      <c r="MJ145" s="19"/>
      <c r="MK145" s="19"/>
      <c r="ML145" s="19"/>
      <c r="MM145" s="19"/>
      <c r="MN145" s="19"/>
      <c r="MO145" s="19"/>
      <c r="MP145" s="19"/>
      <c r="MQ145" s="19"/>
      <c r="MR145" s="19"/>
      <c r="MS145" s="19"/>
      <c r="MT145" s="19"/>
      <c r="MU145" s="19"/>
      <c r="MV145" s="19"/>
      <c r="MW145" s="19"/>
      <c r="MX145" s="19"/>
      <c r="MY145" s="19"/>
      <c r="MZ145" s="19"/>
      <c r="NA145" s="19"/>
      <c r="NB145" s="19"/>
      <c r="NC145" s="19"/>
      <c r="ND145" s="19"/>
      <c r="NE145" s="19"/>
      <c r="NF145" s="19"/>
      <c r="NG145" s="19"/>
      <c r="NH145" s="19"/>
      <c r="NI145" s="19"/>
      <c r="NJ145" s="19"/>
      <c r="NK145" s="19"/>
      <c r="NL145" s="19"/>
      <c r="NM145" s="19"/>
      <c r="NN145" s="19"/>
      <c r="NO145" s="19"/>
      <c r="NP145" s="19"/>
      <c r="NQ145" s="19"/>
      <c r="NR145" s="19"/>
      <c r="NS145" s="19"/>
      <c r="NT145" s="19"/>
      <c r="NU145" s="19"/>
      <c r="NV145" s="19"/>
      <c r="NW145" s="19"/>
      <c r="NX145" s="19"/>
      <c r="NY145" s="19"/>
      <c r="NZ145" s="19"/>
      <c r="OA145" s="19"/>
      <c r="OB145" s="19"/>
      <c r="OC145" s="19"/>
      <c r="OD145" s="19"/>
      <c r="OE145" s="19"/>
      <c r="OF145" s="19"/>
      <c r="OG145" s="19"/>
      <c r="OH145" s="19"/>
      <c r="OI145" s="19"/>
      <c r="OJ145" s="19"/>
      <c r="OK145" s="19"/>
      <c r="OL145" s="19"/>
      <c r="OM145" s="19"/>
      <c r="ON145" s="19"/>
      <c r="OO145" s="19"/>
      <c r="OP145" s="19"/>
      <c r="OQ145" s="19"/>
      <c r="OR145" s="19"/>
      <c r="OS145" s="19"/>
      <c r="OT145" s="19"/>
      <c r="OU145" s="19"/>
      <c r="OV145" s="19"/>
      <c r="OW145" s="19"/>
      <c r="OX145" s="19"/>
      <c r="OY145" s="19"/>
      <c r="OZ145" s="19"/>
      <c r="PA145" s="19"/>
      <c r="PB145" s="19"/>
      <c r="PC145" s="19"/>
      <c r="PD145" s="19"/>
      <c r="PE145" s="19"/>
      <c r="PF145" s="19"/>
      <c r="PG145" s="19"/>
      <c r="PH145" s="19"/>
      <c r="PI145" s="19"/>
      <c r="PJ145" s="642"/>
      <c r="PK145" s="19"/>
      <c r="PL145" s="19"/>
      <c r="PM145" s="19"/>
      <c r="PN145" s="19"/>
      <c r="PO145" s="19"/>
      <c r="PP145" s="19"/>
      <c r="PQ145" s="19"/>
      <c r="PR145" s="19"/>
      <c r="PS145" s="19"/>
      <c r="PT145" s="19"/>
      <c r="PU145" s="19"/>
      <c r="PV145" s="19"/>
      <c r="PW145" s="19"/>
      <c r="PX145" s="19"/>
      <c r="PY145" s="19"/>
      <c r="PZ145" s="19"/>
      <c r="QA145" s="19"/>
      <c r="QB145" s="19"/>
      <c r="QC145" s="19"/>
      <c r="QD145" s="19"/>
      <c r="QE145" s="19"/>
      <c r="QF145" s="19"/>
      <c r="QG145" s="19"/>
      <c r="QH145" s="19"/>
      <c r="QI145" s="19"/>
      <c r="QJ145" s="19"/>
      <c r="QK145" s="19"/>
      <c r="QL145" s="19"/>
      <c r="QM145" s="19"/>
      <c r="QN145" s="19"/>
      <c r="QO145" s="19"/>
      <c r="QP145" s="19"/>
      <c r="QQ145" s="19"/>
      <c r="QR145" s="19"/>
      <c r="QS145" s="19"/>
      <c r="QT145" s="19"/>
      <c r="QU145" s="19"/>
      <c r="QV145" s="19"/>
      <c r="QW145" s="19"/>
      <c r="QX145" s="19"/>
      <c r="QY145" s="19"/>
      <c r="QZ145" s="19"/>
      <c r="RA145" s="19"/>
      <c r="RB145" s="19"/>
      <c r="RC145" s="19"/>
      <c r="RD145" s="19"/>
      <c r="RE145" s="19"/>
      <c r="RF145" s="19"/>
      <c r="RG145" s="19"/>
      <c r="RH145" s="19"/>
      <c r="RI145" s="19"/>
      <c r="RJ145" s="19"/>
      <c r="RK145" s="19"/>
      <c r="RL145" s="19"/>
      <c r="RM145" s="19"/>
      <c r="RN145" s="19"/>
      <c r="RO145" s="19"/>
      <c r="RP145" s="19"/>
      <c r="RQ145" s="19"/>
      <c r="RR145" s="19"/>
      <c r="RS145" s="19"/>
      <c r="RT145" s="19"/>
      <c r="RU145" s="19"/>
      <c r="RV145" s="19"/>
      <c r="RW145" s="19"/>
      <c r="RX145" s="19"/>
      <c r="RY145" s="19"/>
      <c r="RZ145" s="19"/>
      <c r="SA145" s="19"/>
      <c r="SB145" s="19"/>
      <c r="SC145" s="19"/>
      <c r="ACH145" s="19"/>
      <c r="ACO145" s="19"/>
      <c r="ACV145" s="19"/>
      <c r="AEB145" s="19"/>
      <c r="AEC145" s="19"/>
      <c r="AED145" s="19"/>
      <c r="AEE145" s="19"/>
      <c r="AEF145" s="19"/>
      <c r="AEG145" s="19"/>
      <c r="AEH145" s="19"/>
      <c r="AMX145" s="19"/>
      <c r="AUC145" s="19"/>
      <c r="AVU145" s="19"/>
    </row>
    <row r="146" spans="1:814 1038:1325" ht="16.05" customHeight="1">
      <c r="A146" s="643"/>
      <c r="B146" s="643"/>
      <c r="C146" s="643"/>
      <c r="D146" s="428"/>
      <c r="E146" s="10"/>
      <c r="F146" s="10"/>
      <c r="G146" s="10"/>
      <c r="H146" s="10"/>
      <c r="I146" s="10"/>
      <c r="J146" s="10"/>
      <c r="K146" s="10"/>
      <c r="L146" s="10"/>
      <c r="M146" s="10"/>
      <c r="N146" s="10"/>
      <c r="O146" s="10"/>
      <c r="P146" s="10"/>
      <c r="Q146" s="10"/>
      <c r="R146" s="10"/>
      <c r="S146" s="10"/>
      <c r="T146" s="10"/>
      <c r="U146" s="10"/>
      <c r="V146" s="20"/>
      <c r="W146" s="146"/>
      <c r="X146" s="77" t="str">
        <f>X3</f>
        <v>Fecha</v>
      </c>
      <c r="Y146" s="77" t="str">
        <f>Y3</f>
        <v>Hora</v>
      </c>
      <c r="Z146" s="75"/>
      <c r="AA146" s="76" t="str">
        <f>AA3</f>
        <v>Casa</v>
      </c>
      <c r="AB146" s="75" t="s">
        <v>13</v>
      </c>
      <c r="AC146" s="77" t="s">
        <v>18</v>
      </c>
      <c r="AD146" s="77" t="s">
        <v>18</v>
      </c>
      <c r="AE146" s="75" t="s">
        <v>13</v>
      </c>
      <c r="AF146" s="110" t="str">
        <f>AF3</f>
        <v>Fuera</v>
      </c>
      <c r="AG146" s="340"/>
      <c r="AH146" s="205"/>
      <c r="AI146" s="188"/>
      <c r="AJ146" s="153"/>
      <c r="AK146" s="153"/>
      <c r="AL146" s="156"/>
      <c r="AM146" s="161"/>
      <c r="AN146" s="161"/>
      <c r="AO146" s="161"/>
      <c r="AP146" s="161"/>
      <c r="AQ146" s="161"/>
      <c r="AR146" s="161"/>
      <c r="AS146" s="161"/>
      <c r="AT146" s="161"/>
      <c r="AU146" s="346"/>
      <c r="AV146" s="190"/>
      <c r="AW146" s="161"/>
      <c r="AX146" s="161"/>
      <c r="AY146" s="162"/>
      <c r="AZ146" s="163"/>
      <c r="BA146" s="155"/>
      <c r="LF146" s="19"/>
      <c r="LG146" s="19"/>
      <c r="LH146" s="19"/>
      <c r="LI146" s="19"/>
      <c r="LJ146" s="642"/>
      <c r="LK146" s="19"/>
      <c r="LL146" s="19"/>
      <c r="LM146" s="19"/>
      <c r="LN146" s="19"/>
      <c r="LO146" s="19"/>
      <c r="LP146" s="19"/>
      <c r="LQ146" s="19"/>
      <c r="LR146" s="19"/>
      <c r="LS146" s="19"/>
      <c r="LT146" s="19"/>
      <c r="LU146" s="19"/>
      <c r="LV146" s="19"/>
      <c r="LW146" s="19"/>
      <c r="LX146" s="19"/>
      <c r="LY146" s="642"/>
      <c r="LZ146" s="642"/>
      <c r="MA146" s="19"/>
      <c r="MB146" s="19"/>
      <c r="MC146" s="19"/>
      <c r="MD146" s="19"/>
      <c r="ME146" s="19"/>
      <c r="MF146" s="19"/>
      <c r="MG146" s="19"/>
      <c r="MH146" s="19"/>
      <c r="MI146" s="19"/>
      <c r="MJ146" s="19"/>
      <c r="MK146" s="19"/>
      <c r="ML146" s="19"/>
      <c r="MM146" s="19"/>
      <c r="MN146" s="19"/>
      <c r="MO146" s="19"/>
      <c r="MP146" s="19"/>
      <c r="MQ146" s="19"/>
      <c r="MR146" s="19"/>
      <c r="MS146" s="19"/>
      <c r="MT146" s="19"/>
      <c r="MU146" s="642"/>
      <c r="MV146" s="19"/>
      <c r="MW146" s="19"/>
      <c r="MX146" s="19"/>
      <c r="MY146" s="19"/>
      <c r="MZ146" s="19"/>
      <c r="NA146" s="19"/>
      <c r="NB146" s="19"/>
      <c r="NC146" s="19"/>
      <c r="ND146" s="19"/>
      <c r="NE146" s="19"/>
      <c r="NF146" s="19"/>
      <c r="NG146" s="19"/>
      <c r="NH146" s="19"/>
      <c r="NI146" s="19"/>
      <c r="NJ146" s="19"/>
      <c r="NK146" s="19"/>
      <c r="NL146" s="19"/>
      <c r="NM146" s="19"/>
      <c r="NN146" s="642"/>
      <c r="NO146" s="19"/>
      <c r="NP146" s="19"/>
      <c r="NQ146" s="19"/>
      <c r="NR146" s="19"/>
      <c r="NS146" s="19"/>
      <c r="NT146" s="19"/>
      <c r="NU146" s="19"/>
      <c r="NV146" s="19"/>
      <c r="NW146" s="19"/>
      <c r="NX146" s="19"/>
      <c r="NY146" s="19"/>
      <c r="NZ146" s="19"/>
      <c r="OA146" s="642"/>
      <c r="OB146" s="19"/>
      <c r="OC146" s="19"/>
      <c r="OD146" s="19"/>
      <c r="OE146" s="19"/>
      <c r="OF146" s="19"/>
      <c r="OG146" s="19"/>
      <c r="OH146" s="19"/>
      <c r="OI146" s="19"/>
      <c r="OJ146" s="19"/>
      <c r="OK146" s="19"/>
      <c r="OL146" s="19"/>
      <c r="OM146" s="19"/>
      <c r="ON146" s="19"/>
      <c r="OO146" s="19"/>
      <c r="OP146" s="19"/>
      <c r="OQ146" s="19"/>
      <c r="OR146" s="19"/>
      <c r="OS146" s="19"/>
      <c r="OT146" s="19"/>
      <c r="OU146" s="19"/>
      <c r="OV146" s="19"/>
      <c r="OW146" s="19"/>
      <c r="OX146" s="19"/>
      <c r="OY146" s="19"/>
      <c r="OZ146" s="19"/>
      <c r="PA146" s="19"/>
      <c r="PB146" s="19"/>
      <c r="PC146" s="642"/>
      <c r="PD146" s="19"/>
      <c r="PE146" s="19"/>
      <c r="PF146" s="19"/>
      <c r="PG146" s="19"/>
      <c r="PH146" s="19"/>
      <c r="PI146" s="19"/>
      <c r="PJ146" s="19"/>
      <c r="PK146" s="19"/>
      <c r="PL146" s="19"/>
      <c r="PM146" s="19"/>
      <c r="PN146" s="19"/>
      <c r="PO146" s="19"/>
      <c r="PP146" s="19"/>
      <c r="PQ146" s="19"/>
      <c r="PR146" s="19"/>
      <c r="PS146" s="19"/>
      <c r="PT146" s="19"/>
      <c r="PU146" s="19"/>
      <c r="PV146" s="19"/>
      <c r="PW146" s="19"/>
      <c r="PX146" s="19"/>
      <c r="PY146" s="19"/>
      <c r="PZ146" s="19"/>
      <c r="QA146" s="19"/>
      <c r="QB146" s="19"/>
      <c r="QC146" s="19"/>
      <c r="QD146" s="19"/>
      <c r="QE146" s="19"/>
      <c r="QF146" s="19"/>
      <c r="QG146" s="19"/>
      <c r="QH146" s="19"/>
      <c r="QI146" s="19"/>
      <c r="QJ146" s="19"/>
      <c r="QK146" s="19"/>
      <c r="QL146" s="19"/>
      <c r="QM146" s="19"/>
      <c r="QN146" s="19"/>
      <c r="QO146" s="19"/>
      <c r="QP146" s="19"/>
      <c r="QQ146" s="19"/>
      <c r="QR146" s="19"/>
      <c r="QS146" s="19"/>
      <c r="QT146" s="19"/>
      <c r="QU146" s="19"/>
      <c r="QV146" s="19"/>
      <c r="QW146" s="19"/>
      <c r="QX146" s="19"/>
      <c r="QY146" s="19"/>
      <c r="QZ146" s="19"/>
      <c r="RA146" s="19"/>
      <c r="RB146" s="19"/>
      <c r="RC146" s="19"/>
      <c r="RD146" s="19"/>
      <c r="RE146" s="19"/>
      <c r="RF146" s="19"/>
      <c r="RG146" s="19"/>
      <c r="RH146" s="19"/>
      <c r="RI146" s="19"/>
      <c r="RJ146" s="19"/>
      <c r="RK146" s="19"/>
      <c r="RL146" s="19"/>
      <c r="RM146" s="19"/>
      <c r="RN146" s="19"/>
      <c r="RO146" s="19"/>
      <c r="RP146" s="19"/>
      <c r="RQ146" s="19"/>
      <c r="RR146" s="19"/>
      <c r="RS146" s="19"/>
      <c r="RT146" s="19"/>
      <c r="RU146" s="19"/>
      <c r="RV146" s="19"/>
      <c r="RW146" s="19"/>
      <c r="RX146" s="19"/>
      <c r="RY146" s="19"/>
      <c r="RZ146" s="19"/>
      <c r="SA146" s="19"/>
      <c r="SB146" s="19"/>
      <c r="SC146" s="19"/>
      <c r="AXY146" s="10">
        <v>12</v>
      </c>
    </row>
    <row r="147" spans="1:814 1038:1325" ht="16.05" customHeight="1" thickBot="1">
      <c r="A147" s="19" t="s">
        <v>779</v>
      </c>
      <c r="B147" s="19" t="s">
        <v>780</v>
      </c>
      <c r="C147" s="643"/>
      <c r="D147" s="428" t="str">
        <f ca="1">IF(AND(OR(AC147="",AD147="")),"W"&amp;AH147,IF(AC147&gt;AD147,AA147,IF(AC147&lt;AD147,AF147,IF(AND(AC147=AD147,AB147=AE147),"W"&amp;AH147,IF(AND(AC147=AD147,OR(AB147="",AE147="")),"W"&amp;AH147,IF(AND(AC147=AD147,AB147&gt;AE147),AA147,AF147))))))</f>
        <v>Alemania</v>
      </c>
      <c r="E147" s="10">
        <v>101</v>
      </c>
      <c r="F147" s="10">
        <v>102</v>
      </c>
      <c r="G147" s="10"/>
      <c r="H147" s="10" t="str">
        <f ca="1">IF(AND(OR(AC147="",AD147="")),"LF",IF(AC147&gt;AD147,AF147,IF(AC147&lt;AD147,AA147,IF(AND(AC147=AD147,AB147=AE147),"LF",IF(AND(AC147=AD147,OR(AB147="",AE147="")),"LF",IF(AND(AC147=AD147,AB147&gt;AE147),AF147,AA147))))))</f>
        <v>Ghana</v>
      </c>
      <c r="I147" s="10"/>
      <c r="J147" s="19">
        <v>104</v>
      </c>
      <c r="K147" s="439">
        <v>46222.875</v>
      </c>
      <c r="L147" s="19" t="s">
        <v>735</v>
      </c>
      <c r="M147" s="19" t="str">
        <f ca="1">+INDEX($D$101:$D$147,MATCH(E147,$AH$101:$AH$147,0))</f>
        <v>Alemania</v>
      </c>
      <c r="N147" s="19" t="str">
        <f ca="1">+INDEX($D$101:$D$147,MATCH(F147,$AH$101:$AH$147,0))</f>
        <v>Ghana</v>
      </c>
      <c r="O147" s="19"/>
      <c r="P147" s="19"/>
      <c r="Q147" s="19"/>
      <c r="R147" s="19"/>
      <c r="S147" s="19"/>
      <c r="T147" s="19"/>
      <c r="U147" s="19"/>
      <c r="V147" s="20"/>
      <c r="W147" s="151" t="s">
        <v>4</v>
      </c>
      <c r="X147" s="131">
        <f ca="1">Horarios!C147</f>
        <v>46222.875</v>
      </c>
      <c r="Y147" s="132">
        <f ca="1">Horarios!C147</f>
        <v>46222.875</v>
      </c>
      <c r="Z147" s="294">
        <f>AH147</f>
        <v>104</v>
      </c>
      <c r="AA147" s="112" t="str">
        <f ca="1">IF(AND(OR(AC138="",AD138="")),"W"&amp;AH138,IF(AC138&gt;AD138,AA138,IF(AC138&lt;AD138,AF138,IF(AND(AC138=AD138,AB138=AE138),"W"&amp;AH138,IF(AND(AC138=AD138,OR(AB138="",AE138="")),"W"&amp;AH138,IF(AND(AC138=AD138,AB138&gt;AE138),AA138,AF138))))))</f>
        <v>Alemania</v>
      </c>
      <c r="AB147" s="225"/>
      <c r="AC147" s="113">
        <v>2</v>
      </c>
      <c r="AD147" s="113">
        <v>1</v>
      </c>
      <c r="AE147" s="225"/>
      <c r="AF147" s="114" t="str">
        <f ca="1">IF(AND(OR(AC139="",AD139="")),"W"&amp;AH139,IF(AC139&gt;AD139,AA139,IF(AC139&lt;AD139,AF139,IF(AND(AC139=AD139,AB139=AE139),"W"&amp;AH139,IF(AND(AC139=AD139,OR(AB139="",AE139="")),"W"&amp;AH139,IF(AND(AC139=AD139,AB139&gt;AE139),AA139,AF139))))))</f>
        <v>Ghana</v>
      </c>
      <c r="AG147" s="339">
        <f ca="1">IF(D147="W"&amp;AH147,0,1)</f>
        <v>1</v>
      </c>
      <c r="AH147" s="205">
        <v>104</v>
      </c>
      <c r="AI147" s="188"/>
      <c r="AJ147" s="153"/>
      <c r="AK147" s="153"/>
      <c r="AL147" s="156"/>
      <c r="AM147" s="153"/>
      <c r="AN147" s="153"/>
      <c r="AO147" s="153"/>
      <c r="AP147" s="154"/>
      <c r="AQ147" s="154"/>
      <c r="AR147" s="154"/>
      <c r="AS147" s="154"/>
      <c r="AT147" s="154"/>
      <c r="AU147" s="197"/>
      <c r="AV147" s="197"/>
      <c r="AW147" s="156"/>
      <c r="AX147" s="156"/>
      <c r="AY147" s="162"/>
      <c r="AZ147" s="163"/>
      <c r="BA147" s="155"/>
      <c r="AUB147" s="10" t="s">
        <v>114</v>
      </c>
      <c r="AUC147" s="10" t="s">
        <v>115</v>
      </c>
    </row>
    <row r="148" spans="1:814 1038:1325" ht="16.05" customHeight="1" thickBot="1">
      <c r="A148" s="10"/>
      <c r="B148" s="10"/>
      <c r="C148" s="10"/>
      <c r="D148" s="10"/>
      <c r="E148" s="10"/>
      <c r="F148" s="10"/>
      <c r="G148" s="10"/>
      <c r="H148" s="10"/>
      <c r="I148" s="10"/>
      <c r="J148" s="10"/>
      <c r="K148" s="10"/>
      <c r="L148" s="10"/>
      <c r="M148" s="10"/>
      <c r="N148" s="10"/>
      <c r="O148" s="10"/>
      <c r="P148" s="10"/>
      <c r="Q148" s="10"/>
      <c r="R148" s="10"/>
      <c r="S148" s="10"/>
      <c r="T148" s="10"/>
      <c r="U148" s="10"/>
      <c r="V148" s="20"/>
      <c r="W148" s="162"/>
      <c r="X148" s="163"/>
      <c r="Y148" s="162"/>
      <c r="Z148" s="164"/>
      <c r="AA148" s="165"/>
      <c r="AB148" s="166"/>
      <c r="AC148" s="159"/>
      <c r="AD148" s="159"/>
      <c r="AE148" s="166"/>
      <c r="AF148" s="167"/>
      <c r="AG148" s="340"/>
      <c r="AH148" s="192"/>
      <c r="AI148" s="192"/>
      <c r="AJ148" s="161"/>
      <c r="AK148" s="161"/>
      <c r="AL148" s="190" t="str">
        <f>Idiomas!D47</f>
        <v>PORRA INCOMPLETA:</v>
      </c>
      <c r="AM148" s="190" t="str">
        <f>Idiomas!D48</f>
        <v>Aún falta alguna apuesta</v>
      </c>
      <c r="AN148" s="161"/>
      <c r="AO148" s="161"/>
      <c r="AP148" s="161"/>
      <c r="AQ148" s="161"/>
      <c r="AR148" s="161"/>
      <c r="AS148" s="161"/>
      <c r="AT148" s="161"/>
      <c r="AU148" s="346"/>
      <c r="AV148" s="190"/>
      <c r="AW148" s="161"/>
      <c r="AX148" s="161"/>
      <c r="AY148" s="162"/>
      <c r="AZ148" s="163"/>
      <c r="BA148" s="155"/>
      <c r="AUB148" s="10" t="s">
        <v>116</v>
      </c>
      <c r="AUC148" s="10" t="s">
        <v>114</v>
      </c>
    </row>
    <row r="149" spans="1:814 1038:1325" ht="16.05" customHeight="1" thickBot="1">
      <c r="A149" s="11"/>
      <c r="B149" s="11"/>
      <c r="C149" s="11"/>
      <c r="D149" s="11"/>
      <c r="E149" s="11"/>
      <c r="F149" s="11"/>
      <c r="G149" s="11"/>
      <c r="H149" s="11"/>
      <c r="I149" s="11"/>
      <c r="J149" s="11"/>
      <c r="K149" s="11"/>
      <c r="L149" s="11"/>
      <c r="M149" s="11"/>
      <c r="N149" s="11"/>
      <c r="O149" s="11"/>
      <c r="P149" s="11"/>
      <c r="Q149" s="11"/>
      <c r="R149" s="11"/>
      <c r="S149" s="11"/>
      <c r="T149" s="11"/>
      <c r="U149" s="11"/>
      <c r="V149" s="20"/>
      <c r="W149" s="133"/>
      <c r="X149" s="134"/>
      <c r="Y149" s="135"/>
      <c r="Z149" s="135"/>
      <c r="AA149" s="136" t="str">
        <f>Idiomas!D33</f>
        <v>Cuadro de honor</v>
      </c>
      <c r="AB149" s="135"/>
      <c r="AC149" s="134"/>
      <c r="AD149" s="134"/>
      <c r="AE149" s="135"/>
      <c r="AF149" s="137"/>
      <c r="AG149" s="341"/>
      <c r="AH149" s="193"/>
      <c r="AI149" s="192"/>
      <c r="AJ149" s="161"/>
      <c r="AK149" s="161"/>
      <c r="AL149" s="190" t="str">
        <f>Idiomas!D49</f>
        <v>PORRA COMPLETA:</v>
      </c>
      <c r="AM149" s="190" t="str">
        <f>Idiomas!D50</f>
        <v>Guarda el archivo y envialo al administrador de tu porra</v>
      </c>
      <c r="AN149" s="161"/>
      <c r="AO149" s="161"/>
      <c r="AP149" s="161"/>
      <c r="AQ149" s="161"/>
      <c r="AR149" s="161"/>
      <c r="AS149" s="161"/>
      <c r="AT149" s="161"/>
      <c r="AU149" s="346"/>
      <c r="AV149" s="190"/>
      <c r="AW149" s="161"/>
      <c r="AX149" s="161"/>
      <c r="AY149" s="162"/>
      <c r="AZ149" s="163"/>
      <c r="BA149" s="155"/>
      <c r="AUB149" s="10" t="s">
        <v>117</v>
      </c>
      <c r="AUC149" s="10" t="s">
        <v>116</v>
      </c>
    </row>
    <row r="150" spans="1:814 1038:1325" ht="16.05" customHeight="1" thickBot="1">
      <c r="A150" s="12"/>
      <c r="B150" s="12"/>
      <c r="C150" s="12"/>
      <c r="D150" s="12"/>
      <c r="E150" s="12"/>
      <c r="F150" s="12"/>
      <c r="G150" s="12"/>
      <c r="H150" s="12"/>
      <c r="I150" s="12"/>
      <c r="J150" s="12"/>
      <c r="K150" s="12"/>
      <c r="L150" s="12"/>
      <c r="M150" s="12"/>
      <c r="N150" s="12"/>
      <c r="O150" s="12"/>
      <c r="P150" s="12"/>
      <c r="Q150" s="12"/>
      <c r="R150" s="12"/>
      <c r="S150" s="12"/>
      <c r="T150" s="12"/>
      <c r="U150" s="12"/>
      <c r="V150" s="20"/>
      <c r="W150" s="138" t="str">
        <f>"🥇"&amp;Idiomas!D34</f>
        <v>🥇Campeón</v>
      </c>
      <c r="X150" s="123"/>
      <c r="Y150" s="122"/>
      <c r="Z150" s="122"/>
      <c r="AA150" s="226" t="str">
        <f ca="1">IF(AND(OR(AC147="",AD147="")),"WF",IF(AC147&gt;AD147,AA147,IF(AC147&lt;AD147,AF147,IF(AND(AC147=AD147,AB147=AE147),"WF",IF(AND(AC147=AD147,OR(AB147="",AE147="")),"WF",IF(AND(AC147=AD147,AB147&gt;AE147),AA147,AF147))))))</f>
        <v>Alemania</v>
      </c>
      <c r="AB150" s="140"/>
      <c r="AC150" s="140"/>
      <c r="AD150" s="140"/>
      <c r="AE150" s="140"/>
      <c r="AF150" s="141"/>
      <c r="AG150" s="339">
        <f ca="1">IF(AA150="WF",0,1)</f>
        <v>1</v>
      </c>
      <c r="AH150" s="193"/>
      <c r="AI150" s="193"/>
      <c r="AJ150" s="153"/>
      <c r="AK150" s="153"/>
      <c r="AL150" s="153"/>
      <c r="AM150" s="153"/>
      <c r="AN150" s="153"/>
      <c r="AO150" s="153"/>
      <c r="AP150" s="153"/>
      <c r="AQ150" s="153"/>
      <c r="AR150" s="153"/>
      <c r="AS150" s="153"/>
      <c r="AT150" s="153"/>
      <c r="AU150" s="344"/>
      <c r="AV150" s="193"/>
      <c r="AW150" s="153"/>
      <c r="AX150" s="153"/>
      <c r="AY150" s="162"/>
      <c r="AZ150" s="163"/>
      <c r="BA150" s="155"/>
    </row>
    <row r="151" spans="1:814 1038:1325" ht="16.05" customHeight="1">
      <c r="A151" s="12"/>
      <c r="B151" s="12"/>
      <c r="C151" s="12"/>
      <c r="D151" s="12"/>
      <c r="E151" s="12"/>
      <c r="F151" s="12"/>
      <c r="G151" s="12"/>
      <c r="H151" s="12"/>
      <c r="I151" s="12"/>
      <c r="J151" s="12"/>
      <c r="K151" s="12"/>
      <c r="L151" s="12"/>
      <c r="M151" s="12"/>
      <c r="N151" s="12"/>
      <c r="O151" s="12"/>
      <c r="P151" s="12"/>
      <c r="Q151" s="12"/>
      <c r="R151" s="12"/>
      <c r="S151" s="12"/>
      <c r="T151" s="12"/>
      <c r="U151" s="12"/>
      <c r="V151" s="20"/>
      <c r="W151" s="138" t="str">
        <f>"🥈"&amp;Idiomas!D35</f>
        <v>🥈Subcampeón</v>
      </c>
      <c r="X151" s="123"/>
      <c r="Y151" s="122"/>
      <c r="Z151" s="122"/>
      <c r="AA151" s="227" t="str">
        <f ca="1">IF(AND(OR(AC147="",AD147="")),"LF",IF(AC147&gt;AD147,AF147,IF(AC147&lt;AD147,AA147,IF(AND(AC147=AD147,AB147=AE147),"LF",IF(AND(AC147=AD147,OR(AB147="",AE147="")),"LF",IF(AND(AC147=AD147,AB147&gt;AE147),AF147,AA147))))))</f>
        <v>Ghana</v>
      </c>
      <c r="AB151" s="119"/>
      <c r="AC151" s="119"/>
      <c r="AD151" s="119"/>
      <c r="AE151" s="119"/>
      <c r="AF151" s="115"/>
      <c r="AG151" s="339">
        <f ca="1">IF(AA151="LF",0,1)</f>
        <v>1</v>
      </c>
      <c r="AH151" s="193"/>
      <c r="AI151" s="193"/>
      <c r="AJ151" s="686" t="str">
        <f ca="1">IF(SUM(COUNTIF(AG4:AG97,0),COUNTIF(AG101:AG160,0)&gt;0),AL148,AL149)</f>
        <v>PORRA INCOMPLETA:</v>
      </c>
      <c r="AK151" s="687"/>
      <c r="AL151" s="687"/>
      <c r="AM151" s="687"/>
      <c r="AN151" s="687"/>
      <c r="AO151" s="687"/>
      <c r="AP151" s="687"/>
      <c r="AQ151" s="687"/>
      <c r="AR151" s="687"/>
      <c r="AS151" s="687"/>
      <c r="AT151" s="687"/>
      <c r="AU151" s="688"/>
      <c r="AV151" s="202"/>
      <c r="AW151" s="163"/>
      <c r="AX151" s="162"/>
      <c r="AY151" s="164"/>
      <c r="AZ151" s="165"/>
      <c r="BA151" s="155"/>
    </row>
    <row r="152" spans="1:814 1038:1325" ht="16.05" customHeight="1" thickBot="1">
      <c r="A152" s="12"/>
      <c r="B152" s="12"/>
      <c r="C152" s="12"/>
      <c r="D152" s="12"/>
      <c r="E152" s="12"/>
      <c r="F152" s="12"/>
      <c r="G152" s="12"/>
      <c r="H152" s="12"/>
      <c r="I152" s="12"/>
      <c r="J152" s="12"/>
      <c r="K152" s="12"/>
      <c r="L152" s="12"/>
      <c r="M152" s="12"/>
      <c r="N152" s="12"/>
      <c r="O152" s="12"/>
      <c r="P152" s="12"/>
      <c r="Q152" s="12"/>
      <c r="R152" s="12"/>
      <c r="S152" s="12"/>
      <c r="T152" s="12"/>
      <c r="U152" s="12"/>
      <c r="V152" s="20"/>
      <c r="W152" s="139" t="str">
        <f>"🥉"&amp;Idiomas!D36</f>
        <v>🥉3º puesto</v>
      </c>
      <c r="X152" s="116"/>
      <c r="Y152" s="117"/>
      <c r="Z152" s="117"/>
      <c r="AA152" s="228" t="str">
        <f ca="1">IF(AND(OR(AC143="",AD143="")),"W34",IF(AC143&gt;AD143,AA143,IF(AC143&lt;AD143,AF143,IF(AND(AC143=AD143,AB143=AE143),"W34",IF(AND(AC143=AD143,OR(AB143="",AE143="")),"W34",IF(AND(AC143=AD143,AB143&gt;AE143),AA143,AF143))))))</f>
        <v>PO D: DEN/MKD/CZE/IRL</v>
      </c>
      <c r="AB152" s="118"/>
      <c r="AC152" s="118"/>
      <c r="AD152" s="118"/>
      <c r="AE152" s="118"/>
      <c r="AF152" s="111"/>
      <c r="AG152" s="339">
        <f ca="1">IF(AA152="W34",0,1)</f>
        <v>1</v>
      </c>
      <c r="AH152" s="193"/>
      <c r="AI152" s="193"/>
      <c r="AJ152" s="689"/>
      <c r="AK152" s="690"/>
      <c r="AL152" s="690"/>
      <c r="AM152" s="690"/>
      <c r="AN152" s="690"/>
      <c r="AO152" s="690"/>
      <c r="AP152" s="690"/>
      <c r="AQ152" s="690"/>
      <c r="AR152" s="690"/>
      <c r="AS152" s="690"/>
      <c r="AT152" s="690"/>
      <c r="AU152" s="691"/>
      <c r="AV152" s="202"/>
      <c r="AW152" s="163"/>
      <c r="AX152" s="162"/>
      <c r="AY152" s="164"/>
      <c r="AZ152" s="165"/>
      <c r="BA152" s="155"/>
    </row>
    <row r="153" spans="1:814 1038:1325" ht="16.05" customHeight="1" thickBot="1">
      <c r="A153" s="12"/>
      <c r="B153" s="12"/>
      <c r="C153" s="12"/>
      <c r="D153" s="12"/>
      <c r="E153" s="12"/>
      <c r="F153" s="12"/>
      <c r="G153" s="12"/>
      <c r="H153" s="12"/>
      <c r="I153" s="12"/>
      <c r="J153" s="12"/>
      <c r="K153" s="12"/>
      <c r="L153" s="12"/>
      <c r="M153" s="12"/>
      <c r="N153" s="12"/>
      <c r="O153" s="12"/>
      <c r="P153" s="12"/>
      <c r="Q153" s="12"/>
      <c r="R153" s="12"/>
      <c r="S153" s="12"/>
      <c r="T153" s="12"/>
      <c r="U153" s="12"/>
      <c r="V153" s="20"/>
      <c r="W153" s="162"/>
      <c r="X153" s="163"/>
      <c r="Y153" s="162"/>
      <c r="Z153" s="164"/>
      <c r="AA153" s="165"/>
      <c r="AB153" s="166"/>
      <c r="AC153" s="159"/>
      <c r="AD153" s="159"/>
      <c r="AE153" s="166"/>
      <c r="AF153" s="167"/>
      <c r="AG153" s="337"/>
      <c r="AH153" s="193"/>
      <c r="AI153" s="193"/>
      <c r="AJ153" s="689"/>
      <c r="AK153" s="690"/>
      <c r="AL153" s="690"/>
      <c r="AM153" s="690"/>
      <c r="AN153" s="690"/>
      <c r="AO153" s="690"/>
      <c r="AP153" s="690"/>
      <c r="AQ153" s="690"/>
      <c r="AR153" s="690"/>
      <c r="AS153" s="690"/>
      <c r="AT153" s="690"/>
      <c r="AU153" s="691"/>
      <c r="AV153" s="202"/>
      <c r="AW153" s="163"/>
      <c r="AX153" s="162"/>
      <c r="AY153" s="164"/>
      <c r="AZ153" s="165"/>
      <c r="BA153" s="155"/>
    </row>
    <row r="154" spans="1:814 1038:1325" ht="16.05" customHeight="1">
      <c r="A154" s="12"/>
      <c r="B154" s="12"/>
      <c r="C154" s="12"/>
      <c r="D154" s="12"/>
      <c r="E154" s="12"/>
      <c r="F154" s="12"/>
      <c r="G154" s="12"/>
      <c r="H154" s="12"/>
      <c r="I154" s="12"/>
      <c r="J154" s="12"/>
      <c r="K154" s="12"/>
      <c r="L154" s="12"/>
      <c r="M154" s="12"/>
      <c r="N154" s="12"/>
      <c r="O154" s="12"/>
      <c r="P154" s="12"/>
      <c r="Q154" s="12"/>
      <c r="R154" s="12"/>
      <c r="S154" s="12"/>
      <c r="T154" s="12"/>
      <c r="U154" s="12"/>
      <c r="V154" s="20"/>
      <c r="W154" s="142" t="str">
        <f>Idiomas!D37</f>
        <v>Bota de Oro  (máximo goleador)</v>
      </c>
      <c r="X154" s="143"/>
      <c r="Y154" s="143"/>
      <c r="Z154" s="144"/>
      <c r="AA154" s="229" t="str">
        <f>+Idiomas!D43</f>
        <v>Escribe un jugador</v>
      </c>
      <c r="AB154" s="412"/>
      <c r="AC154" s="412"/>
      <c r="AD154" s="412"/>
      <c r="AE154" s="412"/>
      <c r="AF154" s="413"/>
      <c r="AG154" s="339">
        <f>IF(AA154=$AH$154,0,IF(AA154="",0,1))</f>
        <v>0</v>
      </c>
      <c r="AH154" s="207" t="str">
        <f>Idiomas!D43</f>
        <v>Escribe un jugador</v>
      </c>
      <c r="AI154" s="193"/>
      <c r="AJ154" s="689"/>
      <c r="AK154" s="690"/>
      <c r="AL154" s="690"/>
      <c r="AM154" s="690"/>
      <c r="AN154" s="690"/>
      <c r="AO154" s="690"/>
      <c r="AP154" s="690"/>
      <c r="AQ154" s="690"/>
      <c r="AR154" s="690"/>
      <c r="AS154" s="690"/>
      <c r="AT154" s="690"/>
      <c r="AU154" s="691"/>
      <c r="AV154" s="202"/>
      <c r="AW154" s="163"/>
      <c r="AX154" s="162"/>
      <c r="AY154" s="164"/>
      <c r="AZ154" s="165"/>
      <c r="BA154" s="155"/>
    </row>
    <row r="155" spans="1:814 1038:1325" ht="16.05" customHeight="1">
      <c r="A155" s="12"/>
      <c r="B155" s="12"/>
      <c r="C155" s="12"/>
      <c r="D155" s="12"/>
      <c r="E155" s="12"/>
      <c r="F155" s="12"/>
      <c r="G155" s="12"/>
      <c r="H155" s="12"/>
      <c r="I155" s="12"/>
      <c r="J155" s="12"/>
      <c r="K155" s="12"/>
      <c r="L155" s="12"/>
      <c r="M155" s="12"/>
      <c r="N155" s="12"/>
      <c r="O155" s="12"/>
      <c r="P155" s="12"/>
      <c r="Q155" s="12"/>
      <c r="R155" s="12"/>
      <c r="S155" s="12"/>
      <c r="T155" s="12"/>
      <c r="U155" s="12"/>
      <c r="V155" s="20"/>
      <c r="W155" s="138" t="str">
        <f>Idiomas!D38</f>
        <v>Bota de Plata (2º máximo goleador)</v>
      </c>
      <c r="X155" s="122"/>
      <c r="Y155" s="122"/>
      <c r="Z155" s="120"/>
      <c r="AA155" s="230" t="str">
        <f>+Idiomas!D43</f>
        <v>Escribe un jugador</v>
      </c>
      <c r="AB155" s="414"/>
      <c r="AC155" s="414"/>
      <c r="AD155" s="414"/>
      <c r="AE155" s="414"/>
      <c r="AF155" s="415"/>
      <c r="AG155" s="339">
        <f>IF(AA155=$AH$154,0,IF(AA155="",0,1))</f>
        <v>0</v>
      </c>
      <c r="AH155" s="193"/>
      <c r="AI155" s="193"/>
      <c r="AJ155" s="653" t="str">
        <f ca="1">IF(SUM(COUNTIF(AG4:AG97,0),COUNTIF(AG101:AG160,0)&gt;0),AM148,AM149)</f>
        <v>Aún falta alguna apuesta</v>
      </c>
      <c r="AK155" s="654"/>
      <c r="AL155" s="654"/>
      <c r="AM155" s="654"/>
      <c r="AN155" s="654"/>
      <c r="AO155" s="654"/>
      <c r="AP155" s="654"/>
      <c r="AQ155" s="654"/>
      <c r="AR155" s="654"/>
      <c r="AS155" s="654"/>
      <c r="AT155" s="654"/>
      <c r="AU155" s="655"/>
      <c r="AV155" s="202"/>
      <c r="AW155" s="163"/>
      <c r="AX155" s="162"/>
      <c r="AY155" s="164"/>
      <c r="AZ155" s="165"/>
      <c r="BA155" s="187"/>
    </row>
    <row r="156" spans="1:814 1038:1325" ht="16.05" customHeight="1" thickBot="1">
      <c r="A156" s="12"/>
      <c r="B156" s="12"/>
      <c r="C156" s="12"/>
      <c r="D156" s="12"/>
      <c r="E156" s="12"/>
      <c r="F156" s="12"/>
      <c r="G156" s="12"/>
      <c r="H156" s="12"/>
      <c r="I156" s="12"/>
      <c r="J156" s="12"/>
      <c r="K156" s="12"/>
      <c r="L156" s="12"/>
      <c r="M156" s="12"/>
      <c r="N156" s="12"/>
      <c r="O156" s="12"/>
      <c r="P156" s="12"/>
      <c r="Q156" s="12"/>
      <c r="R156" s="12"/>
      <c r="S156" s="12"/>
      <c r="T156" s="12"/>
      <c r="U156" s="12"/>
      <c r="V156" s="20"/>
      <c r="W156" s="139" t="str">
        <f>Idiomas!D39</f>
        <v>Bota de Bronce (3º máximo goleador)</v>
      </c>
      <c r="X156" s="117"/>
      <c r="Y156" s="117"/>
      <c r="Z156" s="121"/>
      <c r="AA156" s="231" t="str">
        <f>+Idiomas!D43</f>
        <v>Escribe un jugador</v>
      </c>
      <c r="AB156" s="416"/>
      <c r="AC156" s="416"/>
      <c r="AD156" s="416"/>
      <c r="AE156" s="416"/>
      <c r="AF156" s="417"/>
      <c r="AG156" s="339">
        <f>IF(AA156=$AH$154,0,IF(AA156="",0,1))</f>
        <v>0</v>
      </c>
      <c r="AH156" s="193"/>
      <c r="AI156" s="193"/>
      <c r="AJ156" s="653"/>
      <c r="AK156" s="654"/>
      <c r="AL156" s="654"/>
      <c r="AM156" s="654"/>
      <c r="AN156" s="654"/>
      <c r="AO156" s="654"/>
      <c r="AP156" s="654"/>
      <c r="AQ156" s="654"/>
      <c r="AR156" s="654"/>
      <c r="AS156" s="654"/>
      <c r="AT156" s="654"/>
      <c r="AU156" s="655"/>
      <c r="AV156" s="202"/>
      <c r="AW156" s="163"/>
      <c r="AX156" s="162"/>
      <c r="AY156" s="164"/>
      <c r="AZ156" s="165"/>
      <c r="BA156" s="187"/>
    </row>
    <row r="157" spans="1:814 1038:1325" ht="16.05" customHeight="1" thickBot="1">
      <c r="A157" s="12"/>
      <c r="B157" s="12"/>
      <c r="C157" s="12"/>
      <c r="D157" s="12"/>
      <c r="E157" s="12"/>
      <c r="F157" s="12"/>
      <c r="G157" s="12"/>
      <c r="H157" s="12"/>
      <c r="I157" s="12"/>
      <c r="J157" s="12"/>
      <c r="K157" s="12"/>
      <c r="L157" s="12"/>
      <c r="M157" s="12"/>
      <c r="N157" s="12"/>
      <c r="O157" s="12"/>
      <c r="P157" s="12"/>
      <c r="Q157" s="12"/>
      <c r="R157" s="12"/>
      <c r="S157" s="12"/>
      <c r="T157" s="12"/>
      <c r="U157" s="12"/>
      <c r="V157" s="20"/>
      <c r="W157" s="162"/>
      <c r="X157" s="163"/>
      <c r="Y157" s="162"/>
      <c r="Z157" s="164"/>
      <c r="AA157" s="165"/>
      <c r="AB157" s="166"/>
      <c r="AC157" s="159"/>
      <c r="AD157" s="159"/>
      <c r="AE157" s="166"/>
      <c r="AF157" s="167"/>
      <c r="AG157" s="337"/>
      <c r="AH157" s="193"/>
      <c r="AI157" s="193"/>
      <c r="AJ157" s="656"/>
      <c r="AK157" s="657"/>
      <c r="AL157" s="657"/>
      <c r="AM157" s="657"/>
      <c r="AN157" s="657"/>
      <c r="AO157" s="657"/>
      <c r="AP157" s="657"/>
      <c r="AQ157" s="657"/>
      <c r="AR157" s="657"/>
      <c r="AS157" s="657"/>
      <c r="AT157" s="657"/>
      <c r="AU157" s="658"/>
      <c r="AV157" s="202"/>
      <c r="AW157" s="163"/>
      <c r="AX157" s="162"/>
      <c r="AY157" s="164"/>
      <c r="AZ157" s="165"/>
      <c r="BA157" s="187"/>
    </row>
    <row r="158" spans="1:814 1038:1325" ht="16.05" customHeight="1">
      <c r="A158" s="12"/>
      <c r="B158" s="12"/>
      <c r="C158" s="12"/>
      <c r="D158" s="12"/>
      <c r="E158" s="12"/>
      <c r="F158" s="12"/>
      <c r="G158" s="12"/>
      <c r="H158" s="12"/>
      <c r="I158" s="12"/>
      <c r="J158" s="12"/>
      <c r="K158" s="12"/>
      <c r="L158" s="12"/>
      <c r="M158" s="12"/>
      <c r="N158" s="12"/>
      <c r="O158" s="12"/>
      <c r="P158" s="12"/>
      <c r="Q158" s="12"/>
      <c r="R158" s="12"/>
      <c r="S158" s="12"/>
      <c r="T158" s="12"/>
      <c r="U158" s="12"/>
      <c r="V158" s="20"/>
      <c r="W158" s="142" t="str">
        <f>Idiomas!D40</f>
        <v>Balón de Oro  (mejor jugador)</v>
      </c>
      <c r="X158" s="143"/>
      <c r="Y158" s="143"/>
      <c r="Z158" s="144"/>
      <c r="AA158" s="229" t="str">
        <f>+Idiomas!D43</f>
        <v>Escribe un jugador</v>
      </c>
      <c r="AB158" s="412"/>
      <c r="AC158" s="412"/>
      <c r="AD158" s="412"/>
      <c r="AE158" s="412"/>
      <c r="AF158" s="413"/>
      <c r="AG158" s="339">
        <f>IF(AA158=$AH$154,0,IF(AA158="",0,1))</f>
        <v>0</v>
      </c>
      <c r="AH158" s="208"/>
      <c r="AI158" s="193"/>
      <c r="AJ158" s="153"/>
      <c r="AK158" s="153"/>
      <c r="AL158" s="153"/>
      <c r="AM158" s="153"/>
      <c r="AN158" s="153"/>
      <c r="AO158" s="153"/>
      <c r="AP158" s="153"/>
      <c r="AQ158" s="153"/>
      <c r="AR158" s="153"/>
      <c r="AS158" s="153"/>
      <c r="AT158" s="153"/>
      <c r="AU158" s="344"/>
      <c r="AV158" s="202"/>
      <c r="AW158" s="163"/>
      <c r="AX158" s="162"/>
      <c r="AY158" s="164"/>
      <c r="AZ158" s="165"/>
      <c r="BA158" s="187"/>
    </row>
    <row r="159" spans="1:814 1038:1325" ht="16.05" customHeight="1">
      <c r="A159" s="12"/>
      <c r="B159" s="12"/>
      <c r="C159" s="12"/>
      <c r="D159" s="12"/>
      <c r="E159" s="12"/>
      <c r="F159" s="12"/>
      <c r="G159" s="12"/>
      <c r="H159" s="12"/>
      <c r="I159" s="12"/>
      <c r="J159" s="12"/>
      <c r="K159" s="12"/>
      <c r="L159" s="12"/>
      <c r="M159" s="12"/>
      <c r="N159" s="12"/>
      <c r="O159" s="12"/>
      <c r="P159" s="12"/>
      <c r="Q159" s="12"/>
      <c r="R159" s="12"/>
      <c r="S159" s="12"/>
      <c r="T159" s="12"/>
      <c r="U159" s="12"/>
      <c r="V159" s="20"/>
      <c r="W159" s="138" t="str">
        <f>Idiomas!D41</f>
        <v>Balón de Plata (2º mejor jugador)</v>
      </c>
      <c r="X159" s="122"/>
      <c r="Y159" s="122"/>
      <c r="Z159" s="120"/>
      <c r="AA159" s="230" t="str">
        <f>+Idiomas!D43</f>
        <v>Escribe un jugador</v>
      </c>
      <c r="AB159" s="414"/>
      <c r="AC159" s="414"/>
      <c r="AD159" s="414"/>
      <c r="AE159" s="414"/>
      <c r="AF159" s="415"/>
      <c r="AG159" s="339">
        <f>IF(AA159=$AH$154,0,IF(AA159="",0,1))</f>
        <v>0</v>
      </c>
      <c r="AH159" s="193"/>
      <c r="AI159" s="194"/>
      <c r="AJ159" s="153"/>
      <c r="AK159" s="153"/>
      <c r="AL159" s="153"/>
      <c r="AM159" s="153"/>
      <c r="AN159" s="153"/>
      <c r="AO159" s="153"/>
      <c r="AP159" s="153"/>
      <c r="AQ159" s="153"/>
      <c r="AR159" s="153"/>
      <c r="AS159" s="153"/>
      <c r="AT159" s="153"/>
      <c r="AU159" s="344"/>
      <c r="AV159" s="202"/>
      <c r="AW159" s="163"/>
      <c r="AX159" s="162"/>
      <c r="AY159" s="164"/>
      <c r="AZ159" s="165"/>
      <c r="BA159" s="187"/>
    </row>
    <row r="160" spans="1:814 1038:1325" ht="16.05" customHeight="1" thickBot="1">
      <c r="A160" s="12"/>
      <c r="B160" s="12"/>
      <c r="C160" s="12"/>
      <c r="D160" s="12"/>
      <c r="E160" s="12"/>
      <c r="F160" s="12"/>
      <c r="G160" s="12"/>
      <c r="H160" s="12"/>
      <c r="I160" s="12"/>
      <c r="J160" s="12"/>
      <c r="K160" s="12"/>
      <c r="L160" s="12"/>
      <c r="M160" s="12"/>
      <c r="N160" s="12"/>
      <c r="O160" s="12"/>
      <c r="P160" s="12"/>
      <c r="Q160" s="12"/>
      <c r="R160" s="12"/>
      <c r="S160" s="12"/>
      <c r="T160" s="12"/>
      <c r="U160" s="12"/>
      <c r="V160" s="20"/>
      <c r="W160" s="139" t="str">
        <f>Idiomas!D42</f>
        <v>Balón de Bronce (3º mejor jugador)</v>
      </c>
      <c r="X160" s="117"/>
      <c r="Y160" s="117"/>
      <c r="Z160" s="121"/>
      <c r="AA160" s="231" t="str">
        <f>+Idiomas!D43</f>
        <v>Escribe un jugador</v>
      </c>
      <c r="AB160" s="416"/>
      <c r="AC160" s="416"/>
      <c r="AD160" s="416"/>
      <c r="AE160" s="416"/>
      <c r="AF160" s="417"/>
      <c r="AG160" s="339">
        <f>IF(AA160=$AH$154,0,IF(AA160="",0,1))</f>
        <v>0</v>
      </c>
      <c r="AH160" s="193"/>
      <c r="AI160" s="193"/>
      <c r="AJ160" s="153"/>
      <c r="AK160" s="153"/>
      <c r="AL160" s="153"/>
      <c r="AM160" s="153"/>
      <c r="AN160" s="153"/>
      <c r="AO160" s="153"/>
      <c r="AP160" s="153"/>
      <c r="AQ160" s="153"/>
      <c r="AR160" s="153"/>
      <c r="AS160" s="153"/>
      <c r="AT160" s="153"/>
      <c r="AU160" s="344"/>
      <c r="AV160" s="202"/>
      <c r="AW160" s="163"/>
      <c r="AX160" s="162"/>
      <c r="AY160" s="164"/>
      <c r="AZ160" s="165"/>
      <c r="BA160" s="187"/>
    </row>
    <row r="161" spans="1:53 4498:4498" ht="19.95" customHeight="1" thickBot="1">
      <c r="A161" s="12"/>
      <c r="B161" s="12"/>
      <c r="C161" s="12"/>
      <c r="D161" s="12"/>
      <c r="E161" s="12"/>
      <c r="F161" s="12"/>
      <c r="G161" s="12"/>
      <c r="H161" s="12"/>
      <c r="I161" s="12"/>
      <c r="J161" s="12"/>
      <c r="K161" s="12"/>
      <c r="L161" s="12"/>
      <c r="M161" s="12"/>
      <c r="N161" s="12"/>
      <c r="O161" s="12"/>
      <c r="P161" s="12"/>
      <c r="Q161" s="12"/>
      <c r="R161" s="12"/>
      <c r="S161" s="12"/>
      <c r="T161" s="12"/>
      <c r="U161" s="12"/>
      <c r="V161" s="20"/>
      <c r="W161" s="162"/>
      <c r="X161" s="162"/>
      <c r="Y161" s="163"/>
      <c r="Z161" s="162"/>
      <c r="AA161" s="164"/>
      <c r="AB161" s="165"/>
      <c r="AC161" s="166"/>
      <c r="AD161" s="159"/>
      <c r="AE161" s="159"/>
      <c r="AF161" s="166"/>
      <c r="AG161" s="153"/>
      <c r="AH161" s="193"/>
      <c r="AI161" s="193"/>
      <c r="AJ161" s="153"/>
      <c r="AK161" s="153"/>
      <c r="AL161" s="153"/>
      <c r="AM161" s="153"/>
      <c r="AN161" s="153"/>
      <c r="AO161" s="153"/>
      <c r="AP161" s="153"/>
      <c r="AQ161" s="153"/>
      <c r="AR161" s="153"/>
      <c r="AS161" s="153"/>
      <c r="AT161" s="153"/>
      <c r="AU161" s="344"/>
      <c r="AV161" s="202"/>
      <c r="AW161" s="163"/>
      <c r="AX161" s="162"/>
      <c r="AY161" s="164"/>
      <c r="AZ161" s="165"/>
      <c r="BA161" s="187"/>
    </row>
    <row r="162" spans="1:53 4498:4498" ht="28.05" customHeight="1" thickBot="1">
      <c r="A162" s="12"/>
      <c r="B162" s="12"/>
      <c r="C162" s="12"/>
      <c r="D162" s="12"/>
      <c r="E162" s="12"/>
      <c r="F162" s="12"/>
      <c r="G162" s="12"/>
      <c r="H162" s="12"/>
      <c r="I162" s="12"/>
      <c r="J162" s="12"/>
      <c r="K162" s="12"/>
      <c r="L162" s="12"/>
      <c r="M162" s="12"/>
      <c r="N162" s="12"/>
      <c r="O162" s="12"/>
      <c r="P162" s="12"/>
      <c r="Q162" s="12"/>
      <c r="R162" s="12"/>
      <c r="S162" s="12"/>
      <c r="T162" s="12"/>
      <c r="U162" s="12"/>
      <c r="V162" s="20"/>
      <c r="W162" s="162"/>
      <c r="X162" s="162"/>
      <c r="Y162" s="163"/>
      <c r="Z162" s="162"/>
      <c r="AA162" s="303" t="str">
        <f>HYPERLINK(Idiomas!D10,Idiomas!D9)</f>
        <v>▼ Descargar Excel Administrador Porra ▼</v>
      </c>
      <c r="AB162" s="165"/>
      <c r="AC162" s="166"/>
      <c r="AD162" s="159"/>
      <c r="AE162" s="159"/>
      <c r="AF162" s="423" t="s">
        <v>1320</v>
      </c>
      <c r="AG162" s="160"/>
      <c r="AH162" s="193"/>
      <c r="AI162" s="193"/>
      <c r="AJ162" s="153"/>
      <c r="AK162" s="153"/>
      <c r="AL162" s="234" t="s">
        <v>1339</v>
      </c>
      <c r="AM162" s="232"/>
      <c r="AN162" s="233"/>
      <c r="AO162" s="651" t="str">
        <f>+Idiomas!D12</f>
        <v>Donar</v>
      </c>
      <c r="AP162" s="652"/>
      <c r="AQ162" s="153"/>
      <c r="AR162" s="153"/>
      <c r="AS162" s="153"/>
      <c r="AT162" s="153"/>
      <c r="AU162" s="344"/>
      <c r="AV162" s="202"/>
      <c r="AW162" s="163"/>
      <c r="AX162" s="162"/>
      <c r="AY162" s="164"/>
      <c r="AZ162" s="165"/>
      <c r="BA162" s="187"/>
    </row>
    <row r="163" spans="1:53 4498:4498" ht="28.05" customHeight="1">
      <c r="A163" s="12"/>
      <c r="B163" s="12"/>
      <c r="C163" s="12"/>
      <c r="D163" s="12"/>
      <c r="E163" s="12"/>
      <c r="F163" s="12"/>
      <c r="G163" s="12"/>
      <c r="H163" s="12"/>
      <c r="I163" s="12"/>
      <c r="J163" s="12"/>
      <c r="K163" s="12"/>
      <c r="L163" s="12"/>
      <c r="M163" s="12"/>
      <c r="N163" s="12"/>
      <c r="O163" s="12"/>
      <c r="P163" s="12"/>
      <c r="Q163" s="12"/>
      <c r="R163" s="12"/>
      <c r="S163" s="12"/>
      <c r="T163" s="12"/>
      <c r="U163" s="12"/>
      <c r="V163" s="20"/>
      <c r="W163" s="162"/>
      <c r="X163" s="162"/>
      <c r="Y163" s="163"/>
      <c r="Z163" s="162"/>
      <c r="AA163" s="164"/>
      <c r="AB163" s="165"/>
      <c r="AC163" s="166"/>
      <c r="AD163" s="159"/>
      <c r="AE163" s="159"/>
      <c r="AF163" s="166"/>
      <c r="AG163" s="160"/>
      <c r="AH163" s="209"/>
      <c r="AI163" s="193"/>
      <c r="AJ163" s="153"/>
      <c r="AK163" s="153"/>
      <c r="AL163" s="153"/>
      <c r="AM163" s="153"/>
      <c r="AN163" s="153"/>
      <c r="AO163" s="153"/>
      <c r="AP163" s="153"/>
      <c r="AQ163" s="153"/>
      <c r="AR163" s="153"/>
      <c r="AS163" s="153"/>
      <c r="AT163" s="153"/>
      <c r="AU163" s="344"/>
      <c r="AV163" s="202"/>
      <c r="AW163" s="163"/>
      <c r="AX163" s="162"/>
      <c r="AY163" s="164"/>
      <c r="AZ163" s="165"/>
      <c r="BA163" s="187"/>
      <c r="FPZ163" s="10" t="s">
        <v>15</v>
      </c>
    </row>
    <row r="164" spans="1:53 4498:4498" ht="16.05" customHeight="1">
      <c r="A164" s="12"/>
      <c r="B164" s="12"/>
      <c r="C164" s="12"/>
      <c r="D164" s="12"/>
      <c r="E164" s="12"/>
      <c r="F164" s="12"/>
      <c r="G164" s="12"/>
      <c r="H164" s="12"/>
      <c r="I164" s="12"/>
      <c r="J164" s="12"/>
      <c r="K164" s="12"/>
      <c r="L164" s="12"/>
      <c r="M164" s="12"/>
      <c r="N164" s="12"/>
      <c r="O164" s="12"/>
      <c r="P164" s="12"/>
      <c r="Q164" s="12"/>
      <c r="R164" s="12"/>
      <c r="S164" s="12"/>
      <c r="T164" s="12"/>
      <c r="U164" s="12"/>
      <c r="V164" s="20"/>
      <c r="W164" s="330"/>
      <c r="X164" s="162"/>
      <c r="Y164" s="163"/>
      <c r="Z164" s="162"/>
      <c r="AA164" s="162"/>
      <c r="AB164" s="165"/>
      <c r="AC164" s="166"/>
      <c r="AD164" s="159"/>
      <c r="AE164" s="159"/>
      <c r="AF164" s="166"/>
      <c r="AG164" s="153"/>
      <c r="AH164" s="193"/>
      <c r="AI164" s="193"/>
      <c r="AJ164" s="153"/>
      <c r="AK164" s="153"/>
      <c r="AL164" s="153"/>
      <c r="AM164" s="153"/>
      <c r="AN164" s="153"/>
      <c r="AO164" s="153"/>
      <c r="AP164" s="153"/>
      <c r="AQ164" s="153"/>
      <c r="AR164" s="153"/>
      <c r="AS164" s="153"/>
      <c r="AT164" s="153"/>
      <c r="AU164" s="344"/>
      <c r="AV164" s="202"/>
      <c r="AW164" s="163"/>
      <c r="AX164" s="162"/>
      <c r="AY164" s="164"/>
      <c r="AZ164" s="165"/>
      <c r="BA164" s="155"/>
    </row>
    <row r="165" spans="1:53 4498:4498" ht="16.05" customHeight="1">
      <c r="V165" s="20"/>
      <c r="W165" s="162"/>
      <c r="X165" s="162"/>
      <c r="Y165" s="163"/>
      <c r="Z165" s="162"/>
      <c r="AA165" s="164"/>
      <c r="AB165" s="165"/>
      <c r="AC165" s="166"/>
      <c r="AD165" s="159"/>
      <c r="AE165" s="159"/>
      <c r="AF165" s="166"/>
      <c r="AG165" s="161"/>
      <c r="AH165" s="190"/>
      <c r="AI165" s="190"/>
      <c r="AJ165" s="161"/>
      <c r="AK165" s="161"/>
      <c r="AL165" s="161"/>
      <c r="AM165" s="161"/>
      <c r="AN165" s="161"/>
      <c r="AO165" s="161"/>
      <c r="AP165" s="161"/>
      <c r="AQ165" s="161"/>
      <c r="AR165" s="161"/>
      <c r="AS165" s="161"/>
      <c r="AT165" s="161"/>
      <c r="AU165" s="346"/>
      <c r="AV165" s="202"/>
      <c r="AW165" s="163"/>
      <c r="AX165" s="162"/>
      <c r="AY165" s="164"/>
      <c r="AZ165" s="165"/>
      <c r="BA165" s="161"/>
    </row>
    <row r="166" spans="1:53 4498:4498">
      <c r="V166" s="20"/>
      <c r="W166" s="162"/>
      <c r="X166" s="162"/>
      <c r="Y166" s="163"/>
      <c r="Z166" s="162"/>
      <c r="AA166" s="164"/>
      <c r="AB166" s="165"/>
      <c r="AC166" s="166"/>
      <c r="AD166" s="159"/>
      <c r="AE166" s="159"/>
      <c r="AF166" s="166"/>
      <c r="AG166" s="161"/>
      <c r="AH166" s="190"/>
      <c r="AI166" s="190"/>
      <c r="AJ166" s="161"/>
      <c r="AK166" s="161"/>
      <c r="AL166" s="161"/>
      <c r="AM166" s="161"/>
      <c r="AN166" s="161"/>
      <c r="AO166" s="161"/>
      <c r="AP166" s="161"/>
      <c r="AQ166" s="161"/>
      <c r="AR166" s="161"/>
      <c r="AS166" s="161"/>
      <c r="AT166" s="161"/>
      <c r="AU166" s="346"/>
      <c r="AV166" s="202"/>
      <c r="AW166" s="163"/>
      <c r="AX166" s="162"/>
      <c r="AY166" s="164"/>
      <c r="AZ166" s="165"/>
      <c r="BA166" s="184"/>
    </row>
    <row r="167" spans="1:53 4498:4498">
      <c r="V167" s="20"/>
      <c r="W167" s="162"/>
      <c r="X167" s="162"/>
      <c r="Y167" s="163"/>
      <c r="Z167" s="162"/>
      <c r="AA167" s="164"/>
      <c r="AB167" s="165"/>
      <c r="AC167" s="166"/>
      <c r="AD167" s="159"/>
      <c r="AE167" s="159"/>
      <c r="AF167" s="166"/>
      <c r="AG167" s="161"/>
      <c r="AH167" s="190"/>
      <c r="AI167" s="190"/>
      <c r="AJ167" s="161"/>
      <c r="AK167" s="161"/>
      <c r="AL167" s="161"/>
      <c r="AM167" s="161"/>
      <c r="AN167" s="161"/>
      <c r="AO167" s="161"/>
      <c r="AP167" s="161"/>
      <c r="AQ167" s="161"/>
      <c r="AR167" s="161"/>
      <c r="AS167" s="161"/>
      <c r="AT167" s="161"/>
      <c r="AU167" s="346"/>
      <c r="AV167" s="202"/>
      <c r="AW167" s="163"/>
      <c r="AX167" s="162"/>
      <c r="AY167" s="164"/>
      <c r="AZ167" s="165"/>
      <c r="BA167" s="161"/>
    </row>
    <row r="168" spans="1:53 4498:4498">
      <c r="V168" s="20"/>
      <c r="W168" s="162"/>
      <c r="X168" s="162"/>
      <c r="Y168" s="163"/>
      <c r="Z168" s="162"/>
      <c r="AA168" s="164"/>
      <c r="AB168" s="165"/>
      <c r="AC168" s="166"/>
      <c r="AD168" s="159"/>
      <c r="AE168" s="159"/>
      <c r="AF168" s="166"/>
      <c r="AG168" s="161"/>
      <c r="AH168" s="190"/>
      <c r="AI168" s="190"/>
      <c r="AJ168" s="161"/>
      <c r="AK168" s="161"/>
      <c r="AL168" s="161"/>
      <c r="AM168" s="161"/>
      <c r="AN168" s="161"/>
      <c r="AO168" s="161"/>
      <c r="AP168" s="161"/>
      <c r="AQ168" s="161"/>
      <c r="AR168" s="161"/>
      <c r="AS168" s="161"/>
      <c r="AT168" s="161"/>
      <c r="AU168" s="346"/>
      <c r="AV168" s="202"/>
      <c r="AW168" s="163"/>
      <c r="AX168" s="162"/>
      <c r="AY168" s="164"/>
      <c r="AZ168" s="165"/>
      <c r="BA168" s="184"/>
    </row>
    <row r="169" spans="1:53 4498:4498">
      <c r="V169" s="3"/>
      <c r="W169" s="3"/>
      <c r="X169" s="3"/>
      <c r="Y169" s="3"/>
      <c r="Z169" s="3"/>
      <c r="AA169" s="3"/>
      <c r="AB169" s="3"/>
      <c r="AC169" s="3"/>
      <c r="AD169" s="3"/>
      <c r="AE169" s="3"/>
      <c r="AF169" s="3"/>
      <c r="AG169" s="3"/>
      <c r="AH169" s="195"/>
      <c r="AI169" s="195"/>
      <c r="AJ169" s="3"/>
      <c r="AK169" s="3"/>
      <c r="AL169" s="3"/>
      <c r="AM169" s="3"/>
      <c r="AN169" s="3"/>
      <c r="AO169" s="3"/>
      <c r="AP169" s="3"/>
      <c r="AQ169" s="3"/>
      <c r="AR169" s="3"/>
      <c r="AS169" s="3"/>
      <c r="AT169" s="3"/>
      <c r="AU169" s="203"/>
      <c r="AV169" s="195"/>
      <c r="AW169" s="3"/>
      <c r="AX169" s="3"/>
      <c r="AY169" s="7"/>
      <c r="AZ169" s="3"/>
      <c r="BA169" s="3"/>
    </row>
    <row r="170" spans="1:53 4498:4498">
      <c r="V170" s="3"/>
      <c r="W170" s="3"/>
      <c r="X170" s="3"/>
      <c r="Y170" s="3"/>
      <c r="Z170" s="3"/>
      <c r="AA170" s="3"/>
      <c r="AB170" s="3"/>
      <c r="AC170" s="3"/>
      <c r="AD170" s="3"/>
      <c r="AE170" s="3"/>
      <c r="AF170" s="3"/>
      <c r="AG170" s="3"/>
      <c r="AH170" s="195"/>
      <c r="AI170" s="195"/>
      <c r="AJ170" s="3"/>
      <c r="AK170" s="3"/>
      <c r="AL170" s="3"/>
      <c r="AM170" s="3"/>
      <c r="AN170" s="3"/>
      <c r="AO170" s="3"/>
      <c r="AP170" s="3"/>
      <c r="AQ170" s="3"/>
      <c r="AR170" s="3"/>
      <c r="AS170" s="3"/>
      <c r="AT170" s="3"/>
      <c r="AU170" s="203"/>
      <c r="AV170" s="195"/>
      <c r="AW170" s="3"/>
      <c r="AX170" s="3"/>
      <c r="AY170" s="7"/>
      <c r="AZ170" s="3"/>
    </row>
    <row r="171" spans="1:53 4498:4498">
      <c r="V171" s="3"/>
      <c r="W171" s="3"/>
      <c r="X171" s="3"/>
      <c r="Y171" s="3"/>
      <c r="Z171" s="3"/>
      <c r="AA171" s="3"/>
      <c r="AB171" s="3"/>
      <c r="AC171" s="3"/>
      <c r="AD171" s="3"/>
      <c r="AE171" s="3"/>
      <c r="AF171" s="3"/>
      <c r="AG171" s="3"/>
      <c r="AH171" s="195"/>
      <c r="AI171" s="195"/>
      <c r="AJ171" s="3"/>
      <c r="AK171" s="3"/>
      <c r="AL171" s="3"/>
      <c r="AM171" s="3"/>
      <c r="AN171" s="3"/>
      <c r="AO171" s="3"/>
      <c r="AP171" s="3"/>
      <c r="AQ171" s="3"/>
      <c r="AR171" s="3"/>
      <c r="AS171" s="3"/>
      <c r="AT171" s="3"/>
      <c r="AU171" s="203"/>
      <c r="AV171" s="195"/>
      <c r="AW171" s="3"/>
      <c r="AX171" s="3"/>
      <c r="AY171" s="7"/>
      <c r="AZ171" s="3"/>
      <c r="BA171" s="3"/>
    </row>
    <row r="172" spans="1:53 4498:4498">
      <c r="V172" s="3"/>
      <c r="W172" s="3"/>
      <c r="X172" s="3"/>
      <c r="Y172" s="3"/>
      <c r="Z172" s="3"/>
      <c r="AA172" s="3"/>
      <c r="AB172" s="3"/>
      <c r="AC172" s="3"/>
      <c r="AD172" s="3"/>
      <c r="AE172" s="3"/>
      <c r="AF172" s="3"/>
      <c r="AG172" s="3"/>
      <c r="AH172" s="195"/>
      <c r="AI172" s="195"/>
      <c r="AJ172" s="3"/>
      <c r="AK172" s="3"/>
      <c r="AL172" s="3"/>
      <c r="AM172" s="3"/>
      <c r="AN172" s="3"/>
      <c r="AO172" s="3"/>
      <c r="AP172" s="3"/>
      <c r="AQ172" s="3"/>
      <c r="AR172" s="3"/>
      <c r="AS172" s="3"/>
      <c r="AT172" s="3"/>
      <c r="AU172" s="203"/>
      <c r="AV172" s="195"/>
      <c r="AW172" s="3"/>
      <c r="AX172" s="3"/>
      <c r="AY172" s="7"/>
      <c r="AZ172" s="3"/>
    </row>
    <row r="173" spans="1:53 4498:4498">
      <c r="V173" s="3"/>
      <c r="W173" s="3"/>
      <c r="X173" s="3"/>
      <c r="Y173" s="3"/>
      <c r="Z173" s="3"/>
      <c r="AA173" s="3"/>
      <c r="AB173" s="3"/>
      <c r="AC173" s="3"/>
      <c r="AD173" s="3"/>
      <c r="AE173" s="3"/>
      <c r="AF173" s="3"/>
      <c r="AG173" s="3"/>
      <c r="AH173" s="195"/>
      <c r="AI173" s="195"/>
      <c r="AJ173" s="3"/>
      <c r="AK173" s="3"/>
      <c r="AL173" s="3"/>
      <c r="AM173" s="3"/>
      <c r="AN173" s="3"/>
      <c r="AO173" s="3"/>
      <c r="AP173" s="3"/>
      <c r="AQ173" s="3"/>
      <c r="AR173" s="3"/>
      <c r="AS173" s="3"/>
      <c r="AT173" s="3"/>
      <c r="AU173" s="203"/>
      <c r="AV173" s="195"/>
      <c r="AW173" s="3"/>
      <c r="AX173" s="3"/>
      <c r="AY173" s="7"/>
      <c r="AZ173" s="3"/>
      <c r="BA173" s="3"/>
    </row>
    <row r="174" spans="1:53 4498:4498">
      <c r="V174" s="3"/>
      <c r="W174" s="3"/>
      <c r="X174" s="3"/>
      <c r="Y174" s="3"/>
      <c r="Z174" s="3"/>
      <c r="AA174" s="3"/>
      <c r="AB174" s="3"/>
      <c r="AC174" s="3"/>
      <c r="AD174" s="3"/>
      <c r="AE174" s="3"/>
      <c r="AF174" s="3"/>
      <c r="AG174" s="3"/>
      <c r="AH174" s="195"/>
      <c r="AI174" s="195"/>
      <c r="AJ174" s="3"/>
      <c r="AK174" s="3"/>
      <c r="AL174" s="3"/>
      <c r="AM174" s="3"/>
      <c r="AN174" s="3"/>
      <c r="AO174" s="3"/>
      <c r="AP174" s="3"/>
      <c r="AQ174" s="3"/>
      <c r="AR174" s="3"/>
      <c r="AS174" s="3"/>
      <c r="AT174" s="3"/>
      <c r="AU174" s="203"/>
      <c r="AV174" s="195"/>
      <c r="AW174" s="3"/>
      <c r="AX174" s="3"/>
      <c r="AY174" s="7"/>
      <c r="AZ174" s="3"/>
    </row>
    <row r="175" spans="1:53 4498:4498">
      <c r="V175" s="3"/>
      <c r="W175" s="3"/>
      <c r="X175" s="3"/>
      <c r="Y175" s="3"/>
      <c r="Z175" s="3"/>
      <c r="AA175" s="3"/>
      <c r="AB175" s="3"/>
      <c r="AC175" s="3"/>
      <c r="AD175" s="3"/>
      <c r="AE175" s="3"/>
      <c r="AF175" s="3"/>
      <c r="AG175" s="3"/>
      <c r="AH175" s="195"/>
      <c r="AI175" s="195"/>
      <c r="AJ175" s="3"/>
      <c r="AK175" s="3"/>
      <c r="AL175" s="3"/>
      <c r="AM175" s="3"/>
      <c r="AN175" s="3"/>
      <c r="AO175" s="3"/>
      <c r="AP175" s="3"/>
      <c r="AQ175" s="3"/>
      <c r="AR175" s="3"/>
      <c r="AS175" s="3"/>
      <c r="AT175" s="3"/>
      <c r="AU175" s="203"/>
      <c r="AV175" s="195"/>
      <c r="AW175" s="3"/>
      <c r="AX175" s="3"/>
      <c r="AY175" s="7"/>
      <c r="AZ175" s="3"/>
      <c r="BA175" s="3"/>
    </row>
    <row r="176" spans="1:53 4498:4498">
      <c r="V176" s="3"/>
      <c r="W176" s="3"/>
      <c r="X176" s="3"/>
      <c r="Y176" s="3"/>
      <c r="Z176" s="3"/>
      <c r="AA176" s="3"/>
      <c r="AB176" s="3"/>
      <c r="AC176" s="3"/>
      <c r="AD176" s="3"/>
      <c r="AE176" s="3"/>
      <c r="AF176" s="3"/>
      <c r="AG176" s="3"/>
      <c r="AH176" s="195"/>
      <c r="AI176" s="195"/>
      <c r="AJ176" s="3"/>
      <c r="AK176" s="3"/>
      <c r="AL176" s="3"/>
      <c r="AM176" s="3"/>
      <c r="AN176" s="3"/>
      <c r="AO176" s="3"/>
      <c r="AP176" s="3"/>
      <c r="AQ176" s="3"/>
      <c r="AR176" s="3"/>
      <c r="AS176" s="3"/>
      <c r="AT176" s="3"/>
      <c r="AU176" s="203"/>
      <c r="AV176" s="195"/>
      <c r="AW176" s="3"/>
      <c r="AX176" s="3"/>
      <c r="AY176" s="7"/>
      <c r="AZ176" s="3"/>
    </row>
    <row r="177" spans="4:53">
      <c r="V177" s="3"/>
      <c r="W177" s="3"/>
      <c r="X177" s="3"/>
      <c r="Y177" s="3"/>
      <c r="Z177" s="3"/>
      <c r="AA177" s="3"/>
      <c r="AB177" s="3"/>
      <c r="AC177" s="3"/>
      <c r="AD177" s="3"/>
      <c r="AE177" s="3"/>
      <c r="AF177" s="3"/>
      <c r="AG177" s="3"/>
      <c r="AH177" s="195"/>
      <c r="AI177" s="195"/>
      <c r="AJ177" s="3"/>
      <c r="AK177" s="3"/>
      <c r="AL177" s="3"/>
      <c r="AM177" s="3"/>
      <c r="AN177" s="3"/>
      <c r="AO177" s="3"/>
      <c r="AP177" s="3"/>
      <c r="AQ177" s="3"/>
      <c r="AR177" s="3"/>
      <c r="AS177" s="3"/>
      <c r="AT177" s="3"/>
      <c r="AU177" s="203"/>
      <c r="AV177" s="195"/>
      <c r="AW177" s="3"/>
      <c r="AX177" s="3"/>
      <c r="AY177" s="7"/>
      <c r="AZ177" s="3"/>
      <c r="BA177" s="3"/>
    </row>
    <row r="178" spans="4:53">
      <c r="V178" s="3"/>
      <c r="W178" s="3"/>
      <c r="X178" s="3"/>
      <c r="Y178" s="3"/>
      <c r="Z178" s="3"/>
      <c r="AA178" s="3"/>
      <c r="AB178" s="3"/>
      <c r="AC178" s="3"/>
      <c r="AD178" s="3"/>
      <c r="AE178" s="3"/>
      <c r="AF178" s="3"/>
      <c r="AG178" s="3"/>
      <c r="AH178" s="195"/>
      <c r="AI178" s="195"/>
      <c r="AJ178" s="3"/>
      <c r="AK178" s="3"/>
      <c r="AL178" s="3"/>
      <c r="AM178" s="3"/>
      <c r="AN178" s="3"/>
      <c r="AO178" s="3"/>
      <c r="AP178" s="3"/>
      <c r="AQ178" s="3"/>
      <c r="AR178" s="3"/>
      <c r="AS178" s="3"/>
      <c r="AT178" s="3"/>
      <c r="AU178" s="203"/>
      <c r="AV178" s="195"/>
      <c r="AW178" s="3"/>
      <c r="AX178" s="3"/>
      <c r="AY178" s="7"/>
      <c r="AZ178" s="3"/>
    </row>
    <row r="179" spans="4:53">
      <c r="V179" s="3"/>
      <c r="W179" s="3"/>
      <c r="X179" s="3"/>
      <c r="Y179" s="3"/>
      <c r="Z179" s="3"/>
      <c r="AA179" s="3"/>
      <c r="AB179" s="3"/>
      <c r="AC179" s="3"/>
      <c r="AD179" s="3"/>
      <c r="AE179" s="3"/>
      <c r="AF179" s="3"/>
      <c r="AG179" s="3"/>
      <c r="AH179" s="195"/>
      <c r="AI179" s="195"/>
      <c r="AJ179" s="3"/>
      <c r="AK179" s="3"/>
      <c r="AL179" s="3"/>
      <c r="AM179" s="3"/>
      <c r="AN179" s="3"/>
      <c r="AO179" s="3"/>
      <c r="AP179" s="3"/>
      <c r="AQ179" s="3"/>
      <c r="AR179" s="3"/>
      <c r="AS179" s="3"/>
      <c r="AT179" s="3"/>
      <c r="AU179" s="203"/>
      <c r="AV179" s="195"/>
      <c r="AW179" s="3"/>
      <c r="AX179" s="3"/>
      <c r="AY179" s="7"/>
      <c r="AZ179" s="3"/>
      <c r="BA179" s="3"/>
    </row>
    <row r="180" spans="4:53">
      <c r="V180" s="3"/>
      <c r="W180" s="3"/>
      <c r="X180" s="3"/>
      <c r="Y180" s="3"/>
      <c r="Z180" s="3"/>
      <c r="AA180" s="3"/>
      <c r="AB180" s="3"/>
      <c r="AC180" s="3"/>
      <c r="AD180" s="3"/>
      <c r="AE180" s="3"/>
      <c r="AF180" s="3"/>
      <c r="AG180" s="3"/>
      <c r="AH180" s="195"/>
      <c r="AI180" s="195"/>
      <c r="AJ180" s="3"/>
      <c r="AK180" s="3"/>
      <c r="AL180" s="3"/>
      <c r="AM180" s="3"/>
      <c r="AN180" s="3"/>
      <c r="AO180" s="3"/>
      <c r="AP180" s="3"/>
      <c r="AQ180" s="3"/>
      <c r="AR180" s="3"/>
      <c r="AS180" s="3"/>
      <c r="AT180" s="3"/>
      <c r="AU180" s="203"/>
      <c r="AV180" s="195"/>
      <c r="AW180" s="3"/>
      <c r="AX180" s="3"/>
      <c r="AY180" s="7"/>
      <c r="AZ180" s="3"/>
    </row>
    <row r="181" spans="4:53">
      <c r="V181" s="3"/>
      <c r="W181" s="3"/>
      <c r="X181" s="3"/>
      <c r="Y181" s="3"/>
      <c r="Z181" s="3"/>
      <c r="AA181" s="3"/>
      <c r="AB181" s="3"/>
      <c r="AC181" s="3"/>
      <c r="AD181" s="3"/>
      <c r="AE181" s="3"/>
      <c r="AF181" s="3"/>
      <c r="AG181" s="3"/>
      <c r="AH181" s="195"/>
      <c r="AI181" s="195"/>
      <c r="AJ181" s="3"/>
      <c r="AK181" s="3"/>
      <c r="AL181" s="3"/>
      <c r="AM181" s="3"/>
      <c r="AN181" s="3"/>
      <c r="AO181" s="3"/>
      <c r="AP181" s="3"/>
      <c r="AQ181" s="3"/>
      <c r="AR181" s="3"/>
      <c r="AS181" s="3"/>
      <c r="AT181" s="3"/>
      <c r="AU181" s="203"/>
      <c r="AV181" s="195"/>
      <c r="AW181" s="3"/>
      <c r="AX181" s="3"/>
      <c r="AY181" s="7"/>
      <c r="AZ181" s="3"/>
      <c r="BA181" s="3"/>
    </row>
    <row r="182" spans="4:53">
      <c r="V182" s="3"/>
      <c r="W182" s="3"/>
      <c r="X182" s="3"/>
      <c r="Y182" s="3"/>
      <c r="Z182" s="3"/>
      <c r="AA182" s="3"/>
      <c r="AB182" s="3"/>
      <c r="AC182" s="3"/>
      <c r="AD182" s="3"/>
      <c r="AE182" s="3"/>
      <c r="AF182" s="3"/>
      <c r="AG182" s="3"/>
      <c r="AH182" s="195"/>
      <c r="AI182" s="195"/>
      <c r="AJ182" s="3"/>
      <c r="AK182" s="3"/>
      <c r="AL182" s="3"/>
      <c r="AM182" s="3"/>
      <c r="AN182" s="3"/>
      <c r="AO182" s="3"/>
      <c r="AP182" s="3"/>
      <c r="AQ182" s="3"/>
      <c r="AR182" s="3"/>
      <c r="AS182" s="3"/>
      <c r="AT182" s="3"/>
      <c r="AU182" s="203"/>
      <c r="AV182" s="195"/>
      <c r="AW182" s="3"/>
      <c r="AX182" s="3"/>
      <c r="AY182" s="7"/>
      <c r="AZ182" s="3"/>
    </row>
    <row r="183" spans="4:53">
      <c r="V183" s="3"/>
      <c r="W183" s="3"/>
      <c r="X183" s="3"/>
      <c r="Y183" s="3"/>
      <c r="Z183" s="3"/>
      <c r="AA183" s="3"/>
      <c r="AB183" s="3"/>
      <c r="AC183" s="3"/>
      <c r="AD183" s="3"/>
      <c r="AE183" s="3"/>
      <c r="AF183" s="3"/>
      <c r="AG183" s="3"/>
      <c r="AH183" s="195"/>
      <c r="AI183" s="195"/>
      <c r="AJ183" s="3"/>
      <c r="AK183" s="3"/>
      <c r="AL183" s="3"/>
      <c r="AM183" s="3"/>
      <c r="AN183" s="3"/>
      <c r="AO183" s="3"/>
      <c r="AP183" s="3"/>
      <c r="AQ183" s="3"/>
      <c r="AR183" s="3"/>
      <c r="AS183" s="3"/>
      <c r="AT183" s="3"/>
      <c r="AU183" s="203"/>
      <c r="AV183" s="195"/>
      <c r="AW183" s="3"/>
      <c r="AX183" s="3"/>
      <c r="AY183" s="7"/>
      <c r="AZ183" s="3"/>
      <c r="BA183" s="3"/>
    </row>
    <row r="184" spans="4:5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195"/>
      <c r="AI184" s="195"/>
      <c r="AJ184" s="3"/>
      <c r="AK184" s="3"/>
      <c r="AL184" s="3"/>
      <c r="AM184" s="3"/>
      <c r="AN184" s="3"/>
      <c r="AO184" s="3"/>
      <c r="AP184" s="3"/>
      <c r="AQ184" s="3"/>
      <c r="AR184" s="3"/>
      <c r="AS184" s="3"/>
      <c r="AT184" s="3"/>
      <c r="AY184" s="17"/>
      <c r="BA184" s="3"/>
    </row>
    <row r="185" spans="4:5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195"/>
      <c r="AI185" s="195"/>
      <c r="AJ185" s="3"/>
      <c r="AK185" s="3"/>
      <c r="AL185" s="3"/>
      <c r="AM185" s="3"/>
      <c r="AN185" s="3"/>
      <c r="AO185" s="3"/>
      <c r="AP185" s="3"/>
      <c r="AQ185" s="3"/>
      <c r="AR185" s="3"/>
      <c r="AS185" s="3"/>
      <c r="AT185" s="3"/>
      <c r="BA185" s="3"/>
    </row>
    <row r="186" spans="4:5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195"/>
      <c r="AI186" s="195"/>
      <c r="AJ186" s="3"/>
      <c r="AK186" s="3"/>
      <c r="AL186" s="3"/>
      <c r="AM186" s="3"/>
      <c r="AN186" s="3"/>
      <c r="AO186" s="3"/>
      <c r="AP186" s="3"/>
      <c r="AQ186" s="3"/>
      <c r="AR186" s="3"/>
      <c r="AS186" s="3"/>
      <c r="AT186" s="3"/>
      <c r="BA186" s="3"/>
    </row>
    <row r="187" spans="4:5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195"/>
      <c r="AI187" s="195"/>
      <c r="AJ187" s="3"/>
      <c r="AK187" s="3"/>
      <c r="AL187" s="3"/>
      <c r="AM187" s="3"/>
      <c r="AN187" s="3"/>
      <c r="AO187" s="3"/>
      <c r="AP187" s="3"/>
      <c r="AQ187" s="3"/>
      <c r="AR187" s="3"/>
      <c r="AS187" s="3"/>
      <c r="AT187" s="3"/>
      <c r="BA187" s="3"/>
    </row>
    <row r="188" spans="4:5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195"/>
      <c r="AI188" s="195"/>
      <c r="AJ188" s="3"/>
      <c r="AK188" s="3"/>
      <c r="AL188" s="3"/>
      <c r="AM188" s="3"/>
      <c r="AN188" s="3"/>
      <c r="AO188" s="3"/>
      <c r="AP188" s="3"/>
      <c r="AQ188" s="3"/>
      <c r="AR188" s="3"/>
      <c r="AS188" s="3"/>
      <c r="AT188" s="3"/>
      <c r="BA188" s="3"/>
    </row>
    <row r="189" spans="4:5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195"/>
      <c r="AI189" s="195"/>
      <c r="AJ189" s="3"/>
      <c r="AK189" s="3"/>
      <c r="AL189" s="3"/>
      <c r="AM189" s="3"/>
      <c r="AN189" s="3"/>
      <c r="AO189" s="3"/>
      <c r="AP189" s="3"/>
      <c r="AQ189" s="3"/>
      <c r="AR189" s="3"/>
      <c r="AS189" s="3"/>
      <c r="AT189" s="3"/>
      <c r="BA189" s="3"/>
    </row>
    <row r="190" spans="4:5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195"/>
      <c r="AI190" s="195"/>
      <c r="AJ190" s="3"/>
      <c r="AK190" s="3"/>
      <c r="AL190" s="3"/>
      <c r="AM190" s="3"/>
      <c r="AN190" s="3"/>
      <c r="AO190" s="3"/>
      <c r="AP190" s="3"/>
      <c r="AQ190" s="3"/>
      <c r="AR190" s="3"/>
      <c r="AS190" s="3"/>
      <c r="AT190" s="3"/>
      <c r="BA190" s="3"/>
    </row>
    <row r="191" spans="4:5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195"/>
      <c r="AI191" s="195"/>
      <c r="AJ191" s="3"/>
      <c r="AK191" s="3"/>
      <c r="AL191" s="3"/>
      <c r="AM191" s="3"/>
      <c r="AN191" s="3"/>
      <c r="AO191" s="3"/>
      <c r="AP191" s="3"/>
      <c r="AQ191" s="3"/>
      <c r="AR191" s="3"/>
      <c r="AS191" s="3"/>
      <c r="AT191" s="3"/>
      <c r="BA191" s="3"/>
    </row>
    <row r="192" spans="4:5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195"/>
      <c r="AI192" s="195"/>
      <c r="AJ192" s="3"/>
      <c r="AK192" s="3"/>
      <c r="AL192" s="3"/>
      <c r="AM192" s="3"/>
      <c r="AN192" s="3"/>
      <c r="AO192" s="3"/>
      <c r="AP192" s="3"/>
      <c r="AQ192" s="3"/>
      <c r="AR192" s="3"/>
      <c r="AS192" s="3"/>
      <c r="AT192" s="3"/>
      <c r="BA192" s="3"/>
    </row>
    <row r="206" spans="2892:2892 14650:14650">
      <c r="UQL206" s="10" t="s">
        <v>74</v>
      </c>
    </row>
    <row r="208" spans="2892:2892 14650:14650">
      <c r="DGF208" s="10" t="s">
        <v>15</v>
      </c>
    </row>
  </sheetData>
  <sheetProtection algorithmName="SHA-512" hashValue="sLo9JQnGgRpygiuTqyw6xbEdtEELaIYLnylYpSAuLorPbd44GJ5Pn5R16fG0lbXrBr7L9gDiWpmJGwGQqIzMVQ==" saltValue="VSx/hOxzRPis8lS+Juum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2" priority="161"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1" priority="26" stopIfTrue="1">
      <formula>AC4=""</formula>
    </cfRule>
  </conditionalFormatting>
  <conditionalFormatting sqref="AJ8:AT8 AJ16:AT16 AJ24:AT24 AJ32:AT32 AJ40:AT40 AJ48:AT48 AJ56:AT56 AJ64:AT64 AJ72:AT72 AJ80:AT80 AJ88:AT88 AJ96:AT96 AJ110:AT113">
    <cfRule type="expression" dxfId="20" priority="705">
      <formula>AND(OR(SUM($AN$102:$AN$113)=36,$AJ$99=144),COUNTIF($AL$110:$AL$113,$AL8))</formula>
    </cfRule>
  </conditionalFormatting>
  <conditionalFormatting sqref="AJ9:AT9 AJ17:AT17 AJ25:AT25 AJ33:AT33 AJ41:AT41 AJ49:AT49 AJ57:AT57 AJ65:AT65 AJ73:AT73 AJ81:AT81 AJ89:AT89 AJ97:AT97">
    <cfRule type="expression" dxfId="19" priority="293" stopIfTrue="1">
      <formula>OR(SUM($AN6:$AN9)=12,$AJ$99=144)</formula>
    </cfRule>
  </conditionalFormatting>
  <conditionalFormatting sqref="AJ151:AU157">
    <cfRule type="expression" dxfId="18" priority="220">
      <formula>IF($AJ$151=$AL$149,1,0)</formula>
    </cfRule>
  </conditionalFormatting>
  <conditionalFormatting sqref="AV6:AV9 AV14:AV17 AV22:AV25 AV30:AV33 AV38:AV41 AV46:AV49 AV54:AV57 AV62:AV65 AV70:AV73 AV78:AV81 AV86:AV89 AV94:AV97">
    <cfRule type="expression" dxfId="17" priority="911" stopIfTrue="1">
      <formula>INDEX($DJ$6:$DJ$53,MATCH($AL6,$DO$6:$DO$53,0))&gt;1</formula>
    </cfRule>
  </conditionalFormatting>
  <conditionalFormatting sqref="AV102:AV113">
    <cfRule type="expression" dxfId="16" priority="923" stopIfTrue="1">
      <formula>AND(INDEX($DJ$58:$DJ$69,MATCH($AL102,$DO$58:$DO$69,0))&gt;1,$H$113=144)</formula>
    </cfRule>
  </conditionalFormatting>
  <conditionalFormatting sqref="AW6:AW9 AW14:AW17 AW22:AW25 AW30:AW33 AW38:AW41 AW46:AW49 AW54:AW57 AW62:AW65 AW70:AW73 AW78:AW81 AW86:AW89 AW94:AW97">
    <cfRule type="expression" dxfId="15" priority="924" stopIfTrue="1">
      <formula>INDEX($DJ$6:$DJ$53,MATCH($AL6,$DO$6:$DO$53,0))&gt;1</formula>
    </cfRule>
  </conditionalFormatting>
  <conditionalFormatting sqref="AW102:AW113">
    <cfRule type="expression" dxfId="14" priority="936">
      <formula>AND(INDEX($DJ$58:$DJ$69,MATCH($AL102,$DO$58:$DO$69,0))&gt;1,$H$113=144)</formula>
    </cfRule>
  </conditionalFormatting>
  <conditionalFormatting sqref="AY5:AZ97">
    <cfRule type="expression" dxfId="13" priority="937">
      <formula>IF($AZ$3="No",1,0)</formula>
    </cfRule>
  </conditionalFormatting>
  <conditionalFormatting sqref="AY101:AZ101">
    <cfRule type="expression" dxfId="12" priority="2">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3"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27"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OFFSET(Horarios!$P$3,DH50-1,0,DJ50,1)</xm:f>
          </x14:formula1>
          <xm:sqref>AW102:AW113 AW94:AW97</xm:sqref>
        </x14:dataValidation>
        <x14:dataValidation type="list" allowBlank="1" showInputMessage="1" showErrorMessage="1" error="Introduce un puesto que corresponda_x000a_" xr:uid="{271BC99E-0ECA-794F-8547-CDB0CA063DB4}">
          <x14:formula1>
            <xm:f>OFFSET(Horarios!$P$3,DH6-1,0,DJ6,1)</xm:f>
          </x14:formula1>
          <xm:sqref>AW6:AW9</xm:sqref>
        </x14:dataValidation>
        <x14:dataValidation type="list" allowBlank="1" showInputMessage="1" showErrorMessage="1" error="Introduce un puesto que corresponda_x000a_" xr:uid="{AA5DA48F-0D92-E342-B3EE-C71FCEE28945}">
          <x14:formula1>
            <xm:f>OFFSET(Horarios!$P$3,DH10-1,0,DJ10,1)</xm:f>
          </x14:formula1>
          <xm:sqref>AW14:AW17</xm:sqref>
        </x14:dataValidation>
        <x14:dataValidation type="list" allowBlank="1" showInputMessage="1" showErrorMessage="1" error="Introduce un puesto que corresponda_x000a_" xr:uid="{95B7EE6E-68E1-B44F-BF63-39356F5CC1BA}">
          <x14:formula1>
            <xm:f>OFFSET(Horarios!$P$3,DH14-1,0,DJ14,1)</xm:f>
          </x14:formula1>
          <xm:sqref>AW22:AW25</xm:sqref>
        </x14:dataValidation>
        <x14:dataValidation type="list" allowBlank="1" showInputMessage="1" showErrorMessage="1" xr:uid="{199E120F-74F1-F443-B9AF-F405107BF03C}">
          <x14:formula1>
            <xm:f>OFFSET(Horarios!$P$3,DH18-1,0,DJ18,1)</xm:f>
          </x14:formula1>
          <xm:sqref>AW30:AW33</xm:sqref>
        </x14:dataValidation>
        <x14:dataValidation type="list" allowBlank="1" showInputMessage="1" showErrorMessage="1" xr:uid="{C7DE6235-2196-B348-87D0-BAADE85203F0}">
          <x14:formula1>
            <xm:f>OFFSET(Horarios!$P$3,DH22-1,0,DJ22,1)</xm:f>
          </x14:formula1>
          <xm:sqref>AW38:AW41</xm:sqref>
        </x14:dataValidation>
        <x14:dataValidation type="list" allowBlank="1" showInputMessage="1" showErrorMessage="1" xr:uid="{1C6D2E5E-7F14-2C48-83CE-E7C507319566}">
          <x14:formula1>
            <xm:f>OFFSET(Horarios!$P$3,DH26-1,0,DJ26,1)</xm:f>
          </x14:formula1>
          <xm:sqref>AW46:AW49</xm:sqref>
        </x14:dataValidation>
        <x14:dataValidation type="list" allowBlank="1" showInputMessage="1" showErrorMessage="1" xr:uid="{2DB754D6-A1CB-0841-82AB-C6783A05837E}">
          <x14:formula1>
            <xm:f>OFFSET(Horarios!$P$3,DH30-1,0,DJ30,1)</xm:f>
          </x14:formula1>
          <xm:sqref>AW54:AW57</xm:sqref>
        </x14:dataValidation>
        <x14:dataValidation type="list" allowBlank="1" showInputMessage="1" showErrorMessage="1" xr:uid="{58077E07-99D3-B14E-87EB-5D1715618098}">
          <x14:formula1>
            <xm:f>OFFSET(Horarios!$P$3,DH34-1,0,DJ34,1)</xm:f>
          </x14:formula1>
          <xm:sqref>AW62:AW65</xm:sqref>
        </x14:dataValidation>
        <x14:dataValidation type="list" allowBlank="1" showInputMessage="1" showErrorMessage="1" xr:uid="{2F4EAC24-E330-1340-911E-20B5AD8ADCC9}">
          <x14:formula1>
            <xm:f>OFFSET(Horarios!$P$3,DH38-1,0,DJ38,1)</xm:f>
          </x14:formula1>
          <xm:sqref>AW70:AW73</xm:sqref>
        </x14:dataValidation>
        <x14:dataValidation type="list" allowBlank="1" showInputMessage="1" showErrorMessage="1" xr:uid="{56C2A2DF-C240-C343-9D8B-818981234B8F}">
          <x14:formula1>
            <xm:f>OFFSET(Horarios!$P$3,DH42-1,0,DJ42,1)</xm:f>
          </x14:formula1>
          <xm:sqref>AW78:AW81</xm:sqref>
        </x14:dataValidation>
        <x14:dataValidation type="list" allowBlank="1" showInputMessage="1" showErrorMessage="1" xr:uid="{F2BC73FD-BB69-F14B-9A96-A479B39FA615}">
          <x14:formula1>
            <xm:f>OFFSET(Horarios!$P$3,DH46-1,0,DJ46,1)</xm:f>
          </x14:formula1>
          <xm:sqref>AW86:AW89</xm:sqref>
        </x14:dataValidation>
        <x14:dataValidation type="list" allowBlank="1" showInputMessage="1" showErrorMessage="1" xr:uid="{26C4DFAB-746D-9E40-A43F-E597FB4CB602}">
          <x14:formula1>
            <xm:f>Idiomas!$D$70:$D$71</xm:f>
          </x14:formula1>
          <xm:sqref>AZ3</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
    </sheetView>
  </sheetViews>
  <sheetFormatPr baseColWidth="10" defaultColWidth="0" defaultRowHeight="14.4"/>
  <cols>
    <col min="1" max="1" width="10.77734375" style="16" customWidth="1"/>
    <col min="2" max="2" width="29.44140625" customWidth="1"/>
    <col min="3" max="3" width="35" customWidth="1"/>
    <col min="4" max="4" width="12.6640625" style="382" customWidth="1"/>
    <col min="5" max="8" width="10.77734375" style="382" customWidth="1"/>
    <col min="9" max="9" width="3.109375" style="382" customWidth="1"/>
    <col min="10" max="12" width="10.77734375" style="382" customWidth="1"/>
    <col min="13" max="13" width="3.6640625" style="382" customWidth="1"/>
    <col min="14" max="14" width="4.6640625" style="382" customWidth="1"/>
    <col min="15" max="15" width="4" customWidth="1"/>
    <col min="16" max="16" width="4.77734375" customWidth="1"/>
    <col min="17" max="16384" width="10.77734375" style="1" hidden="1"/>
  </cols>
  <sheetData>
    <row r="1" spans="1:14" ht="19.95" customHeight="1">
      <c r="A1" s="301"/>
      <c r="B1" s="302"/>
      <c r="C1" s="332" t="str">
        <f>Idiomas!D99</f>
        <v>Para el administrador de la porra</v>
      </c>
      <c r="D1" s="380"/>
      <c r="E1" s="722" t="str">
        <f>Idiomas!D103</f>
        <v>EL ADMINISTRADOR DE LA PORRA SEGUIRÁ LAS INSTRUCCIONES DE AQUÍ ABAJO</v>
      </c>
      <c r="F1" s="722"/>
      <c r="G1" s="722"/>
      <c r="H1" s="722"/>
      <c r="I1" s="722"/>
      <c r="J1" s="722"/>
      <c r="K1" s="722"/>
      <c r="L1" s="722"/>
      <c r="M1" s="722"/>
      <c r="N1" s="722"/>
    </row>
    <row r="2" spans="1:14" ht="19.95" customHeight="1" thickBot="1">
      <c r="A2" s="299"/>
      <c r="B2" s="300"/>
      <c r="C2" s="300"/>
      <c r="D2" s="381"/>
      <c r="E2" s="722"/>
      <c r="F2" s="722"/>
      <c r="G2" s="722"/>
      <c r="H2" s="722"/>
      <c r="I2" s="722"/>
      <c r="J2" s="722"/>
      <c r="K2" s="722"/>
      <c r="L2" s="722"/>
      <c r="M2" s="722"/>
      <c r="N2" s="722"/>
    </row>
    <row r="3" spans="1:14" ht="34.950000000000003" customHeight="1" thickBot="1">
      <c r="A3" s="299"/>
      <c r="B3" s="303" t="str">
        <f>HYPERLINK(Idiomas!D10,Idiomas!D9)</f>
        <v>▼ Descargar Excel Administrador Porra ▼</v>
      </c>
      <c r="C3" s="300"/>
      <c r="D3" s="381"/>
      <c r="E3" s="725" t="str">
        <f>Idiomas!D104</f>
        <v>·Si haceis todo el Mundial de golpe, incluido el predictor, copiar de la C5 a la C258 y pegar valores en la plantilla de Administrador.</v>
      </c>
      <c r="F3" s="725"/>
      <c r="G3" s="725"/>
      <c r="H3" s="725"/>
      <c r="I3" s="725"/>
      <c r="J3" s="725"/>
      <c r="K3" s="725"/>
      <c r="L3" s="725"/>
      <c r="M3" s="725"/>
      <c r="N3" s="726"/>
    </row>
    <row r="4" spans="1:14" ht="45" customHeight="1">
      <c r="A4" s="299"/>
      <c r="B4" s="300"/>
      <c r="C4" s="649" t="str">
        <f>Idiomas!D102</f>
        <v>¡No tocar nada, se rellena solo!</v>
      </c>
      <c r="D4" s="381"/>
      <c r="E4" s="724" t="str">
        <f>Idiomas!D105</f>
        <v>·Si haceis toda la fase de grupos de golpe y las eliminatorias aparte, copiar primero de la C5 a la C161 y pegar valores en la plantilla de Administrador. Y también copiar y pegar valores de la C253 a la C258. En dieciseisavos seguir las instrucciones de abajo.</v>
      </c>
      <c r="F4" s="724"/>
      <c r="G4" s="724"/>
      <c r="H4" s="724"/>
      <c r="I4" s="724"/>
      <c r="J4" s="724"/>
      <c r="K4" s="724"/>
      <c r="L4" s="724"/>
      <c r="M4" s="724"/>
      <c r="N4" s="390"/>
    </row>
    <row r="5" spans="1:14" ht="19.05" customHeight="1">
      <c r="A5" s="366"/>
      <c r="B5" s="367" t="str">
        <f>Idiomas!D122</f>
        <v>FASE DE GRUPOS</v>
      </c>
      <c r="C5" s="359" t="str">
        <f>Home!C10</f>
        <v>Nombre</v>
      </c>
      <c r="E5" s="727" t="str">
        <f>Idiomas!D106</f>
        <v>·Si haceis jornada a jornada seguir las instrucciones de cada jornada</v>
      </c>
      <c r="F5" s="727"/>
      <c r="G5" s="727"/>
      <c r="H5" s="727"/>
      <c r="I5" s="727"/>
      <c r="J5" s="391"/>
      <c r="K5" s="391"/>
      <c r="L5" s="391"/>
      <c r="M5" s="392"/>
      <c r="N5" s="390"/>
    </row>
    <row r="6" spans="1:14" ht="15" customHeight="1">
      <c r="A6" s="368" t="s">
        <v>121</v>
      </c>
      <c r="B6" s="369" t="str">
        <f ca="1">CONCATENATE(WORLDCUP!AA4,"-",WORLDCUP!AF4)</f>
        <v>México-Sudáfrica</v>
      </c>
      <c r="C6" s="360" t="str">
        <f>CONCATENATE(IF(WORLDCUP!AC4&gt;WORLDCUP!AD4,1,IF(WORLDCUP!AC4&lt;WORLDCUP!AD4,2,IF(AND(WORLDCUP!AC4=WORLDCUP!AD4,WORLDCUP!AC4&lt;&gt;"",WORLDCUP!AD4&lt;&gt;""),"X",0))),"|",WORLDCUP!AC4,"-",WORLDCUP!AD4)</f>
        <v>1|2-1</v>
      </c>
      <c r="D6" s="718" t="str">
        <f>Idiomas!D119</f>
        <v>J1</v>
      </c>
      <c r="E6" s="723" t="str">
        <f>Idiomas!D107</f>
        <v>·Para la primera jornada copiar de la C5 a la C29 y pega valores en la plantilla de administrador. ¡OJO! COPIAR TAMBIÉN de la C253 a la C258.</v>
      </c>
      <c r="F6" s="723"/>
      <c r="G6" s="723"/>
      <c r="H6" s="723"/>
      <c r="I6" s="393"/>
      <c r="J6" s="383"/>
      <c r="K6" s="383"/>
      <c r="L6" s="383"/>
      <c r="M6" s="392"/>
      <c r="N6" s="390"/>
    </row>
    <row r="7" spans="1:14" ht="15" customHeight="1">
      <c r="A7" s="368" t="s">
        <v>121</v>
      </c>
      <c r="B7" s="369" t="str">
        <f ca="1">CONCATENATE(WORLDCUP!AA5,"-",WORLDCUP!AF5)</f>
        <v>Corea del Sur-PO D: DEN/MKD/CZE/IRL</v>
      </c>
      <c r="C7" s="361" t="str">
        <f>CONCATENATE(IF(WORLDCUP!AC5&gt;WORLDCUP!AD5,1,IF(WORLDCUP!AC5&lt;WORLDCUP!AD5,2,IF(AND(WORLDCUP!AC5=WORLDCUP!AD5,WORLDCUP!AC5&lt;&gt;"",WORLDCUP!AD5&lt;&gt;""),"X",0))),"|",WORLDCUP!AC5,"-",WORLDCUP!AD5)</f>
        <v>X|1-1</v>
      </c>
      <c r="D7" s="718"/>
      <c r="E7" s="707"/>
      <c r="F7" s="707"/>
      <c r="G7" s="707"/>
      <c r="H7" s="707"/>
      <c r="I7" s="394"/>
      <c r="J7" s="383"/>
      <c r="K7" s="383"/>
      <c r="L7" s="383"/>
      <c r="M7" s="392"/>
      <c r="N7" s="390"/>
    </row>
    <row r="8" spans="1:14" ht="15" customHeight="1">
      <c r="A8" s="41" t="s">
        <v>122</v>
      </c>
      <c r="B8" s="370" t="str">
        <f ca="1">CONCATENATE(WORLDCUP!AA12,"-",WORLDCUP!AF12)</f>
        <v>Canadá-PO A: ITA/NIR/WAL/BIH</v>
      </c>
      <c r="C8" s="361" t="str">
        <f>CONCATENATE(IF(WORLDCUP!AC12&gt;WORLDCUP!AD12,1,IF(WORLDCUP!AC12&lt;WORLDCUP!AD12,2,IF(AND(WORLDCUP!AC12=WORLDCUP!AD12,WORLDCUP!AC12&lt;&gt;"",WORLDCUP!AD12&lt;&gt;""),"X",0))),"|",WORLDCUP!AC12,"-",WORLDCUP!AD12)</f>
        <v>X|1-1</v>
      </c>
      <c r="D8" s="718"/>
      <c r="E8" s="707"/>
      <c r="F8" s="707"/>
      <c r="G8" s="707"/>
      <c r="H8" s="707"/>
      <c r="I8" s="394"/>
      <c r="J8" s="383"/>
      <c r="K8" s="383"/>
      <c r="L8" s="383"/>
      <c r="M8" s="392"/>
      <c r="N8" s="390"/>
    </row>
    <row r="9" spans="1:14" ht="15" customHeight="1">
      <c r="A9" s="41" t="s">
        <v>122</v>
      </c>
      <c r="B9" s="370" t="str">
        <f ca="1">CONCATENATE(WORLDCUP!AA13,"-",WORLDCUP!AF13)</f>
        <v>Catar-Suiza</v>
      </c>
      <c r="C9" s="362" t="str">
        <f>CONCATENATE(IF(WORLDCUP!AC13&gt;WORLDCUP!AD13,1,IF(WORLDCUP!AC13&lt;WORLDCUP!AD13,2,IF(AND(WORLDCUP!AC13=WORLDCUP!AD13,WORLDCUP!AC13&lt;&gt;"",WORLDCUP!AD13&lt;&gt;""),"X",0))),"|",WORLDCUP!AC13,"-",WORLDCUP!AD13)</f>
        <v>2|0-2</v>
      </c>
      <c r="D9" s="718"/>
      <c r="E9" s="707"/>
      <c r="F9" s="707"/>
      <c r="G9" s="707"/>
      <c r="H9" s="707"/>
      <c r="I9" s="394"/>
      <c r="J9" s="383"/>
      <c r="K9" s="383"/>
      <c r="L9" s="383"/>
      <c r="M9" s="392"/>
      <c r="N9" s="390"/>
    </row>
    <row r="10" spans="1:14" ht="15" customHeight="1">
      <c r="A10" s="368" t="s">
        <v>123</v>
      </c>
      <c r="B10" s="369" t="str">
        <f ca="1">CONCATENATE(WORLDCUP!AA20,"-",WORLDCUP!AF20)</f>
        <v>Brasil-Marruecos</v>
      </c>
      <c r="C10" s="362" t="str">
        <f>CONCATENATE(IF(WORLDCUP!AC20&gt;WORLDCUP!AD20,1,IF(WORLDCUP!AC20&lt;WORLDCUP!AD20,2,IF(AND(WORLDCUP!AC20=WORLDCUP!AD20,WORLDCUP!AC20&lt;&gt;"",WORLDCUP!AD20&lt;&gt;""),"X",0))),"|",WORLDCUP!AC20,"-",WORLDCUP!AD20)</f>
        <v>1|2-1</v>
      </c>
      <c r="D10" s="718"/>
      <c r="E10" s="383"/>
      <c r="F10" s="383"/>
      <c r="G10" s="383"/>
      <c r="H10" s="383"/>
      <c r="I10" s="394"/>
      <c r="J10" s="383"/>
      <c r="K10" s="383"/>
      <c r="L10" s="383"/>
      <c r="M10" s="392"/>
      <c r="N10" s="390"/>
    </row>
    <row r="11" spans="1:14" ht="15" customHeight="1">
      <c r="A11" s="368" t="s">
        <v>123</v>
      </c>
      <c r="B11" s="369" t="str">
        <f ca="1">CONCATENATE(WORLDCUP!AA21,"-",WORLDCUP!AF21)</f>
        <v>Haití-Escocia</v>
      </c>
      <c r="C11" s="362" t="str">
        <f>CONCATENATE(IF(WORLDCUP!AC21&gt;WORLDCUP!AD21,1,IF(WORLDCUP!AC21&lt;WORLDCUP!AD21,2,IF(AND(WORLDCUP!AC21=WORLDCUP!AD21,WORLDCUP!AC21&lt;&gt;"",WORLDCUP!AD21&lt;&gt;""),"X",0))),"|",WORLDCUP!AC21,"-",WORLDCUP!AD21)</f>
        <v>2|0-2</v>
      </c>
      <c r="D11" s="718"/>
      <c r="E11" s="383"/>
      <c r="F11" s="383"/>
      <c r="G11" s="383"/>
      <c r="H11" s="383"/>
      <c r="I11" s="394"/>
      <c r="J11" s="383"/>
      <c r="K11" s="383"/>
      <c r="L11" s="383"/>
      <c r="M11" s="392"/>
      <c r="N11" s="390"/>
    </row>
    <row r="12" spans="1:14" ht="15" customHeight="1">
      <c r="A12" s="41" t="s">
        <v>124</v>
      </c>
      <c r="B12" s="370" t="str">
        <f ca="1">CONCATENATE(WORLDCUP!AA28,"-",WORLDCUP!AF28)</f>
        <v>Estados Unidos-Paraguay</v>
      </c>
      <c r="C12" s="362" t="str">
        <f>CONCATENATE(IF(WORLDCUP!AC28&gt;WORLDCUP!AD28,1,IF(WORLDCUP!AC28&lt;WORLDCUP!AD28,2,IF(AND(WORLDCUP!AC28=WORLDCUP!AD28,WORLDCUP!AC28&lt;&gt;"",WORLDCUP!AD28&lt;&gt;""),"X",0))),"|",WORLDCUP!AC28,"-",WORLDCUP!AD28)</f>
        <v>1|1-0</v>
      </c>
      <c r="D12" s="718"/>
      <c r="E12" s="383"/>
      <c r="F12" s="383"/>
      <c r="G12" s="383"/>
      <c r="H12" s="383"/>
      <c r="I12" s="394"/>
      <c r="J12" s="383"/>
      <c r="K12" s="383"/>
      <c r="L12" s="383"/>
      <c r="M12" s="392"/>
      <c r="N12" s="390"/>
    </row>
    <row r="13" spans="1:14" ht="15" customHeight="1">
      <c r="A13" s="41" t="s">
        <v>124</v>
      </c>
      <c r="B13" s="370" t="str">
        <f ca="1">CONCATENATE(WORLDCUP!AA29,"-",WORLDCUP!AF29)</f>
        <v>Australia-PO C: TUR/ROU/SVK/KOS</v>
      </c>
      <c r="C13" s="362" t="str">
        <f>CONCATENATE(IF(WORLDCUP!AC29&gt;WORLDCUP!AD29,1,IF(WORLDCUP!AC29&lt;WORLDCUP!AD29,2,IF(AND(WORLDCUP!AC29=WORLDCUP!AD29,WORLDCUP!AC29&lt;&gt;"",WORLDCUP!AD29&lt;&gt;""),"X",0))),"|",WORLDCUP!AC29,"-",WORLDCUP!AD29)</f>
        <v>X|0-0</v>
      </c>
      <c r="D13" s="718"/>
      <c r="E13" s="383"/>
      <c r="F13" s="383"/>
      <c r="G13" s="383"/>
      <c r="H13" s="383"/>
      <c r="I13" s="394"/>
      <c r="J13" s="383"/>
      <c r="K13" s="383"/>
      <c r="L13" s="383"/>
      <c r="M13" s="392"/>
      <c r="N13" s="390"/>
    </row>
    <row r="14" spans="1:14" ht="15" customHeight="1">
      <c r="A14" s="368" t="s">
        <v>125</v>
      </c>
      <c r="B14" s="369" t="str">
        <f ca="1">CONCATENATE(WORLDCUP!AA36,"-",WORLDCUP!AF36)</f>
        <v>Alemania-Curazao</v>
      </c>
      <c r="C14" s="362" t="str">
        <f>CONCATENATE(IF(WORLDCUP!AC36&gt;WORLDCUP!AD36,1,IF(WORLDCUP!AC36&lt;WORLDCUP!AD36,2,IF(AND(WORLDCUP!AC36=WORLDCUP!AD36,WORLDCUP!AC36&lt;&gt;"",WORLDCUP!AD36&lt;&gt;""),"X",0))),"|",WORLDCUP!AC36,"-",WORLDCUP!AD36)</f>
        <v>1|3-0</v>
      </c>
      <c r="D14" s="718"/>
      <c r="E14" s="383"/>
      <c r="F14" s="383"/>
      <c r="G14" s="383"/>
      <c r="H14" s="383"/>
      <c r="I14" s="394"/>
      <c r="J14" s="383"/>
      <c r="K14" s="383"/>
      <c r="L14" s="383"/>
      <c r="M14" s="392"/>
      <c r="N14" s="390"/>
    </row>
    <row r="15" spans="1:14" ht="15" customHeight="1">
      <c r="A15" s="368" t="s">
        <v>125</v>
      </c>
      <c r="B15" s="369" t="str">
        <f ca="1">CONCATENATE(WORLDCUP!AA37,"-",WORLDCUP!AF37)</f>
        <v>Costa de Marfil-Ecuador</v>
      </c>
      <c r="C15" s="362" t="str">
        <f>CONCATENATE(IF(WORLDCUP!AC37&gt;WORLDCUP!AD37,1,IF(WORLDCUP!AC37&lt;WORLDCUP!AD37,2,IF(AND(WORLDCUP!AC37=WORLDCUP!AD37,WORLDCUP!AC37&lt;&gt;"",WORLDCUP!AD37&lt;&gt;""),"X",0))),"|",WORLDCUP!AC37,"-",WORLDCUP!AD37)</f>
        <v>2|0-2</v>
      </c>
      <c r="D15" s="718"/>
      <c r="E15" s="383"/>
      <c r="F15" s="383"/>
      <c r="G15" s="383"/>
      <c r="H15" s="383"/>
      <c r="I15" s="394"/>
      <c r="J15" s="383"/>
      <c r="K15" s="383"/>
      <c r="L15" s="383"/>
      <c r="M15" s="392"/>
      <c r="N15" s="390"/>
    </row>
    <row r="16" spans="1:14" ht="15" customHeight="1">
      <c r="A16" s="41" t="s">
        <v>126</v>
      </c>
      <c r="B16" s="370" t="str">
        <f ca="1">CONCATENATE(WORLDCUP!AA44,"-",WORLDCUP!AF44)</f>
        <v>Países Bajos-Japón</v>
      </c>
      <c r="C16" s="362" t="str">
        <f>CONCATENATE(IF(WORLDCUP!AC44&gt;WORLDCUP!AD44,1,IF(WORLDCUP!AC44&lt;WORLDCUP!AD44,2,IF(AND(WORLDCUP!AC44=WORLDCUP!AD44,WORLDCUP!AC44&lt;&gt;"",WORLDCUP!AD44&lt;&gt;""),"X",0))),"|",WORLDCUP!AC44,"-",WORLDCUP!AD44)</f>
        <v>1|1-0</v>
      </c>
      <c r="D16" s="718"/>
      <c r="E16" s="383"/>
      <c r="F16" s="383"/>
      <c r="G16" s="383"/>
      <c r="H16" s="383"/>
      <c r="I16" s="394"/>
      <c r="J16" s="383"/>
      <c r="K16" s="383"/>
      <c r="L16" s="383"/>
      <c r="M16" s="392"/>
      <c r="N16" s="390"/>
    </row>
    <row r="17" spans="1:14" ht="15" customHeight="1">
      <c r="A17" s="41" t="s">
        <v>126</v>
      </c>
      <c r="B17" s="370" t="str">
        <f ca="1">CONCATENATE(WORLDCUP!AA45,"-",WORLDCUP!AF45)</f>
        <v>PO B: UKR/SWE/POL/ALB-Túnez</v>
      </c>
      <c r="C17" s="362" t="str">
        <f>CONCATENATE(IF(WORLDCUP!AC45&gt;WORLDCUP!AD45,1,IF(WORLDCUP!AC45&lt;WORLDCUP!AD45,2,IF(AND(WORLDCUP!AC45=WORLDCUP!AD45,WORLDCUP!AC45&lt;&gt;"",WORLDCUP!AD45&lt;&gt;""),"X",0))),"|",WORLDCUP!AC45,"-",WORLDCUP!AD45)</f>
        <v>1|1-0</v>
      </c>
      <c r="D17" s="718"/>
      <c r="E17" s="383"/>
      <c r="F17" s="383"/>
      <c r="G17" s="383"/>
      <c r="H17" s="383"/>
      <c r="I17" s="394"/>
      <c r="J17" s="383"/>
      <c r="K17" s="383"/>
      <c r="L17" s="383"/>
      <c r="M17" s="392"/>
      <c r="N17" s="390"/>
    </row>
    <row r="18" spans="1:14" ht="15" customHeight="1">
      <c r="A18" s="368" t="s">
        <v>528</v>
      </c>
      <c r="B18" s="369" t="str">
        <f ca="1">CONCATENATE(WORLDCUP!AA52,"-",WORLDCUP!AF52)</f>
        <v>Bélgica-Egipto</v>
      </c>
      <c r="C18" s="362" t="str">
        <f>CONCATENATE(IF(WORLDCUP!AC52&gt;WORLDCUP!AD52,1,IF(WORLDCUP!AC52&lt;WORLDCUP!AD52,2,IF(AND(WORLDCUP!AC52=WORLDCUP!AD52,WORLDCUP!AC52&lt;&gt;"",WORLDCUP!AD52&lt;&gt;""),"X",0))),"|",WORLDCUP!AC52,"-",WORLDCUP!AD52)</f>
        <v>1|1-0</v>
      </c>
      <c r="D18" s="718"/>
      <c r="E18" s="383"/>
      <c r="F18" s="383"/>
      <c r="G18" s="383"/>
      <c r="H18" s="383"/>
      <c r="I18" s="394"/>
      <c r="J18" s="383"/>
      <c r="K18" s="383"/>
      <c r="L18" s="383"/>
      <c r="M18" s="392"/>
      <c r="N18" s="390"/>
    </row>
    <row r="19" spans="1:14" ht="15" customHeight="1">
      <c r="A19" s="368" t="s">
        <v>528</v>
      </c>
      <c r="B19" s="369" t="str">
        <f ca="1">CONCATENATE(WORLDCUP!AA53,"-",WORLDCUP!AF53)</f>
        <v>Irán-Nueva Zelanda</v>
      </c>
      <c r="C19" s="362" t="str">
        <f>CONCATENATE(IF(WORLDCUP!AC53&gt;WORLDCUP!AD53,1,IF(WORLDCUP!AC53&lt;WORLDCUP!AD53,2,IF(AND(WORLDCUP!AC53=WORLDCUP!AD53,WORLDCUP!AC53&lt;&gt;"",WORLDCUP!AD53&lt;&gt;""),"X",0))),"|",WORLDCUP!AC53,"-",WORLDCUP!AD53)</f>
        <v>2|0-1</v>
      </c>
      <c r="D19" s="718"/>
      <c r="E19" s="383"/>
      <c r="F19" s="383"/>
      <c r="G19" s="383"/>
      <c r="H19" s="383"/>
      <c r="I19" s="394"/>
      <c r="J19" s="383"/>
      <c r="K19" s="383"/>
      <c r="L19" s="383"/>
      <c r="M19" s="392"/>
      <c r="N19" s="390"/>
    </row>
    <row r="20" spans="1:14" ht="15" customHeight="1">
      <c r="A20" s="41" t="s">
        <v>530</v>
      </c>
      <c r="B20" s="370" t="str">
        <f ca="1">CONCATENATE(WORLDCUP!AA60,"-",WORLDCUP!AF60)</f>
        <v>España-Cabo Verde</v>
      </c>
      <c r="C20" s="362" t="str">
        <f>CONCATENATE(IF(WORLDCUP!AC60&gt;WORLDCUP!AD60,1,IF(WORLDCUP!AC60&lt;WORLDCUP!AD60,2,IF(AND(WORLDCUP!AC60=WORLDCUP!AD60,WORLDCUP!AC60&lt;&gt;"",WORLDCUP!AD60&lt;&gt;""),"X",0))),"|",WORLDCUP!AC60,"-",WORLDCUP!AD60)</f>
        <v>1|3-0</v>
      </c>
      <c r="D20" s="718"/>
      <c r="E20" s="383"/>
      <c r="F20" s="383"/>
      <c r="G20" s="383"/>
      <c r="H20" s="383"/>
      <c r="I20" s="394"/>
      <c r="J20" s="383"/>
      <c r="K20" s="383"/>
      <c r="L20" s="383"/>
      <c r="M20" s="392"/>
      <c r="N20" s="390"/>
    </row>
    <row r="21" spans="1:14" ht="15" customHeight="1">
      <c r="A21" s="41" t="s">
        <v>530</v>
      </c>
      <c r="B21" s="370" t="str">
        <f ca="1">CONCATENATE(WORLDCUP!AA61,"-",WORLDCUP!AF61)</f>
        <v>Arabia Saudita-Uruguay</v>
      </c>
      <c r="C21" s="362" t="str">
        <f>CONCATENATE(IF(WORLDCUP!AC61&gt;WORLDCUP!AD61,1,IF(WORLDCUP!AC61&lt;WORLDCUP!AD61,2,IF(AND(WORLDCUP!AC61=WORLDCUP!AD61,WORLDCUP!AC61&lt;&gt;"",WORLDCUP!AD61&lt;&gt;""),"X",0))),"|",WORLDCUP!AC61,"-",WORLDCUP!AD61)</f>
        <v>X|0-0</v>
      </c>
      <c r="D21" s="718"/>
      <c r="E21" s="383"/>
      <c r="F21" s="383"/>
      <c r="G21" s="383"/>
      <c r="H21" s="383"/>
      <c r="I21" s="394"/>
      <c r="J21" s="383"/>
      <c r="K21" s="383"/>
      <c r="L21" s="383"/>
      <c r="M21" s="392"/>
      <c r="N21" s="390"/>
    </row>
    <row r="22" spans="1:14" ht="15" customHeight="1">
      <c r="A22" s="368" t="s">
        <v>188</v>
      </c>
      <c r="B22" s="369" t="str">
        <f ca="1">CONCATENATE(WORLDCUP!AA68,"-",WORLDCUP!AF68)</f>
        <v>Francia-Senegal</v>
      </c>
      <c r="C22" s="362" t="str">
        <f>CONCATENATE(IF(WORLDCUP!AC68&gt;WORLDCUP!AD68,1,IF(WORLDCUP!AC68&lt;WORLDCUP!AD68,2,IF(AND(WORLDCUP!AC68=WORLDCUP!AD68,WORLDCUP!AC68&lt;&gt;"",WORLDCUP!AD68&lt;&gt;""),"X",0))),"|",WORLDCUP!AC68,"-",WORLDCUP!AD68)</f>
        <v>1|2-0</v>
      </c>
      <c r="D22" s="718"/>
      <c r="E22" s="383"/>
      <c r="F22" s="383"/>
      <c r="G22" s="383"/>
      <c r="H22" s="383"/>
      <c r="I22" s="394"/>
      <c r="J22" s="383"/>
      <c r="K22" s="383"/>
      <c r="L22" s="383"/>
      <c r="M22" s="392"/>
      <c r="N22" s="390"/>
    </row>
    <row r="23" spans="1:14" ht="15" customHeight="1">
      <c r="A23" s="368" t="s">
        <v>188</v>
      </c>
      <c r="B23" s="369" t="str">
        <f ca="1">CONCATENATE(WORLDCUP!AA69,"-",WORLDCUP!AF69)</f>
        <v>PO 2: IRQ/BOL/SUR-Noruega</v>
      </c>
      <c r="C23" s="362" t="str">
        <f>CONCATENATE(IF(WORLDCUP!AC69&gt;WORLDCUP!AD69,1,IF(WORLDCUP!AC69&lt;WORLDCUP!AD69,2,IF(AND(WORLDCUP!AC69=WORLDCUP!AD69,WORLDCUP!AC69&lt;&gt;"",WORLDCUP!AD69&lt;&gt;""),"X",0))),"|",WORLDCUP!AC69,"-",WORLDCUP!AD69)</f>
        <v>X|0-0</v>
      </c>
      <c r="D23" s="718"/>
      <c r="E23" s="383"/>
      <c r="F23" s="383"/>
      <c r="G23" s="383"/>
      <c r="H23" s="383"/>
      <c r="I23" s="394"/>
      <c r="J23" s="383"/>
      <c r="K23" s="383"/>
      <c r="L23" s="383"/>
      <c r="M23" s="392"/>
      <c r="N23" s="390"/>
    </row>
    <row r="24" spans="1:14" ht="15" customHeight="1">
      <c r="A24" s="41" t="s">
        <v>28</v>
      </c>
      <c r="B24" s="370" t="str">
        <f ca="1">CONCATENATE(WORLDCUP!AA76,"-",WORLDCUP!AF76)</f>
        <v>Austria-Jordania</v>
      </c>
      <c r="C24" s="362" t="str">
        <f>CONCATENATE(IF(WORLDCUP!AC76&gt;WORLDCUP!AD76,1,IF(WORLDCUP!AC76&lt;WORLDCUP!AD76,2,IF(AND(WORLDCUP!AC76=WORLDCUP!AD76,WORLDCUP!AC76&lt;&gt;"",WORLDCUP!AD76&lt;&gt;""),"X",0))),"|",WORLDCUP!AC76,"-",WORLDCUP!AD76)</f>
        <v>1|1-0</v>
      </c>
      <c r="D24" s="718"/>
      <c r="E24" s="383"/>
      <c r="F24" s="383"/>
      <c r="G24" s="383"/>
      <c r="H24" s="383"/>
      <c r="I24" s="394"/>
      <c r="J24" s="383"/>
      <c r="K24" s="383"/>
      <c r="L24" s="383"/>
      <c r="M24" s="392"/>
      <c r="N24" s="390"/>
    </row>
    <row r="25" spans="1:14" ht="15" customHeight="1">
      <c r="A25" s="41" t="s">
        <v>28</v>
      </c>
      <c r="B25" s="370" t="str">
        <f ca="1">CONCATENATE(WORLDCUP!AA77,"-",WORLDCUP!AF77)</f>
        <v>Argentina-Argelia</v>
      </c>
      <c r="C25" s="362" t="str">
        <f>CONCATENATE(IF(WORLDCUP!AC77&gt;WORLDCUP!AD77,1,IF(WORLDCUP!AC77&lt;WORLDCUP!AD77,2,IF(AND(WORLDCUP!AC77=WORLDCUP!AD77,WORLDCUP!AC77&lt;&gt;"",WORLDCUP!AD77&lt;&gt;""),"X",0))),"|",WORLDCUP!AC77,"-",WORLDCUP!AD77)</f>
        <v>1|2-1</v>
      </c>
      <c r="D25" s="718"/>
      <c r="E25" s="383"/>
      <c r="F25" s="383"/>
      <c r="G25" s="383"/>
      <c r="H25" s="383"/>
      <c r="I25" s="394"/>
      <c r="J25" s="383"/>
      <c r="K25" s="383"/>
      <c r="L25" s="383"/>
      <c r="M25" s="392"/>
      <c r="N25" s="390"/>
    </row>
    <row r="26" spans="1:14" ht="15" customHeight="1">
      <c r="A26" s="368" t="s">
        <v>533</v>
      </c>
      <c r="B26" s="369" t="str">
        <f ca="1">CONCATENATE(WORLDCUP!AA84,"-",WORLDCUP!AF84)</f>
        <v>Portugal-PO 1: COD/JAM/NCL</v>
      </c>
      <c r="C26" s="362" t="str">
        <f>CONCATENATE(IF(WORLDCUP!AC84&gt;WORLDCUP!AD84,1,IF(WORLDCUP!AC84&lt;WORLDCUP!AD84,2,IF(AND(WORLDCUP!AC84=WORLDCUP!AD84,WORLDCUP!AC84&lt;&gt;"",WORLDCUP!AD84&lt;&gt;""),"X",0))),"|",WORLDCUP!AC84,"-",WORLDCUP!AD84)</f>
        <v>1|1-0</v>
      </c>
      <c r="D26" s="718"/>
      <c r="E26" s="383"/>
      <c r="F26" s="383"/>
      <c r="G26" s="383"/>
      <c r="H26" s="383"/>
      <c r="I26" s="394"/>
      <c r="J26" s="383"/>
      <c r="K26" s="383"/>
      <c r="L26" s="383"/>
      <c r="M26" s="392"/>
      <c r="N26" s="390"/>
    </row>
    <row r="27" spans="1:14" ht="15" customHeight="1">
      <c r="A27" s="368" t="s">
        <v>533</v>
      </c>
      <c r="B27" s="369" t="str">
        <f ca="1">CONCATENATE(WORLDCUP!AA85,"-",WORLDCUP!AF85)</f>
        <v>Uzbekistán-Colombia</v>
      </c>
      <c r="C27" s="362" t="str">
        <f>CONCATENATE(IF(WORLDCUP!AC85&gt;WORLDCUP!AD85,1,IF(WORLDCUP!AC85&lt;WORLDCUP!AD85,2,IF(AND(WORLDCUP!AC85=WORLDCUP!AD85,WORLDCUP!AC85&lt;&gt;"",WORLDCUP!AD85&lt;&gt;""),"X",0))),"|",WORLDCUP!AC85,"-",WORLDCUP!AD85)</f>
        <v>2|0-2</v>
      </c>
      <c r="D27" s="718"/>
      <c r="E27" s="383"/>
      <c r="F27" s="383"/>
      <c r="G27" s="383"/>
      <c r="H27" s="383"/>
      <c r="I27" s="394"/>
      <c r="J27" s="383"/>
      <c r="K27" s="383"/>
      <c r="L27" s="383"/>
      <c r="M27" s="392"/>
      <c r="N27" s="390"/>
    </row>
    <row r="28" spans="1:14" ht="15" customHeight="1">
      <c r="A28" s="41" t="s">
        <v>1217</v>
      </c>
      <c r="B28" s="370" t="str">
        <f ca="1">CONCATENATE(WORLDCUP!AA92,"-",WORLDCUP!AF92)</f>
        <v>Inglaterra-Croacia</v>
      </c>
      <c r="C28" s="362" t="str">
        <f>CONCATENATE(IF(WORLDCUP!AC92&gt;WORLDCUP!AD92,1,IF(WORLDCUP!AC92&lt;WORLDCUP!AD92,2,IF(AND(WORLDCUP!AC92=WORLDCUP!AD92,WORLDCUP!AC92&lt;&gt;"",WORLDCUP!AD92&lt;&gt;""),"X",0))),"|",WORLDCUP!AC92,"-",WORLDCUP!AD92)</f>
        <v>X|1-1</v>
      </c>
      <c r="D28" s="718"/>
      <c r="E28" s="383"/>
      <c r="F28" s="383"/>
      <c r="G28" s="383"/>
      <c r="H28" s="383"/>
      <c r="I28" s="394"/>
      <c r="J28" s="383"/>
      <c r="K28" s="383"/>
      <c r="L28" s="383"/>
      <c r="M28" s="392"/>
      <c r="N28" s="390"/>
    </row>
    <row r="29" spans="1:14" ht="15" customHeight="1">
      <c r="A29" s="41" t="s">
        <v>1217</v>
      </c>
      <c r="B29" s="370" t="str">
        <f ca="1">CONCATENATE(WORLDCUP!AA93,"-",WORLDCUP!AF93)</f>
        <v>Ghana-Panamá</v>
      </c>
      <c r="C29" s="362" t="str">
        <f>CONCATENATE(IF(WORLDCUP!AC93&gt;WORLDCUP!AD93,1,IF(WORLDCUP!AC93&lt;WORLDCUP!AD93,2,IF(AND(WORLDCUP!AC93=WORLDCUP!AD93,WORLDCUP!AC93&lt;&gt;"",WORLDCUP!AD93&lt;&gt;""),"X",0))),"|",WORLDCUP!AC93,"-",WORLDCUP!AD93)</f>
        <v>1|1-0</v>
      </c>
      <c r="D29" s="719"/>
      <c r="E29" s="385"/>
      <c r="F29" s="385"/>
      <c r="G29" s="385"/>
      <c r="H29" s="385"/>
      <c r="I29" s="394"/>
      <c r="J29" s="383"/>
      <c r="K29" s="383"/>
      <c r="L29" s="383"/>
      <c r="M29" s="392"/>
      <c r="N29" s="390"/>
    </row>
    <row r="30" spans="1:14" ht="15" customHeight="1">
      <c r="A30" s="368" t="s">
        <v>127</v>
      </c>
      <c r="B30" s="369" t="str">
        <f ca="1">CONCATENATE(WORLDCUP!AA6,"-",WORLDCUP!AF6)</f>
        <v>PO D: DEN/MKD/CZE/IRL-Sudáfrica</v>
      </c>
      <c r="C30" s="362" t="str">
        <f>CONCATENATE(IF(WORLDCUP!AC6&gt;WORLDCUP!AD6,1,IF(WORLDCUP!AC6&lt;WORLDCUP!AD6,2,IF(AND(WORLDCUP!AC6=WORLDCUP!AD6,WORLDCUP!AC6&lt;&gt;"",WORLDCUP!AD6&lt;&gt;""),"X",0))),"|",WORLDCUP!AC6,"-",WORLDCUP!AD6)</f>
        <v>X|1-1</v>
      </c>
      <c r="D30" s="720" t="str">
        <f>Idiomas!D120</f>
        <v>J2</v>
      </c>
      <c r="E30" s="723" t="str">
        <f>Idiomas!D108</f>
        <v>·Para la segunda jornada copiar de la C30 a la C53 y pega valores en la plantilla de administrador.</v>
      </c>
      <c r="F30" s="723"/>
      <c r="G30" s="723"/>
      <c r="H30" s="723"/>
      <c r="I30" s="393"/>
      <c r="J30" s="383"/>
      <c r="K30" s="383"/>
      <c r="L30" s="383"/>
      <c r="M30" s="392"/>
      <c r="N30" s="390"/>
    </row>
    <row r="31" spans="1:14" ht="15" customHeight="1">
      <c r="A31" s="368" t="s">
        <v>127</v>
      </c>
      <c r="B31" s="369" t="str">
        <f ca="1">CONCATENATE(WORLDCUP!AA7,"-",WORLDCUP!AF7)</f>
        <v>México-Corea del Sur</v>
      </c>
      <c r="C31" s="362" t="str">
        <f>CONCATENATE(IF(WORLDCUP!AC7&gt;WORLDCUP!AD7,1,IF(WORLDCUP!AC7&lt;WORLDCUP!AD7,2,IF(AND(WORLDCUP!AC7=WORLDCUP!AD7,WORLDCUP!AC7&lt;&gt;"",WORLDCUP!AD7&lt;&gt;""),"X",0))),"|",WORLDCUP!AC7,"-",WORLDCUP!AD7)</f>
        <v>X|0-0</v>
      </c>
      <c r="D31" s="720"/>
      <c r="E31" s="707"/>
      <c r="F31" s="707"/>
      <c r="G31" s="707"/>
      <c r="H31" s="707"/>
      <c r="I31" s="394"/>
      <c r="J31" s="383"/>
      <c r="K31" s="383"/>
      <c r="L31" s="383"/>
      <c r="M31" s="392"/>
      <c r="N31" s="390"/>
    </row>
    <row r="32" spans="1:14" ht="15" customHeight="1">
      <c r="A32" s="41" t="s">
        <v>128</v>
      </c>
      <c r="B32" s="370" t="str">
        <f ca="1">CONCATENATE(WORLDCUP!AA14,"-",WORLDCUP!AF14)</f>
        <v>Suiza-PO A: ITA/NIR/WAL/BIH</v>
      </c>
      <c r="C32" s="362" t="str">
        <f>CONCATENATE(IF(WORLDCUP!AC14&gt;WORLDCUP!AD14,1,IF(WORLDCUP!AC14&lt;WORLDCUP!AD14,2,IF(AND(WORLDCUP!AC14=WORLDCUP!AD14,WORLDCUP!AC14&lt;&gt;"",WORLDCUP!AD14&lt;&gt;""),"X",0))),"|",WORLDCUP!AC14,"-",WORLDCUP!AD14)</f>
        <v>1|1-0</v>
      </c>
      <c r="D32" s="720"/>
      <c r="E32" s="707"/>
      <c r="F32" s="707"/>
      <c r="G32" s="707"/>
      <c r="H32" s="707"/>
      <c r="I32" s="394"/>
      <c r="J32" s="383"/>
      <c r="K32" s="383"/>
      <c r="L32" s="383"/>
      <c r="M32" s="392"/>
      <c r="N32" s="390"/>
    </row>
    <row r="33" spans="1:14" ht="15" customHeight="1">
      <c r="A33" s="41" t="s">
        <v>128</v>
      </c>
      <c r="B33" s="370" t="str">
        <f ca="1">CONCATENATE(WORLDCUP!AA15,"-",WORLDCUP!AF15)</f>
        <v>Canadá-Catar</v>
      </c>
      <c r="C33" s="362" t="str">
        <f>CONCATENATE(IF(WORLDCUP!AC15&gt;WORLDCUP!AD15,1,IF(WORLDCUP!AC15&lt;WORLDCUP!AD15,2,IF(AND(WORLDCUP!AC15=WORLDCUP!AD15,WORLDCUP!AC15&lt;&gt;"",WORLDCUP!AD15&lt;&gt;""),"X",0))),"|",WORLDCUP!AC15,"-",WORLDCUP!AD15)</f>
        <v>1|1-0</v>
      </c>
      <c r="D33" s="720"/>
      <c r="E33" s="707"/>
      <c r="F33" s="707"/>
      <c r="G33" s="707"/>
      <c r="H33" s="707"/>
      <c r="I33" s="394"/>
      <c r="J33" s="383"/>
      <c r="K33" s="383"/>
      <c r="L33" s="383"/>
      <c r="M33" s="392"/>
      <c r="N33" s="390"/>
    </row>
    <row r="34" spans="1:14" ht="15" customHeight="1">
      <c r="A34" s="368" t="s">
        <v>129</v>
      </c>
      <c r="B34" s="369" t="str">
        <f ca="1">CONCATENATE(WORLDCUP!AA22,"-",WORLDCUP!AF22)</f>
        <v>Escocia-Marruecos</v>
      </c>
      <c r="C34" s="362" t="str">
        <f>CONCATENATE(IF(WORLDCUP!AC22&gt;WORLDCUP!AD22,1,IF(WORLDCUP!AC22&lt;WORLDCUP!AD22,2,IF(AND(WORLDCUP!AC22=WORLDCUP!AD22,WORLDCUP!AC22&lt;&gt;"",WORLDCUP!AD22&lt;&gt;""),"X",0))),"|",WORLDCUP!AC22,"-",WORLDCUP!AD22)</f>
        <v>2|0-1</v>
      </c>
      <c r="D34" s="720"/>
      <c r="E34" s="383"/>
      <c r="F34" s="383"/>
      <c r="G34" s="383"/>
      <c r="H34" s="383"/>
      <c r="I34" s="394"/>
      <c r="J34" s="383"/>
      <c r="K34" s="383"/>
      <c r="L34" s="383"/>
      <c r="M34" s="392"/>
      <c r="N34" s="390"/>
    </row>
    <row r="35" spans="1:14" ht="15" customHeight="1">
      <c r="A35" s="368" t="s">
        <v>129</v>
      </c>
      <c r="B35" s="369" t="str">
        <f ca="1">CONCATENATE(WORLDCUP!AA23,"-",WORLDCUP!AF23)</f>
        <v>Brasil-Haití</v>
      </c>
      <c r="C35" s="362" t="str">
        <f>CONCATENATE(IF(WORLDCUP!AC23&gt;WORLDCUP!AD23,1,IF(WORLDCUP!AC23&lt;WORLDCUP!AD23,2,IF(AND(WORLDCUP!AC23=WORLDCUP!AD23,WORLDCUP!AC23&lt;&gt;"",WORLDCUP!AD23&lt;&gt;""),"X",0))),"|",WORLDCUP!AC23,"-",WORLDCUP!AD23)</f>
        <v>1|3-1</v>
      </c>
      <c r="D35" s="720"/>
      <c r="E35" s="383"/>
      <c r="F35" s="383"/>
      <c r="G35" s="383"/>
      <c r="H35" s="383"/>
      <c r="I35" s="394"/>
      <c r="J35" s="383"/>
      <c r="K35" s="383"/>
      <c r="L35" s="383"/>
      <c r="M35" s="392"/>
      <c r="N35" s="390"/>
    </row>
    <row r="36" spans="1:14" ht="15" customHeight="1">
      <c r="A36" s="41" t="s">
        <v>130</v>
      </c>
      <c r="B36" s="370" t="str">
        <f ca="1">CONCATENATE(WORLDCUP!AA30,"-",WORLDCUP!AF30)</f>
        <v>PO C: TUR/ROU/SVK/KOS-Paraguay</v>
      </c>
      <c r="C36" s="362" t="str">
        <f>CONCATENATE(IF(WORLDCUP!AC30&gt;WORLDCUP!AD30,1,IF(WORLDCUP!AC30&lt;WORLDCUP!AD30,2,IF(AND(WORLDCUP!AC30=WORLDCUP!AD30,WORLDCUP!AC30&lt;&gt;"",WORLDCUP!AD30&lt;&gt;""),"X",0))),"|",WORLDCUP!AC30,"-",WORLDCUP!AD30)</f>
        <v>2|0-1</v>
      </c>
      <c r="D36" s="720"/>
      <c r="E36" s="383"/>
      <c r="F36" s="383"/>
      <c r="G36" s="383"/>
      <c r="H36" s="383"/>
      <c r="I36" s="394"/>
      <c r="J36" s="383"/>
      <c r="K36" s="383"/>
      <c r="L36" s="383"/>
      <c r="M36" s="392"/>
      <c r="N36" s="390"/>
    </row>
    <row r="37" spans="1:14" ht="15" customHeight="1">
      <c r="A37" s="41" t="s">
        <v>130</v>
      </c>
      <c r="B37" s="370" t="str">
        <f ca="1">CONCATENATE(WORLDCUP!AA31,"-",WORLDCUP!AF31)</f>
        <v>Estados Unidos-Australia</v>
      </c>
      <c r="C37" s="362" t="str">
        <f>CONCATENATE(IF(WORLDCUP!AC31&gt;WORLDCUP!AD31,1,IF(WORLDCUP!AC31&lt;WORLDCUP!AD31,2,IF(AND(WORLDCUP!AC31=WORLDCUP!AD31,WORLDCUP!AC31&lt;&gt;"",WORLDCUP!AD31&lt;&gt;""),"X",0))),"|",WORLDCUP!AC31,"-",WORLDCUP!AD31)</f>
        <v>1|2-0</v>
      </c>
      <c r="D37" s="720"/>
      <c r="E37" s="383"/>
      <c r="F37" s="383"/>
      <c r="G37" s="383"/>
      <c r="H37" s="383"/>
      <c r="I37" s="394"/>
      <c r="J37" s="383"/>
      <c r="K37" s="383"/>
      <c r="L37" s="383"/>
      <c r="M37" s="392"/>
      <c r="N37" s="390"/>
    </row>
    <row r="38" spans="1:14" ht="15" customHeight="1">
      <c r="A38" s="368" t="s">
        <v>131</v>
      </c>
      <c r="B38" s="369" t="str">
        <f ca="1">CONCATENATE(WORLDCUP!AA38,"-",WORLDCUP!AF38)</f>
        <v>Alemania-Costa de Marfil</v>
      </c>
      <c r="C38" s="362" t="str">
        <f>CONCATENATE(IF(WORLDCUP!AC38&gt;WORLDCUP!AD38,1,IF(WORLDCUP!AC38&lt;WORLDCUP!AD38,2,IF(AND(WORLDCUP!AC38=WORLDCUP!AD38,WORLDCUP!AC38&lt;&gt;"",WORLDCUP!AD38&lt;&gt;""),"X",0))),"|",WORLDCUP!AC38,"-",WORLDCUP!AD38)</f>
        <v>1|3-0</v>
      </c>
      <c r="D38" s="720"/>
      <c r="E38" s="383"/>
      <c r="F38" s="383"/>
      <c r="G38" s="383"/>
      <c r="H38" s="383"/>
      <c r="I38" s="394"/>
      <c r="J38" s="383"/>
      <c r="K38" s="383"/>
      <c r="L38" s="383"/>
      <c r="M38" s="392"/>
      <c r="N38" s="390"/>
    </row>
    <row r="39" spans="1:14" ht="15" customHeight="1">
      <c r="A39" s="368" t="s">
        <v>131</v>
      </c>
      <c r="B39" s="369" t="str">
        <f ca="1">CONCATENATE(WORLDCUP!AA39,"-",WORLDCUP!AF39)</f>
        <v>Ecuador-Curazao</v>
      </c>
      <c r="C39" s="362" t="str">
        <f>CONCATENATE(IF(WORLDCUP!AC39&gt;WORLDCUP!AD39,1,IF(WORLDCUP!AC39&lt;WORLDCUP!AD39,2,IF(AND(WORLDCUP!AC39=WORLDCUP!AD39,WORLDCUP!AC39&lt;&gt;"",WORLDCUP!AD39&lt;&gt;""),"X",0))),"|",WORLDCUP!AC39,"-",WORLDCUP!AD39)</f>
        <v>1|2-0</v>
      </c>
      <c r="D39" s="720"/>
      <c r="E39" s="383"/>
      <c r="F39" s="383"/>
      <c r="G39" s="383"/>
      <c r="H39" s="383"/>
      <c r="I39" s="394"/>
      <c r="J39" s="383"/>
      <c r="K39" s="383"/>
      <c r="L39" s="383"/>
      <c r="M39" s="392"/>
      <c r="N39" s="390"/>
    </row>
    <row r="40" spans="1:14" ht="15" customHeight="1">
      <c r="A40" s="41" t="s">
        <v>132</v>
      </c>
      <c r="B40" s="370" t="str">
        <f ca="1">CONCATENATE(WORLDCUP!AA46,"-",WORLDCUP!AF46)</f>
        <v>Túnez-Japón</v>
      </c>
      <c r="C40" s="362" t="str">
        <f>CONCATENATE(IF(WORLDCUP!AC46&gt;WORLDCUP!AD46,1,IF(WORLDCUP!AC46&lt;WORLDCUP!AD46,2,IF(AND(WORLDCUP!AC46=WORLDCUP!AD46,WORLDCUP!AC46&lt;&gt;"",WORLDCUP!AD46&lt;&gt;""),"X",0))),"|",WORLDCUP!AC46,"-",WORLDCUP!AD46)</f>
        <v>1|1-0</v>
      </c>
      <c r="D40" s="720"/>
      <c r="E40" s="383"/>
      <c r="F40" s="383"/>
      <c r="G40" s="383"/>
      <c r="H40" s="383"/>
      <c r="I40" s="394"/>
      <c r="J40" s="383"/>
      <c r="K40" s="383"/>
      <c r="L40" s="383"/>
      <c r="M40" s="392"/>
      <c r="N40" s="390"/>
    </row>
    <row r="41" spans="1:14" ht="15" customHeight="1">
      <c r="A41" s="41" t="s">
        <v>132</v>
      </c>
      <c r="B41" s="370" t="str">
        <f ca="1">CONCATENATE(WORLDCUP!AA47,"-",WORLDCUP!AF47)</f>
        <v>Países Bajos-PO B: UKR/SWE/POL/ALB</v>
      </c>
      <c r="C41" s="362" t="str">
        <f>CONCATENATE(IF(WORLDCUP!AC47&gt;WORLDCUP!AD47,1,IF(WORLDCUP!AC47&lt;WORLDCUP!AD47,2,IF(AND(WORLDCUP!AC47=WORLDCUP!AD47,WORLDCUP!AC47&lt;&gt;"",WORLDCUP!AD47&lt;&gt;""),"X",0))),"|",WORLDCUP!AC47,"-",WORLDCUP!AD47)</f>
        <v>1|1-0</v>
      </c>
      <c r="D41" s="720"/>
      <c r="E41" s="383"/>
      <c r="F41" s="383"/>
      <c r="G41" s="383"/>
      <c r="H41" s="383"/>
      <c r="I41" s="394"/>
      <c r="J41" s="383"/>
      <c r="K41" s="383"/>
      <c r="L41" s="383"/>
      <c r="M41" s="392"/>
      <c r="N41" s="390"/>
    </row>
    <row r="42" spans="1:14" ht="15" customHeight="1">
      <c r="A42" s="368" t="s">
        <v>529</v>
      </c>
      <c r="B42" s="369" t="str">
        <f ca="1">CONCATENATE(WORLDCUP!AA54,"-",WORLDCUP!AF54)</f>
        <v>Bélgica-Irán</v>
      </c>
      <c r="C42" s="362" t="str">
        <f>CONCATENATE(IF(WORLDCUP!AC54&gt;WORLDCUP!AD54,1,IF(WORLDCUP!AC54&lt;WORLDCUP!AD54,2,IF(AND(WORLDCUP!AC54=WORLDCUP!AD54,WORLDCUP!AC54&lt;&gt;"",WORLDCUP!AD54&lt;&gt;""),"X",0))),"|",WORLDCUP!AC54,"-",WORLDCUP!AD54)</f>
        <v>1|1-0</v>
      </c>
      <c r="D42" s="720"/>
      <c r="E42" s="383"/>
      <c r="F42" s="383"/>
      <c r="G42" s="383"/>
      <c r="H42" s="383"/>
      <c r="I42" s="394"/>
      <c r="J42" s="383"/>
      <c r="K42" s="383"/>
      <c r="L42" s="383"/>
      <c r="M42" s="392"/>
      <c r="N42" s="390"/>
    </row>
    <row r="43" spans="1:14" ht="15" customHeight="1">
      <c r="A43" s="368" t="s">
        <v>529</v>
      </c>
      <c r="B43" s="369" t="str">
        <f ca="1">CONCATENATE(WORLDCUP!AA55,"-",WORLDCUP!AF55)</f>
        <v>Nueva Zelanda-Egipto</v>
      </c>
      <c r="C43" s="362" t="str">
        <f>CONCATENATE(IF(WORLDCUP!AC55&gt;WORLDCUP!AD55,1,IF(WORLDCUP!AC55&lt;WORLDCUP!AD55,2,IF(AND(WORLDCUP!AC55=WORLDCUP!AD55,WORLDCUP!AC55&lt;&gt;"",WORLDCUP!AD55&lt;&gt;""),"X",0))),"|",WORLDCUP!AC55,"-",WORLDCUP!AD55)</f>
        <v>X|0-0</v>
      </c>
      <c r="D43" s="720"/>
      <c r="E43" s="383"/>
      <c r="F43" s="383"/>
      <c r="G43" s="383"/>
      <c r="H43" s="383"/>
      <c r="I43" s="394"/>
      <c r="J43" s="383"/>
      <c r="K43" s="383"/>
      <c r="L43" s="383"/>
      <c r="M43" s="392"/>
      <c r="N43" s="390"/>
    </row>
    <row r="44" spans="1:14" ht="15" customHeight="1">
      <c r="A44" s="41" t="s">
        <v>531</v>
      </c>
      <c r="B44" s="370" t="str">
        <f ca="1">CONCATENATE(WORLDCUP!AA62,"-",WORLDCUP!AF62)</f>
        <v>España-Arabia Saudita</v>
      </c>
      <c r="C44" s="362" t="str">
        <f>CONCATENATE(IF(WORLDCUP!AC62&gt;WORLDCUP!AD62,1,IF(WORLDCUP!AC62&lt;WORLDCUP!AD62,2,IF(AND(WORLDCUP!AC62=WORLDCUP!AD62,WORLDCUP!AC62&lt;&gt;"",WORLDCUP!AD62&lt;&gt;""),"X",0))),"|",WORLDCUP!AC62,"-",WORLDCUP!AD62)</f>
        <v>1|1-0</v>
      </c>
      <c r="D44" s="720"/>
      <c r="E44" s="383"/>
      <c r="F44" s="383"/>
      <c r="G44" s="383"/>
      <c r="H44" s="383"/>
      <c r="I44" s="394"/>
      <c r="J44" s="383"/>
      <c r="K44" s="383"/>
      <c r="L44" s="383"/>
      <c r="M44" s="392"/>
      <c r="N44" s="390"/>
    </row>
    <row r="45" spans="1:14" ht="15" customHeight="1">
      <c r="A45" s="41" t="s">
        <v>531</v>
      </c>
      <c r="B45" s="370" t="str">
        <f ca="1">CONCATENATE(WORLDCUP!AA63,"-",WORLDCUP!AF63)</f>
        <v>Uruguay-Cabo Verde</v>
      </c>
      <c r="C45" s="362" t="str">
        <f>CONCATENATE(IF(WORLDCUP!AC63&gt;WORLDCUP!AD63,1,IF(WORLDCUP!AC63&lt;WORLDCUP!AD63,2,IF(AND(WORLDCUP!AC63=WORLDCUP!AD63,WORLDCUP!AC63&lt;&gt;"",WORLDCUP!AD63&lt;&gt;""),"X",0))),"|",WORLDCUP!AC63,"-",WORLDCUP!AD63)</f>
        <v>1|1-0</v>
      </c>
      <c r="D45" s="720"/>
      <c r="E45" s="383"/>
      <c r="F45" s="383"/>
      <c r="G45" s="383"/>
      <c r="H45" s="383"/>
      <c r="I45" s="394"/>
      <c r="J45" s="383"/>
      <c r="K45" s="383"/>
      <c r="L45" s="383"/>
      <c r="M45" s="392"/>
      <c r="N45" s="390"/>
    </row>
    <row r="46" spans="1:14" ht="15" customHeight="1">
      <c r="A46" s="368" t="s">
        <v>532</v>
      </c>
      <c r="B46" s="369" t="str">
        <f ca="1">CONCATENATE(WORLDCUP!AA70,"-",WORLDCUP!AF70)</f>
        <v>Francia-PO 2: IRQ/BOL/SUR</v>
      </c>
      <c r="C46" s="362" t="str">
        <f>CONCATENATE(IF(WORLDCUP!AC70&gt;WORLDCUP!AD70,1,IF(WORLDCUP!AC70&lt;WORLDCUP!AD70,2,IF(AND(WORLDCUP!AC70=WORLDCUP!AD70,WORLDCUP!AC70&lt;&gt;"",WORLDCUP!AD70&lt;&gt;""),"X",0))),"|",WORLDCUP!AC70,"-",WORLDCUP!AD70)</f>
        <v>1|2-0</v>
      </c>
      <c r="D46" s="720"/>
      <c r="E46" s="383"/>
      <c r="F46" s="383"/>
      <c r="G46" s="383"/>
      <c r="H46" s="383"/>
      <c r="I46" s="394"/>
      <c r="J46" s="383"/>
      <c r="K46" s="383"/>
      <c r="L46" s="383"/>
      <c r="M46" s="392"/>
      <c r="N46" s="390"/>
    </row>
    <row r="47" spans="1:14" ht="15" customHeight="1">
      <c r="A47" s="368" t="s">
        <v>532</v>
      </c>
      <c r="B47" s="369" t="str">
        <f ca="1">CONCATENATE(WORLDCUP!AA71,"-",WORLDCUP!AF71)</f>
        <v>Noruega-Senegal</v>
      </c>
      <c r="C47" s="362" t="str">
        <f>CONCATENATE(IF(WORLDCUP!AC71&gt;WORLDCUP!AD71,1,IF(WORLDCUP!AC71&lt;WORLDCUP!AD71,2,IF(AND(WORLDCUP!AC71=WORLDCUP!AD71,WORLDCUP!AC71&lt;&gt;"",WORLDCUP!AD71&lt;&gt;""),"X",0))),"|",WORLDCUP!AC71,"-",WORLDCUP!AD71)</f>
        <v>2|0-1</v>
      </c>
      <c r="D47" s="720"/>
      <c r="E47" s="383"/>
      <c r="F47" s="383"/>
      <c r="G47" s="383"/>
      <c r="H47" s="383"/>
      <c r="I47" s="394"/>
      <c r="J47" s="383"/>
      <c r="K47" s="383"/>
      <c r="L47" s="383"/>
      <c r="M47" s="392"/>
      <c r="N47" s="390"/>
    </row>
    <row r="48" spans="1:14" ht="15" customHeight="1">
      <c r="A48" s="41" t="s">
        <v>29</v>
      </c>
      <c r="B48" s="370" t="str">
        <f ca="1">CONCATENATE(WORLDCUP!AA78,"-",WORLDCUP!AF78)</f>
        <v>Argentina-Austria</v>
      </c>
      <c r="C48" s="362" t="str">
        <f>CONCATENATE(IF(WORLDCUP!AC78&gt;WORLDCUP!AD78,1,IF(WORLDCUP!AC78&lt;WORLDCUP!AD78,2,IF(AND(WORLDCUP!AC78=WORLDCUP!AD78,WORLDCUP!AC78&lt;&gt;"",WORLDCUP!AD78&lt;&gt;""),"X",0))),"|",WORLDCUP!AC78,"-",WORLDCUP!AD78)</f>
        <v>1|1-0</v>
      </c>
      <c r="D48" s="720"/>
      <c r="E48" s="383"/>
      <c r="F48" s="383"/>
      <c r="G48" s="383"/>
      <c r="H48" s="383"/>
      <c r="I48" s="394"/>
      <c r="J48" s="383"/>
      <c r="K48" s="383"/>
      <c r="L48" s="383"/>
      <c r="M48" s="392"/>
      <c r="N48" s="390"/>
    </row>
    <row r="49" spans="1:14" ht="15" customHeight="1">
      <c r="A49" s="41" t="s">
        <v>29</v>
      </c>
      <c r="B49" s="370" t="str">
        <f ca="1">CONCATENATE(WORLDCUP!AA79,"-",WORLDCUP!AF79)</f>
        <v>Jordania-Argelia</v>
      </c>
      <c r="C49" s="362" t="str">
        <f>CONCATENATE(IF(WORLDCUP!AC79&gt;WORLDCUP!AD79,1,IF(WORLDCUP!AC79&lt;WORLDCUP!AD79,2,IF(AND(WORLDCUP!AC79=WORLDCUP!AD79,WORLDCUP!AC79&lt;&gt;"",WORLDCUP!AD79&lt;&gt;""),"X",0))),"|",WORLDCUP!AC79,"-",WORLDCUP!AD79)</f>
        <v>X|0-0</v>
      </c>
      <c r="D49" s="720"/>
      <c r="E49" s="383"/>
      <c r="F49" s="383"/>
      <c r="G49" s="383"/>
      <c r="H49" s="383"/>
      <c r="I49" s="394"/>
      <c r="J49" s="383"/>
      <c r="K49" s="383"/>
      <c r="L49" s="383"/>
      <c r="M49" s="392"/>
      <c r="N49" s="390"/>
    </row>
    <row r="50" spans="1:14" ht="15" customHeight="1">
      <c r="A50" s="368" t="s">
        <v>318</v>
      </c>
      <c r="B50" s="369" t="str">
        <f ca="1">CONCATENATE(WORLDCUP!AA86,"-",WORLDCUP!AF86)</f>
        <v>Portugal-Uzbekistán</v>
      </c>
      <c r="C50" s="362" t="str">
        <f>CONCATENATE(IF(WORLDCUP!AC86&gt;WORLDCUP!AD86,1,IF(WORLDCUP!AC86&lt;WORLDCUP!AD86,2,IF(AND(WORLDCUP!AC86=WORLDCUP!AD86,WORLDCUP!AC86&lt;&gt;"",WORLDCUP!AD86&lt;&gt;""),"X",0))),"|",WORLDCUP!AC86,"-",WORLDCUP!AD86)</f>
        <v>1|1-0</v>
      </c>
      <c r="D50" s="720"/>
      <c r="E50" s="383"/>
      <c r="F50" s="383"/>
      <c r="G50" s="383"/>
      <c r="H50" s="383"/>
      <c r="I50" s="394"/>
      <c r="J50" s="383"/>
      <c r="K50" s="383"/>
      <c r="L50" s="383"/>
      <c r="M50" s="392"/>
      <c r="N50" s="390"/>
    </row>
    <row r="51" spans="1:14" ht="15" customHeight="1">
      <c r="A51" s="368" t="s">
        <v>318</v>
      </c>
      <c r="B51" s="369" t="str">
        <f ca="1">CONCATENATE(WORLDCUP!AA87,"-",WORLDCUP!AF87)</f>
        <v>Colombia-PO 1: COD/JAM/NCL</v>
      </c>
      <c r="C51" s="362" t="str">
        <f>CONCATENATE(IF(WORLDCUP!AC87&gt;WORLDCUP!AD87,1,IF(WORLDCUP!AC87&lt;WORLDCUP!AD87,2,IF(AND(WORLDCUP!AC87=WORLDCUP!AD87,WORLDCUP!AC87&lt;&gt;"",WORLDCUP!AD87&lt;&gt;""),"X",0))),"|",WORLDCUP!AC87,"-",WORLDCUP!AD87)</f>
        <v>1|1-0</v>
      </c>
      <c r="D51" s="720"/>
      <c r="E51" s="383"/>
      <c r="F51" s="383"/>
      <c r="G51" s="383"/>
      <c r="H51" s="383"/>
      <c r="I51" s="394"/>
      <c r="J51" s="383"/>
      <c r="K51" s="383"/>
      <c r="L51" s="383"/>
      <c r="M51" s="392"/>
      <c r="N51" s="390"/>
    </row>
    <row r="52" spans="1:14" ht="15" customHeight="1">
      <c r="A52" s="41" t="s">
        <v>1218</v>
      </c>
      <c r="B52" s="370" t="str">
        <f ca="1">CONCATENATE(WORLDCUP!AA94,"-",WORLDCUP!AF94)</f>
        <v>Inglaterra-Ghana</v>
      </c>
      <c r="C52" s="362" t="str">
        <f>CONCATENATE(IF(WORLDCUP!AC94&gt;WORLDCUP!AD94,1,IF(WORLDCUP!AC94&lt;WORLDCUP!AD94,2,IF(AND(WORLDCUP!AC94=WORLDCUP!AD94,WORLDCUP!AC94&lt;&gt;"",WORLDCUP!AD94&lt;&gt;""),"X",0))),"|",WORLDCUP!AC94,"-",WORLDCUP!AD94)</f>
        <v>1|1-0</v>
      </c>
      <c r="D52" s="720"/>
      <c r="E52" s="383"/>
      <c r="F52" s="383"/>
      <c r="G52" s="383"/>
      <c r="H52" s="383"/>
      <c r="I52" s="394"/>
      <c r="J52" s="383"/>
      <c r="K52" s="383"/>
      <c r="L52" s="383"/>
      <c r="M52" s="392"/>
      <c r="N52" s="390"/>
    </row>
    <row r="53" spans="1:14" ht="15" customHeight="1">
      <c r="A53" s="41" t="s">
        <v>1218</v>
      </c>
      <c r="B53" s="370" t="str">
        <f ca="1">CONCATENATE(WORLDCUP!AA95,"-",WORLDCUP!AF95)</f>
        <v>Panamá-Croacia</v>
      </c>
      <c r="C53" s="362" t="str">
        <f>CONCATENATE(IF(WORLDCUP!AC95&gt;WORLDCUP!AD95,1,IF(WORLDCUP!AC95&lt;WORLDCUP!AD95,2,IF(AND(WORLDCUP!AC95=WORLDCUP!AD95,WORLDCUP!AC95&lt;&gt;"",WORLDCUP!AD95&lt;&gt;""),"X",0))),"|",WORLDCUP!AC95,"-",WORLDCUP!AD95)</f>
        <v>2|0-1</v>
      </c>
      <c r="D53" s="721"/>
      <c r="E53" s="385"/>
      <c r="F53" s="385"/>
      <c r="G53" s="385"/>
      <c r="H53" s="385"/>
      <c r="I53" s="395"/>
      <c r="J53" s="383"/>
      <c r="K53" s="383"/>
      <c r="L53" s="383"/>
      <c r="M53" s="392"/>
      <c r="N53" s="390"/>
    </row>
    <row r="54" spans="1:14" ht="15" customHeight="1">
      <c r="A54" s="368" t="s">
        <v>133</v>
      </c>
      <c r="B54" s="369" t="str">
        <f ca="1">CONCATENATE(WORLDCUP!AA8,"-",WORLDCUP!AF8)</f>
        <v>PO D: DEN/MKD/CZE/IRL-México</v>
      </c>
      <c r="C54" s="362" t="str">
        <f>CONCATENATE(IF(WORLDCUP!AC8&gt;WORLDCUP!AD8,1,IF(WORLDCUP!AC8&lt;WORLDCUP!AD8,2,IF(AND(WORLDCUP!AC8=WORLDCUP!AD8,WORLDCUP!AC8&lt;&gt;"",WORLDCUP!AD8&lt;&gt;""),"X",0))),"|",WORLDCUP!AC8,"-",WORLDCUP!AD8)</f>
        <v>2|0-1</v>
      </c>
      <c r="D54" s="714" t="str">
        <f>Idiomas!D121</f>
        <v>J3</v>
      </c>
      <c r="E54" s="723" t="str">
        <f>Idiomas!D109</f>
        <v>·Para la tercera jornada copiar de la C54 a la C161 y pega valores en la plantilla de administrador.</v>
      </c>
      <c r="F54" s="723"/>
      <c r="G54" s="723"/>
      <c r="H54" s="723"/>
      <c r="I54" s="394"/>
      <c r="J54" s="383"/>
      <c r="K54" s="383"/>
      <c r="L54" s="383"/>
      <c r="M54" s="392"/>
      <c r="N54" s="390"/>
    </row>
    <row r="55" spans="1:14" ht="15" customHeight="1">
      <c r="A55" s="368" t="s">
        <v>133</v>
      </c>
      <c r="B55" s="369" t="str">
        <f ca="1">CONCATENATE(WORLDCUP!AA9,"-",WORLDCUP!AF9)</f>
        <v>Sudáfrica-Corea del Sur</v>
      </c>
      <c r="C55" s="362" t="str">
        <f>CONCATENATE(IF(WORLDCUP!AC9&gt;WORLDCUP!AD9,1,IF(WORLDCUP!AC9&lt;WORLDCUP!AD9,2,IF(AND(WORLDCUP!AC9=WORLDCUP!AD9,WORLDCUP!AC9&lt;&gt;"",WORLDCUP!AD9&lt;&gt;""),"X",0))),"|",WORLDCUP!AC9,"-",WORLDCUP!AD9)</f>
        <v>1|1-0</v>
      </c>
      <c r="D55" s="714"/>
      <c r="E55" s="707"/>
      <c r="F55" s="707"/>
      <c r="G55" s="707"/>
      <c r="H55" s="707"/>
      <c r="I55" s="394"/>
      <c r="J55" s="383"/>
      <c r="K55" s="383"/>
      <c r="L55" s="383"/>
      <c r="M55" s="392"/>
      <c r="N55" s="390"/>
    </row>
    <row r="56" spans="1:14" ht="15" customHeight="1">
      <c r="A56" s="41" t="s">
        <v>134</v>
      </c>
      <c r="B56" s="370" t="str">
        <f ca="1">CONCATENATE(WORLDCUP!AA16,"-",WORLDCUP!AF16)</f>
        <v>Suiza-Canadá</v>
      </c>
      <c r="C56" s="362" t="str">
        <f>CONCATENATE(IF(WORLDCUP!AC16&gt;WORLDCUP!AD16,1,IF(WORLDCUP!AC16&lt;WORLDCUP!AD16,2,IF(AND(WORLDCUP!AC16=WORLDCUP!AD16,WORLDCUP!AC16&lt;&gt;"",WORLDCUP!AD16&lt;&gt;""),"X",0))),"|",WORLDCUP!AC16,"-",WORLDCUP!AD16)</f>
        <v>1|1-0</v>
      </c>
      <c r="D56" s="714"/>
      <c r="E56" s="707"/>
      <c r="F56" s="707"/>
      <c r="G56" s="707"/>
      <c r="H56" s="707"/>
      <c r="I56" s="394"/>
      <c r="J56" s="383"/>
      <c r="K56" s="383"/>
      <c r="L56" s="383"/>
      <c r="M56" s="392"/>
      <c r="N56" s="390"/>
    </row>
    <row r="57" spans="1:14" ht="15" customHeight="1">
      <c r="A57" s="41" t="s">
        <v>134</v>
      </c>
      <c r="B57" s="370" t="str">
        <f ca="1">CONCATENATE(WORLDCUP!AA17,"-",WORLDCUP!AF17)</f>
        <v>PO A: ITA/NIR/WAL/BIH-Catar</v>
      </c>
      <c r="C57" s="362" t="str">
        <f>CONCATENATE(IF(WORLDCUP!AC17&gt;WORLDCUP!AD17,1,IF(WORLDCUP!AC17&lt;WORLDCUP!AD17,2,IF(AND(WORLDCUP!AC17=WORLDCUP!AD17,WORLDCUP!AC17&lt;&gt;"",WORLDCUP!AD17&lt;&gt;""),"X",0))),"|",WORLDCUP!AC17,"-",WORLDCUP!AD17)</f>
        <v>2|0-1</v>
      </c>
      <c r="D57" s="714"/>
      <c r="E57" s="707"/>
      <c r="F57" s="707"/>
      <c r="G57" s="707"/>
      <c r="H57" s="707"/>
      <c r="I57" s="394"/>
      <c r="J57" s="383"/>
      <c r="K57" s="383"/>
      <c r="L57" s="383"/>
      <c r="M57" s="392"/>
      <c r="N57" s="390"/>
    </row>
    <row r="58" spans="1:14" ht="15" customHeight="1">
      <c r="A58" s="368" t="s">
        <v>135</v>
      </c>
      <c r="B58" s="369" t="str">
        <f ca="1">CONCATENATE(WORLDCUP!AA24,"-",WORLDCUP!AF24)</f>
        <v>Escocia-Brasil</v>
      </c>
      <c r="C58" s="362" t="str">
        <f>CONCATENATE(IF(WORLDCUP!AC24&gt;WORLDCUP!AD24,1,IF(WORLDCUP!AC24&lt;WORLDCUP!AD24,2,IF(AND(WORLDCUP!AC24=WORLDCUP!AD24,WORLDCUP!AC24&lt;&gt;"",WORLDCUP!AD24&lt;&gt;""),"X",0))),"|",WORLDCUP!AC24,"-",WORLDCUP!AD24)</f>
        <v>2|0-1</v>
      </c>
      <c r="D58" s="714"/>
      <c r="E58" s="383"/>
      <c r="F58" s="383"/>
      <c r="G58" s="383"/>
      <c r="H58" s="383"/>
      <c r="I58" s="394"/>
      <c r="J58" s="383"/>
      <c r="K58" s="383"/>
      <c r="L58" s="383"/>
      <c r="M58" s="392"/>
      <c r="N58" s="390"/>
    </row>
    <row r="59" spans="1:14" ht="15" customHeight="1">
      <c r="A59" s="368" t="s">
        <v>135</v>
      </c>
      <c r="B59" s="369" t="str">
        <f ca="1">CONCATENATE(WORLDCUP!AA25,"-",WORLDCUP!AF25)</f>
        <v>Marruecos-Haití</v>
      </c>
      <c r="C59" s="362" t="str">
        <f>CONCATENATE(IF(WORLDCUP!AC25&gt;WORLDCUP!AD25,1,IF(WORLDCUP!AC25&lt;WORLDCUP!AD25,2,IF(AND(WORLDCUP!AC25=WORLDCUP!AD25,WORLDCUP!AC25&lt;&gt;"",WORLDCUP!AD25&lt;&gt;""),"X",0))),"|",WORLDCUP!AC25,"-",WORLDCUP!AD25)</f>
        <v>1|1-0</v>
      </c>
      <c r="D59" s="714"/>
      <c r="E59" s="383"/>
      <c r="F59" s="383"/>
      <c r="G59" s="383"/>
      <c r="H59" s="383"/>
      <c r="I59" s="394"/>
      <c r="J59" s="383"/>
      <c r="K59" s="383"/>
      <c r="L59" s="383"/>
      <c r="M59" s="392"/>
      <c r="N59" s="390"/>
    </row>
    <row r="60" spans="1:14" ht="15" customHeight="1">
      <c r="A60" s="41" t="s">
        <v>136</v>
      </c>
      <c r="B60" s="370" t="str">
        <f ca="1">CONCATENATE(WORLDCUP!AA32,"-",WORLDCUP!AF32)</f>
        <v>PO C: TUR/ROU/SVK/KOS-Estados Unidos</v>
      </c>
      <c r="C60" s="362" t="str">
        <f>CONCATENATE(IF(WORLDCUP!AC32&gt;WORLDCUP!AD32,1,IF(WORLDCUP!AC32&lt;WORLDCUP!AD32,2,IF(AND(WORLDCUP!AC32=WORLDCUP!AD32,WORLDCUP!AC32&lt;&gt;"",WORLDCUP!AD32&lt;&gt;""),"X",0))),"|",WORLDCUP!AC32,"-",WORLDCUP!AD32)</f>
        <v>2|0-1</v>
      </c>
      <c r="D60" s="714"/>
      <c r="E60" s="383"/>
      <c r="F60" s="383"/>
      <c r="G60" s="383"/>
      <c r="H60" s="383"/>
      <c r="I60" s="394"/>
      <c r="J60" s="383"/>
      <c r="K60" s="383"/>
      <c r="L60" s="383"/>
      <c r="M60" s="392"/>
      <c r="N60" s="390"/>
    </row>
    <row r="61" spans="1:14" ht="15" customHeight="1">
      <c r="A61" s="41" t="s">
        <v>136</v>
      </c>
      <c r="B61" s="370" t="str">
        <f ca="1">CONCATENATE(WORLDCUP!AA33,"-",WORLDCUP!AF33)</f>
        <v>Paraguay-Australia</v>
      </c>
      <c r="C61" s="362" t="str">
        <f>CONCATENATE(IF(WORLDCUP!AC33&gt;WORLDCUP!AD33,1,IF(WORLDCUP!AC33&lt;WORLDCUP!AD33,2,IF(AND(WORLDCUP!AC33=WORLDCUP!AD33,WORLDCUP!AC33&lt;&gt;"",WORLDCUP!AD33&lt;&gt;""),"X",0))),"|",WORLDCUP!AC33,"-",WORLDCUP!AD33)</f>
        <v>X|1-1</v>
      </c>
      <c r="D61" s="714"/>
      <c r="E61" s="383"/>
      <c r="F61" s="383"/>
      <c r="G61" s="383"/>
      <c r="H61" s="383"/>
      <c r="I61" s="394"/>
      <c r="J61" s="383"/>
      <c r="K61" s="383"/>
      <c r="L61" s="383"/>
      <c r="M61" s="392"/>
      <c r="N61" s="390"/>
    </row>
    <row r="62" spans="1:14" ht="15" customHeight="1">
      <c r="A62" s="368" t="s">
        <v>137</v>
      </c>
      <c r="B62" s="369" t="str">
        <f ca="1">CONCATENATE(WORLDCUP!AA40,"-",WORLDCUP!AF40)</f>
        <v>Ecuador-Alemania</v>
      </c>
      <c r="C62" s="362" t="str">
        <f>CONCATENATE(IF(WORLDCUP!AC40&gt;WORLDCUP!AD40,1,IF(WORLDCUP!AC40&lt;WORLDCUP!AD40,2,IF(AND(WORLDCUP!AC40=WORLDCUP!AD40,WORLDCUP!AC40&lt;&gt;"",WORLDCUP!AD40&lt;&gt;""),"X",0))),"|",WORLDCUP!AC40,"-",WORLDCUP!AD40)</f>
        <v>2|1-2</v>
      </c>
      <c r="D62" s="714"/>
      <c r="E62" s="383"/>
      <c r="F62" s="383"/>
      <c r="G62" s="383"/>
      <c r="H62" s="383"/>
      <c r="I62" s="394"/>
      <c r="J62" s="383"/>
      <c r="K62" s="383"/>
      <c r="L62" s="383"/>
      <c r="M62" s="392"/>
      <c r="N62" s="390"/>
    </row>
    <row r="63" spans="1:14" ht="15" customHeight="1">
      <c r="A63" s="368" t="s">
        <v>137</v>
      </c>
      <c r="B63" s="369" t="str">
        <f ca="1">CONCATENATE(WORLDCUP!AA41,"-",WORLDCUP!AF41)</f>
        <v>Curazao-Costa de Marfil</v>
      </c>
      <c r="C63" s="362" t="str">
        <f>CONCATENATE(IF(WORLDCUP!AC41&gt;WORLDCUP!AD41,1,IF(WORLDCUP!AC41&lt;WORLDCUP!AD41,2,IF(AND(WORLDCUP!AC41=WORLDCUP!AD41,WORLDCUP!AC41&lt;&gt;"",WORLDCUP!AD41&lt;&gt;""),"X",0))),"|",WORLDCUP!AC41,"-",WORLDCUP!AD41)</f>
        <v>X|0-0</v>
      </c>
      <c r="D63" s="714"/>
      <c r="E63" s="383"/>
      <c r="F63" s="383"/>
      <c r="G63" s="383"/>
      <c r="H63" s="383"/>
      <c r="I63" s="394"/>
      <c r="J63" s="383"/>
      <c r="K63" s="383"/>
      <c r="L63" s="383"/>
      <c r="M63" s="392"/>
      <c r="N63" s="390"/>
    </row>
    <row r="64" spans="1:14" ht="15" customHeight="1">
      <c r="A64" s="41" t="s">
        <v>138</v>
      </c>
      <c r="B64" s="370" t="str">
        <f ca="1">CONCATENATE(WORLDCUP!AA48,"-",WORLDCUP!AF48)</f>
        <v>Japón-PO B: UKR/SWE/POL/ALB</v>
      </c>
      <c r="C64" s="362" t="str">
        <f>CONCATENATE(IF(WORLDCUP!AC48&gt;WORLDCUP!AD48,1,IF(WORLDCUP!AC48&lt;WORLDCUP!AD48,2,IF(AND(WORLDCUP!AC48=WORLDCUP!AD48,WORLDCUP!AC48&lt;&gt;"",WORLDCUP!AD48&lt;&gt;""),"X",0))),"|",WORLDCUP!AC48,"-",WORLDCUP!AD48)</f>
        <v>1|1-0</v>
      </c>
      <c r="D64" s="714"/>
      <c r="E64" s="383"/>
      <c r="F64" s="383"/>
      <c r="G64" s="383"/>
      <c r="H64" s="383"/>
      <c r="I64" s="394"/>
      <c r="J64" s="383"/>
      <c r="K64" s="383"/>
      <c r="L64" s="383"/>
      <c r="M64" s="392"/>
      <c r="N64" s="390"/>
    </row>
    <row r="65" spans="1:14" ht="15" customHeight="1">
      <c r="A65" s="41" t="s">
        <v>138</v>
      </c>
      <c r="B65" s="370" t="str">
        <f ca="1">CONCATENATE(WORLDCUP!AA49,"-",WORLDCUP!AF49)</f>
        <v>Túnez-Países Bajos</v>
      </c>
      <c r="C65" s="362" t="str">
        <f>CONCATENATE(IF(WORLDCUP!AC49&gt;WORLDCUP!AD49,1,IF(WORLDCUP!AC49&lt;WORLDCUP!AD49,2,IF(AND(WORLDCUP!AC49=WORLDCUP!AD49,WORLDCUP!AC49&lt;&gt;"",WORLDCUP!AD49&lt;&gt;""),"X",0))),"|",WORLDCUP!AC49,"-",WORLDCUP!AD49)</f>
        <v>1|2-0</v>
      </c>
      <c r="D65" s="714"/>
      <c r="E65" s="383"/>
      <c r="F65" s="383"/>
      <c r="G65" s="383"/>
      <c r="H65" s="383"/>
      <c r="I65" s="394"/>
      <c r="J65" s="383"/>
      <c r="K65" s="383"/>
      <c r="L65" s="383"/>
      <c r="M65" s="392"/>
      <c r="N65" s="390"/>
    </row>
    <row r="66" spans="1:14" ht="15" customHeight="1">
      <c r="A66" s="368" t="s">
        <v>189</v>
      </c>
      <c r="B66" s="369" t="str">
        <f ca="1">CONCATENATE(WORLDCUP!AA56,"-",WORLDCUP!AF56)</f>
        <v>Egipto-Irán</v>
      </c>
      <c r="C66" s="362" t="str">
        <f>CONCATENATE(IF(WORLDCUP!AC56&gt;WORLDCUP!AD56,1,IF(WORLDCUP!AC56&lt;WORLDCUP!AD56,2,IF(AND(WORLDCUP!AC56=WORLDCUP!AD56,WORLDCUP!AC56&lt;&gt;"",WORLDCUP!AD56&lt;&gt;""),"X",0))),"|",WORLDCUP!AC56,"-",WORLDCUP!AD56)</f>
        <v>X|0-0</v>
      </c>
      <c r="D66" s="714"/>
      <c r="E66" s="383"/>
      <c r="F66" s="383"/>
      <c r="G66" s="383"/>
      <c r="H66" s="383"/>
      <c r="I66" s="394"/>
      <c r="J66" s="383"/>
      <c r="K66" s="383"/>
      <c r="L66" s="383"/>
      <c r="M66" s="392"/>
      <c r="N66" s="390"/>
    </row>
    <row r="67" spans="1:14" ht="15" customHeight="1">
      <c r="A67" s="368" t="s">
        <v>189</v>
      </c>
      <c r="B67" s="369" t="str">
        <f ca="1">CONCATENATE(WORLDCUP!AA57,"-",WORLDCUP!AF57)</f>
        <v>Nueva Zelanda-Bélgica</v>
      </c>
      <c r="C67" s="362" t="str">
        <f>CONCATENATE(IF(WORLDCUP!AC57&gt;WORLDCUP!AD57,1,IF(WORLDCUP!AC57&lt;WORLDCUP!AD57,2,IF(AND(WORLDCUP!AC57=WORLDCUP!AD57,WORLDCUP!AC57&lt;&gt;"",WORLDCUP!AD57&lt;&gt;""),"X",0))),"|",WORLDCUP!AC57,"-",WORLDCUP!AD57)</f>
        <v>2|0-2</v>
      </c>
      <c r="D67" s="714"/>
      <c r="E67" s="383"/>
      <c r="F67" s="383"/>
      <c r="G67" s="383"/>
      <c r="H67" s="383"/>
      <c r="I67" s="394"/>
      <c r="J67" s="383"/>
      <c r="K67" s="383"/>
      <c r="L67" s="383"/>
      <c r="M67" s="392"/>
      <c r="N67" s="390"/>
    </row>
    <row r="68" spans="1:14" ht="15" customHeight="1">
      <c r="A68" s="41" t="s">
        <v>190</v>
      </c>
      <c r="B68" s="370" t="str">
        <f ca="1">CONCATENATE(WORLDCUP!AA64,"-",WORLDCUP!AF64)</f>
        <v>Cabo Verde-Arabia Saudita</v>
      </c>
      <c r="C68" s="362" t="str">
        <f>CONCATENATE(IF(WORLDCUP!AC64&gt;WORLDCUP!AD64,1,IF(WORLDCUP!AC64&lt;WORLDCUP!AD64,2,IF(AND(WORLDCUP!AC64=WORLDCUP!AD64,WORLDCUP!AC64&lt;&gt;"",WORLDCUP!AD64&lt;&gt;""),"X",0))),"|",WORLDCUP!AC64,"-",WORLDCUP!AD64)</f>
        <v>X|0-0</v>
      </c>
      <c r="D68" s="714"/>
      <c r="E68" s="383"/>
      <c r="F68" s="383"/>
      <c r="G68" s="383"/>
      <c r="H68" s="383"/>
      <c r="I68" s="394"/>
      <c r="J68" s="383"/>
      <c r="K68" s="383"/>
      <c r="L68" s="383"/>
      <c r="M68" s="392"/>
      <c r="N68" s="390"/>
    </row>
    <row r="69" spans="1:14" ht="15" customHeight="1">
      <c r="A69" s="41" t="s">
        <v>190</v>
      </c>
      <c r="B69" s="370" t="str">
        <f ca="1">CONCATENATE(WORLDCUP!AA65,"-",WORLDCUP!AF65)</f>
        <v>Uruguay-España</v>
      </c>
      <c r="C69" s="362" t="str">
        <f>CONCATENATE(IF(WORLDCUP!AC65&gt;WORLDCUP!AD65,1,IF(WORLDCUP!AC65&lt;WORLDCUP!AD65,2,IF(AND(WORLDCUP!AC65=WORLDCUP!AD65,WORLDCUP!AC65&lt;&gt;"",WORLDCUP!AD65&lt;&gt;""),"X",0))),"|",WORLDCUP!AC65,"-",WORLDCUP!AD65)</f>
        <v>2|0-2</v>
      </c>
      <c r="D69" s="714"/>
      <c r="E69" s="383"/>
      <c r="F69" s="383"/>
      <c r="G69" s="383"/>
      <c r="H69" s="383"/>
      <c r="I69" s="394"/>
      <c r="J69" s="383"/>
      <c r="K69" s="383"/>
      <c r="L69" s="383"/>
      <c r="M69" s="392"/>
      <c r="N69" s="390"/>
    </row>
    <row r="70" spans="1:14" ht="15" customHeight="1">
      <c r="A70" s="368" t="s">
        <v>191</v>
      </c>
      <c r="B70" s="369" t="str">
        <f ca="1">CONCATENATE(WORLDCUP!AA72,"-",WORLDCUP!AF72)</f>
        <v>Noruega-Francia</v>
      </c>
      <c r="C70" s="362" t="str">
        <f>CONCATENATE(IF(WORLDCUP!AC72&gt;WORLDCUP!AD72,1,IF(WORLDCUP!AC72&lt;WORLDCUP!AD72,2,IF(AND(WORLDCUP!AC72=WORLDCUP!AD72,WORLDCUP!AC72&lt;&gt;"",WORLDCUP!AD72&lt;&gt;""),"X",0))),"|",WORLDCUP!AC72,"-",WORLDCUP!AD72)</f>
        <v>1|1-0</v>
      </c>
      <c r="D70" s="714"/>
      <c r="E70" s="383"/>
      <c r="F70" s="383"/>
      <c r="G70" s="383"/>
      <c r="H70" s="383"/>
      <c r="I70" s="394"/>
      <c r="J70" s="383"/>
      <c r="K70" s="383"/>
      <c r="L70" s="383"/>
      <c r="M70" s="392"/>
      <c r="N70" s="390"/>
    </row>
    <row r="71" spans="1:14" ht="15" customHeight="1">
      <c r="A71" s="368" t="s">
        <v>191</v>
      </c>
      <c r="B71" s="369" t="str">
        <f ca="1">CONCATENATE(WORLDCUP!AA73,"-",WORLDCUP!AF73)</f>
        <v>Senegal-PO 2: IRQ/BOL/SUR</v>
      </c>
      <c r="C71" s="362" t="str">
        <f>CONCATENATE(IF(WORLDCUP!AC73&gt;WORLDCUP!AD73,1,IF(WORLDCUP!AC73&lt;WORLDCUP!AD73,2,IF(AND(WORLDCUP!AC73=WORLDCUP!AD73,WORLDCUP!AC73&lt;&gt;"",WORLDCUP!AD73&lt;&gt;""),"X",0))),"|",WORLDCUP!AC73,"-",WORLDCUP!AD73)</f>
        <v>1|1-0</v>
      </c>
      <c r="D71" s="714"/>
      <c r="E71" s="383"/>
      <c r="F71" s="383"/>
      <c r="G71" s="383"/>
      <c r="H71" s="383"/>
      <c r="I71" s="394"/>
      <c r="J71" s="383"/>
      <c r="K71" s="383"/>
      <c r="L71" s="383"/>
      <c r="M71" s="392"/>
      <c r="N71" s="390"/>
    </row>
    <row r="72" spans="1:14" ht="15" customHeight="1">
      <c r="A72" s="41" t="s">
        <v>30</v>
      </c>
      <c r="B72" s="370" t="str">
        <f ca="1">CONCATENATE(WORLDCUP!AA80,"-",WORLDCUP!AF80)</f>
        <v>Argelia-Austria</v>
      </c>
      <c r="C72" s="362" t="str">
        <f>CONCATENATE(IF(WORLDCUP!AC80&gt;WORLDCUP!AD80,1,IF(WORLDCUP!AC80&lt;WORLDCUP!AD80,2,IF(AND(WORLDCUP!AC80=WORLDCUP!AD80,WORLDCUP!AC80&lt;&gt;"",WORLDCUP!AD80&lt;&gt;""),"X",0))),"|",WORLDCUP!AC80,"-",WORLDCUP!AD80)</f>
        <v>2|0-1</v>
      </c>
      <c r="D72" s="714"/>
      <c r="E72" s="383"/>
      <c r="F72" s="383"/>
      <c r="G72" s="383"/>
      <c r="H72" s="383"/>
      <c r="I72" s="394"/>
      <c r="J72" s="383"/>
      <c r="K72" s="383"/>
      <c r="L72" s="383"/>
      <c r="M72" s="392"/>
      <c r="N72" s="390"/>
    </row>
    <row r="73" spans="1:14" ht="15" customHeight="1">
      <c r="A73" s="41" t="s">
        <v>30</v>
      </c>
      <c r="B73" s="370" t="str">
        <f ca="1">CONCATENATE(WORLDCUP!AA81,"-",WORLDCUP!AF81)</f>
        <v>Jordania-Argentina</v>
      </c>
      <c r="C73" s="362" t="str">
        <f>CONCATENATE(IF(WORLDCUP!AC81&gt;WORLDCUP!AD81,1,IF(WORLDCUP!AC81&lt;WORLDCUP!AD81,2,IF(AND(WORLDCUP!AC81=WORLDCUP!AD81,WORLDCUP!AC81&lt;&gt;"",WORLDCUP!AD81&lt;&gt;""),"X",0))),"|",WORLDCUP!AC81,"-",WORLDCUP!AD81)</f>
        <v>2|0-2</v>
      </c>
      <c r="D73" s="714"/>
      <c r="E73" s="383"/>
      <c r="F73" s="383"/>
      <c r="G73" s="383"/>
      <c r="H73" s="383"/>
      <c r="I73" s="394"/>
      <c r="J73" s="383"/>
      <c r="K73" s="383"/>
      <c r="L73" s="383"/>
      <c r="M73" s="392"/>
      <c r="N73" s="390"/>
    </row>
    <row r="74" spans="1:14" ht="15" customHeight="1">
      <c r="A74" s="368" t="s">
        <v>197</v>
      </c>
      <c r="B74" s="369" t="str">
        <f ca="1">CONCATENATE(WORLDCUP!AA88,"-",WORLDCUP!AF88)</f>
        <v>Colombia-Portugal</v>
      </c>
      <c r="C74" s="362" t="str">
        <f>CONCATENATE(IF(WORLDCUP!AC88&gt;WORLDCUP!AD88,1,IF(WORLDCUP!AC88&lt;WORLDCUP!AD88,2,IF(AND(WORLDCUP!AC88=WORLDCUP!AD88,WORLDCUP!AC88&lt;&gt;"",WORLDCUP!AD88&lt;&gt;""),"X",0))),"|",WORLDCUP!AC88,"-",WORLDCUP!AD88)</f>
        <v>1|1-0</v>
      </c>
      <c r="D74" s="714"/>
      <c r="E74" s="383"/>
      <c r="F74" s="383"/>
      <c r="G74" s="383"/>
      <c r="H74" s="383"/>
      <c r="I74" s="394"/>
      <c r="J74" s="383"/>
      <c r="K74" s="383"/>
      <c r="L74" s="383"/>
      <c r="M74" s="392"/>
      <c r="N74" s="390"/>
    </row>
    <row r="75" spans="1:14" ht="15" customHeight="1">
      <c r="A75" s="368" t="s">
        <v>197</v>
      </c>
      <c r="B75" s="369" t="str">
        <f ca="1">CONCATENATE(WORLDCUP!AA89,"-",WORLDCUP!AF89)</f>
        <v>PO 1: COD/JAM/NCL-Uzbekistán</v>
      </c>
      <c r="C75" s="362" t="str">
        <f>CONCATENATE(IF(WORLDCUP!AC89&gt;WORLDCUP!AD89,1,IF(WORLDCUP!AC89&lt;WORLDCUP!AD89,2,IF(AND(WORLDCUP!AC89=WORLDCUP!AD89,WORLDCUP!AC89&lt;&gt;"",WORLDCUP!AD89&lt;&gt;""),"X",0))),"|",WORLDCUP!AC89,"-",WORLDCUP!AD89)</f>
        <v>X|0-0</v>
      </c>
      <c r="D75" s="714"/>
      <c r="E75" s="383"/>
      <c r="F75" s="383"/>
      <c r="G75" s="383"/>
      <c r="H75" s="383"/>
      <c r="I75" s="394"/>
      <c r="J75" s="383"/>
      <c r="K75" s="383"/>
      <c r="L75" s="383"/>
      <c r="M75" s="392"/>
      <c r="N75" s="390"/>
    </row>
    <row r="76" spans="1:14" ht="15" customHeight="1">
      <c r="A76" s="41" t="s">
        <v>1219</v>
      </c>
      <c r="B76" s="370" t="str">
        <f ca="1">CONCATENATE(WORLDCUP!AA96,"-",WORLDCUP!AF96)</f>
        <v>Panamá-Inglaterra</v>
      </c>
      <c r="C76" s="362" t="str">
        <f>CONCATENATE(IF(WORLDCUP!AC96&gt;WORLDCUP!AD96,1,IF(WORLDCUP!AC96&lt;WORLDCUP!AD96,2,IF(AND(WORLDCUP!AC96=WORLDCUP!AD96,WORLDCUP!AC96&lt;&gt;"",WORLDCUP!AD96&lt;&gt;""),"X",0))),"|",WORLDCUP!AC96,"-",WORLDCUP!AD96)</f>
        <v>2|0-2</v>
      </c>
      <c r="D76" s="714"/>
      <c r="E76" s="383"/>
      <c r="F76" s="383"/>
      <c r="G76" s="383"/>
      <c r="H76" s="383"/>
      <c r="I76" s="394"/>
      <c r="J76" s="383"/>
      <c r="K76" s="383"/>
      <c r="L76" s="383"/>
      <c r="M76" s="392"/>
      <c r="N76" s="390"/>
    </row>
    <row r="77" spans="1:14" ht="15" customHeight="1">
      <c r="A77" s="41" t="s">
        <v>1219</v>
      </c>
      <c r="B77" s="370" t="str">
        <f ca="1">CONCATENATE(WORLDCUP!AA97,"-",WORLDCUP!AF97)</f>
        <v>Croacia-Ghana</v>
      </c>
      <c r="C77" s="362" t="str">
        <f>CONCATENATE(IF(WORLDCUP!AC97&gt;WORLDCUP!AD97,1,IF(WORLDCUP!AC97&lt;WORLDCUP!AD97,2,IF(AND(WORLDCUP!AC97=WORLDCUP!AD97,WORLDCUP!AC97&lt;&gt;"",WORLDCUP!AD97&lt;&gt;""),"X",0))),"|",WORLDCUP!AC97,"-",WORLDCUP!AD97)</f>
        <v>X|1-1</v>
      </c>
      <c r="D77" s="714"/>
      <c r="E77" s="383"/>
      <c r="F77" s="383"/>
      <c r="G77" s="383"/>
      <c r="H77" s="383"/>
      <c r="I77" s="394"/>
      <c r="J77" s="383"/>
      <c r="K77" s="383"/>
      <c r="L77" s="383"/>
      <c r="M77" s="392"/>
      <c r="N77" s="390"/>
    </row>
    <row r="78" spans="1:14" ht="15" customHeight="1">
      <c r="A78" s="366"/>
      <c r="B78" s="366"/>
      <c r="C78" s="363"/>
      <c r="D78" s="714"/>
      <c r="E78" s="383"/>
      <c r="F78" s="383"/>
      <c r="G78" s="383"/>
      <c r="H78" s="383"/>
      <c r="I78" s="394"/>
      <c r="J78" s="383"/>
      <c r="K78" s="383"/>
      <c r="L78" s="383"/>
      <c r="M78" s="392"/>
      <c r="N78" s="390"/>
    </row>
    <row r="79" spans="1:14" ht="19.05" customHeight="1">
      <c r="A79" s="366"/>
      <c r="B79" s="371" t="str">
        <f>Idiomas!D123</f>
        <v>POSICIÓN GRUPOS</v>
      </c>
      <c r="C79" s="363"/>
      <c r="D79" s="714"/>
      <c r="E79" s="383"/>
      <c r="F79" s="383"/>
      <c r="G79" s="383"/>
      <c r="H79" s="383"/>
      <c r="I79" s="394"/>
      <c r="J79" s="383"/>
      <c r="K79" s="383"/>
      <c r="L79" s="383"/>
      <c r="M79" s="392"/>
      <c r="N79" s="390"/>
    </row>
    <row r="80" spans="1:14" ht="15" customHeight="1">
      <c r="A80" s="717" t="s">
        <v>0</v>
      </c>
      <c r="B80" s="372" t="str">
        <f>Idiomas!D137</f>
        <v>1º GRUPO A</v>
      </c>
      <c r="C80" s="362" t="str">
        <f ca="1">IF(OR(SUM(WORLDCUP!$AN$6:$AN$9)=12,WORLDCUP!$AJ$99=144),WORLDCUP!AL6,B80)</f>
        <v>México</v>
      </c>
      <c r="D80" s="714"/>
      <c r="E80" s="383"/>
      <c r="F80" s="383"/>
      <c r="G80" s="383"/>
      <c r="H80" s="383"/>
      <c r="I80" s="394"/>
      <c r="J80" s="383"/>
      <c r="K80" s="383"/>
      <c r="L80" s="383"/>
      <c r="M80" s="392"/>
      <c r="N80" s="390"/>
    </row>
    <row r="81" spans="1:14" ht="15" customHeight="1">
      <c r="A81" s="717"/>
      <c r="B81" s="372" t="str">
        <f>Idiomas!D138</f>
        <v>2º GRUPO A</v>
      </c>
      <c r="C81" s="362" t="str">
        <f ca="1">IF(OR(SUM(WORLDCUP!$AN$6:$AN$9)=12,WORLDCUP!$AJ$99=144),WORLDCUP!AL7,B81)</f>
        <v>Sudáfrica</v>
      </c>
      <c r="D81" s="714"/>
      <c r="E81" s="383"/>
      <c r="F81" s="383"/>
      <c r="G81" s="383"/>
      <c r="H81" s="383"/>
      <c r="I81" s="394"/>
      <c r="J81" s="383"/>
      <c r="K81" s="383"/>
      <c r="L81" s="383"/>
      <c r="M81" s="392"/>
      <c r="N81" s="390"/>
    </row>
    <row r="82" spans="1:14" ht="15" customHeight="1">
      <c r="A82" s="717"/>
      <c r="B82" s="372" t="str">
        <f>Idiomas!D139</f>
        <v>3º GRUPO A</v>
      </c>
      <c r="C82" s="362" t="str">
        <f ca="1">IF(OR(SUM(WORLDCUP!$AN$6:$AN$9)=12,WORLDCUP!$AJ$99=144),WORLDCUP!AL8,B82)</f>
        <v>PO D: DEN/MKD/CZE/IRL</v>
      </c>
      <c r="D82" s="714"/>
      <c r="E82" s="383"/>
      <c r="F82" s="383"/>
      <c r="G82" s="383"/>
      <c r="H82" s="383"/>
      <c r="I82" s="394"/>
      <c r="J82" s="383"/>
      <c r="K82" s="383"/>
      <c r="L82" s="383"/>
      <c r="M82" s="392"/>
      <c r="N82" s="390"/>
    </row>
    <row r="83" spans="1:14" ht="15" customHeight="1">
      <c r="A83" s="717"/>
      <c r="B83" s="372" t="str">
        <f>Idiomas!D140</f>
        <v>4º GRUPO A</v>
      </c>
      <c r="C83" s="362" t="str">
        <f ca="1">IF(OR(SUM(WORLDCUP!$AN$6:$AN$9)=12,WORLDCUP!$AJ$99=144),WORLDCUP!AL9,B83)</f>
        <v>Corea del Sur</v>
      </c>
      <c r="D83" s="714"/>
      <c r="E83" s="383"/>
      <c r="F83" s="383"/>
      <c r="G83" s="383"/>
      <c r="H83" s="383"/>
      <c r="I83" s="394"/>
      <c r="J83" s="383"/>
      <c r="K83" s="383"/>
      <c r="L83" s="383"/>
      <c r="M83" s="392"/>
      <c r="N83" s="390"/>
    </row>
    <row r="84" spans="1:14" ht="15" customHeight="1">
      <c r="A84" s="716" t="s">
        <v>1</v>
      </c>
      <c r="B84" s="370" t="str">
        <f>Idiomas!D141</f>
        <v>1º GRUPO B</v>
      </c>
      <c r="C84" s="362" t="str">
        <f ca="1">IF(OR(SUM(WORLDCUP!$AN$14:$AN$17)=12,WORLDCUP!$AJ$99=144),WORLDCUP!AL14,B84)</f>
        <v>Suiza</v>
      </c>
      <c r="D84" s="714"/>
      <c r="E84" s="383"/>
      <c r="F84" s="383"/>
      <c r="G84" s="383"/>
      <c r="H84" s="383"/>
      <c r="I84" s="394"/>
      <c r="J84" s="383"/>
      <c r="K84" s="383"/>
      <c r="L84" s="383"/>
      <c r="M84" s="392"/>
      <c r="N84" s="390"/>
    </row>
    <row r="85" spans="1:14" ht="15" customHeight="1">
      <c r="A85" s="716"/>
      <c r="B85" s="370" t="str">
        <f>Idiomas!D142</f>
        <v>2º GRUPO B</v>
      </c>
      <c r="C85" s="362" t="str">
        <f ca="1">IF(OR(SUM(WORLDCUP!$AN$14:$AN$17)=12,WORLDCUP!$AJ$99=144),WORLDCUP!AL15,B85)</f>
        <v>Canadá</v>
      </c>
      <c r="D85" s="714"/>
      <c r="E85" s="383"/>
      <c r="F85" s="383"/>
      <c r="G85" s="383"/>
      <c r="H85" s="383"/>
      <c r="I85" s="394"/>
      <c r="J85" s="383"/>
      <c r="K85" s="383"/>
      <c r="L85" s="383"/>
      <c r="M85" s="392"/>
      <c r="N85" s="390"/>
    </row>
    <row r="86" spans="1:14" ht="15" customHeight="1">
      <c r="A86" s="716"/>
      <c r="B86" s="370" t="str">
        <f>Idiomas!D143</f>
        <v>3º GRUPO B</v>
      </c>
      <c r="C86" s="362" t="str">
        <f ca="1">IF(OR(SUM(WORLDCUP!$AN$14:$AN$17)=12,WORLDCUP!$AJ$99=144),WORLDCUP!AL16,B86)</f>
        <v>Catar</v>
      </c>
      <c r="D86" s="714"/>
      <c r="E86" s="383"/>
      <c r="F86" s="383"/>
      <c r="G86" s="383"/>
      <c r="H86" s="383"/>
      <c r="I86" s="394"/>
      <c r="J86" s="383"/>
      <c r="K86" s="383"/>
      <c r="L86" s="383"/>
      <c r="M86" s="392"/>
      <c r="N86" s="390"/>
    </row>
    <row r="87" spans="1:14" ht="15" customHeight="1">
      <c r="A87" s="716"/>
      <c r="B87" s="370" t="str">
        <f>Idiomas!D144</f>
        <v>4º GRUPO B</v>
      </c>
      <c r="C87" s="362" t="str">
        <f ca="1">IF(OR(SUM(WORLDCUP!$AN$14:$AN$17)=12,WORLDCUP!$AJ$99=144),WORLDCUP!AL17,B87)</f>
        <v>PO A: ITA/NIR/WAL/BIH</v>
      </c>
      <c r="D87" s="714"/>
      <c r="E87" s="383"/>
      <c r="F87" s="383"/>
      <c r="G87" s="383"/>
      <c r="H87" s="383"/>
      <c r="I87" s="394"/>
      <c r="J87" s="383"/>
      <c r="K87" s="383"/>
      <c r="L87" s="383"/>
      <c r="M87" s="392"/>
      <c r="N87" s="390"/>
    </row>
    <row r="88" spans="1:14" ht="15" customHeight="1">
      <c r="A88" s="717" t="s">
        <v>2</v>
      </c>
      <c r="B88" s="372" t="str">
        <f>Idiomas!D145</f>
        <v>1º GRUPO C</v>
      </c>
      <c r="C88" s="362" t="str">
        <f ca="1">IF(OR(SUM(WORLDCUP!$AN$22:$AN$25)=12,WORLDCUP!$AJ$99=144),WORLDCUP!AL22,B88)</f>
        <v>Brasil</v>
      </c>
      <c r="D88" s="714"/>
      <c r="E88" s="383"/>
      <c r="F88" s="383"/>
      <c r="G88" s="383"/>
      <c r="H88" s="383"/>
      <c r="I88" s="394"/>
      <c r="J88" s="383"/>
      <c r="K88" s="383"/>
      <c r="L88" s="383"/>
      <c r="M88" s="392"/>
      <c r="N88" s="390"/>
    </row>
    <row r="89" spans="1:14" ht="15" customHeight="1">
      <c r="A89" s="717"/>
      <c r="B89" s="372" t="str">
        <f>Idiomas!D146</f>
        <v>2º GRUPO C</v>
      </c>
      <c r="C89" s="362" t="str">
        <f ca="1">IF(OR(SUM(WORLDCUP!$AN$22:$AN$25)=12,WORLDCUP!$AJ$99=144),WORLDCUP!AL23,B89)</f>
        <v>Marruecos</v>
      </c>
      <c r="D89" s="714"/>
      <c r="E89" s="383"/>
      <c r="F89" s="383"/>
      <c r="G89" s="383"/>
      <c r="H89" s="383"/>
      <c r="I89" s="394"/>
      <c r="J89" s="383"/>
      <c r="K89" s="383"/>
      <c r="L89" s="383"/>
      <c r="M89" s="392"/>
      <c r="N89" s="390"/>
    </row>
    <row r="90" spans="1:14" ht="15" customHeight="1">
      <c r="A90" s="717"/>
      <c r="B90" s="372" t="str">
        <f>Idiomas!D147</f>
        <v>3º GRUPO C</v>
      </c>
      <c r="C90" s="362" t="str">
        <f ca="1">IF(OR(SUM(WORLDCUP!$AN$22:$AN$25)=12,WORLDCUP!$AJ$99=144),WORLDCUP!AL24,B90)</f>
        <v>Escocia</v>
      </c>
      <c r="D90" s="714"/>
      <c r="E90" s="383"/>
      <c r="F90" s="383"/>
      <c r="G90" s="383"/>
      <c r="H90" s="383"/>
      <c r="I90" s="394"/>
      <c r="J90" s="383"/>
      <c r="K90" s="383"/>
      <c r="L90" s="383"/>
      <c r="M90" s="392"/>
      <c r="N90" s="390"/>
    </row>
    <row r="91" spans="1:14" ht="15" customHeight="1">
      <c r="A91" s="717"/>
      <c r="B91" s="372" t="str">
        <f>Idiomas!D148</f>
        <v>4º GRUPO C</v>
      </c>
      <c r="C91" s="362" t="str">
        <f ca="1">IF(OR(SUM(WORLDCUP!$AN$22:$AN$25)=12,WORLDCUP!$AJ$99=144),WORLDCUP!AL25,B91)</f>
        <v>Haití</v>
      </c>
      <c r="D91" s="714"/>
      <c r="E91" s="383"/>
      <c r="F91" s="383"/>
      <c r="G91" s="383"/>
      <c r="H91" s="383"/>
      <c r="I91" s="394"/>
      <c r="J91" s="383"/>
      <c r="K91" s="383"/>
      <c r="L91" s="383"/>
      <c r="M91" s="392"/>
      <c r="N91" s="390"/>
    </row>
    <row r="92" spans="1:14" ht="15" customHeight="1">
      <c r="A92" s="716" t="s">
        <v>75</v>
      </c>
      <c r="B92" s="370" t="str">
        <f>Idiomas!D149</f>
        <v>1º GRUPO D</v>
      </c>
      <c r="C92" s="362" t="str">
        <f ca="1">IF(OR(SUM(WORLDCUP!$AN$30:$AN$33)=12,WORLDCUP!$AJ$99=144),WORLDCUP!AL30,B92)</f>
        <v>Estados Unidos</v>
      </c>
      <c r="D92" s="714"/>
      <c r="E92" s="383"/>
      <c r="F92" s="383"/>
      <c r="G92" s="383"/>
      <c r="H92" s="383"/>
      <c r="I92" s="394"/>
      <c r="J92" s="383"/>
      <c r="K92" s="383"/>
      <c r="L92" s="383"/>
      <c r="M92" s="392"/>
      <c r="N92" s="390"/>
    </row>
    <row r="93" spans="1:14" ht="15" customHeight="1">
      <c r="A93" s="716"/>
      <c r="B93" s="370" t="str">
        <f>Idiomas!D150</f>
        <v>2º GRUPO D</v>
      </c>
      <c r="C93" s="362" t="str">
        <f ca="1">IF(OR(SUM(WORLDCUP!$AN$30:$AN$33)=12,WORLDCUP!$AJ$99=144),WORLDCUP!AL31,B93)</f>
        <v>Paraguay</v>
      </c>
      <c r="D93" s="714"/>
      <c r="E93" s="383"/>
      <c r="F93" s="383"/>
      <c r="G93" s="383"/>
      <c r="H93" s="383"/>
      <c r="I93" s="394"/>
      <c r="J93" s="383"/>
      <c r="K93" s="383"/>
      <c r="L93" s="383"/>
      <c r="M93" s="392"/>
      <c r="N93" s="390"/>
    </row>
    <row r="94" spans="1:14" ht="15" customHeight="1">
      <c r="A94" s="716"/>
      <c r="B94" s="370" t="str">
        <f>Idiomas!D151</f>
        <v>3º GRUPO D</v>
      </c>
      <c r="C94" s="362" t="str">
        <f ca="1">IF(OR(SUM(WORLDCUP!$AN$30:$AN$33)=12,WORLDCUP!$AJ$99=144),WORLDCUP!AL32,B94)</f>
        <v>Australia</v>
      </c>
      <c r="D94" s="714"/>
      <c r="E94" s="383"/>
      <c r="F94" s="383"/>
      <c r="G94" s="383"/>
      <c r="H94" s="383"/>
      <c r="I94" s="394"/>
      <c r="J94" s="383"/>
      <c r="K94" s="383"/>
      <c r="L94" s="383"/>
      <c r="M94" s="392"/>
      <c r="N94" s="390"/>
    </row>
    <row r="95" spans="1:14" ht="15" customHeight="1">
      <c r="A95" s="716"/>
      <c r="B95" s="370" t="str">
        <f>Idiomas!D152</f>
        <v>4º GRUPO D</v>
      </c>
      <c r="C95" s="362" t="str">
        <f ca="1">IF(OR(SUM(WORLDCUP!$AN$30:$AN$33)=12,WORLDCUP!$AJ$99=144),WORLDCUP!AL33,B95)</f>
        <v>PO C: TUR/ROU/SVK/KOS</v>
      </c>
      <c r="D95" s="714"/>
      <c r="E95" s="383"/>
      <c r="F95" s="383"/>
      <c r="G95" s="383"/>
      <c r="H95" s="383"/>
      <c r="I95" s="394"/>
      <c r="J95" s="383"/>
      <c r="K95" s="383"/>
      <c r="L95" s="383"/>
      <c r="M95" s="392"/>
      <c r="N95" s="390"/>
    </row>
    <row r="96" spans="1:14" ht="15" customHeight="1">
      <c r="A96" s="717" t="s">
        <v>3</v>
      </c>
      <c r="B96" s="372" t="str">
        <f>Idiomas!D153</f>
        <v>1º GRUPO E</v>
      </c>
      <c r="C96" s="362" t="str">
        <f ca="1">IF(OR(SUM(WORLDCUP!$AN$38:$AN$41)=12,WORLDCUP!$AJ$99=144),WORLDCUP!AL38,B96)</f>
        <v>Alemania</v>
      </c>
      <c r="D96" s="714"/>
      <c r="E96" s="383"/>
      <c r="F96" s="383"/>
      <c r="G96" s="383"/>
      <c r="H96" s="383"/>
      <c r="I96" s="394"/>
      <c r="J96" s="383"/>
      <c r="K96" s="383"/>
      <c r="L96" s="383"/>
      <c r="M96" s="392"/>
      <c r="N96" s="390"/>
    </row>
    <row r="97" spans="1:14" ht="15" customHeight="1">
      <c r="A97" s="717"/>
      <c r="B97" s="372" t="str">
        <f>Idiomas!D154</f>
        <v>2º GRUPO E</v>
      </c>
      <c r="C97" s="362" t="str">
        <f ca="1">IF(OR(SUM(WORLDCUP!$AN$38:$AN$41)=12,WORLDCUP!$AJ$99=144),WORLDCUP!AL39,B97)</f>
        <v>Ecuador</v>
      </c>
      <c r="D97" s="714"/>
      <c r="E97" s="383"/>
      <c r="F97" s="383"/>
      <c r="G97" s="383"/>
      <c r="H97" s="383"/>
      <c r="I97" s="394"/>
      <c r="J97" s="383"/>
      <c r="K97" s="383"/>
      <c r="L97" s="383"/>
      <c r="M97" s="392"/>
      <c r="N97" s="390"/>
    </row>
    <row r="98" spans="1:14" ht="15" customHeight="1">
      <c r="A98" s="717"/>
      <c r="B98" s="372" t="str">
        <f>Idiomas!D155</f>
        <v>3º GRUPO E</v>
      </c>
      <c r="C98" s="362" t="str">
        <f ca="1">IF(OR(SUM(WORLDCUP!$AN$38:$AN$41)=12,WORLDCUP!$AJ$99=144),WORLDCUP!AL40,B98)</f>
        <v>Curazao</v>
      </c>
      <c r="D98" s="714"/>
      <c r="E98" s="383"/>
      <c r="F98" s="383"/>
      <c r="G98" s="383"/>
      <c r="H98" s="383"/>
      <c r="I98" s="394"/>
      <c r="J98" s="383"/>
      <c r="K98" s="383"/>
      <c r="L98" s="383"/>
      <c r="M98" s="392"/>
      <c r="N98" s="390"/>
    </row>
    <row r="99" spans="1:14" ht="15" customHeight="1">
      <c r="A99" s="717"/>
      <c r="B99" s="372" t="str">
        <f>Idiomas!D156</f>
        <v>4º GRUPO E</v>
      </c>
      <c r="C99" s="362" t="str">
        <f ca="1">IF(OR(SUM(WORLDCUP!$AN$38:$AN$41)=12,WORLDCUP!$AJ$99=144),WORLDCUP!AL41,B99)</f>
        <v>Costa de Marfil</v>
      </c>
      <c r="D99" s="714"/>
      <c r="E99" s="383"/>
      <c r="F99" s="383"/>
      <c r="G99" s="383"/>
      <c r="H99" s="383"/>
      <c r="I99" s="394"/>
      <c r="J99" s="383"/>
      <c r="K99" s="383"/>
      <c r="L99" s="383"/>
      <c r="M99" s="392"/>
      <c r="N99" s="390"/>
    </row>
    <row r="100" spans="1:14" ht="15" customHeight="1">
      <c r="A100" s="716" t="s">
        <v>4</v>
      </c>
      <c r="B100" s="370" t="str">
        <f>Idiomas!D157</f>
        <v>1º GRUPO F</v>
      </c>
      <c r="C100" s="362" t="str">
        <f ca="1">IF(OR(SUM(WORLDCUP!$AN$46:$AN$49)=12,WORLDCUP!$AJ$99=144),WORLDCUP!AL46,B100)</f>
        <v>Túnez</v>
      </c>
      <c r="D100" s="714"/>
      <c r="E100" s="383"/>
      <c r="F100" s="383"/>
      <c r="G100" s="383"/>
      <c r="H100" s="383"/>
      <c r="I100" s="394"/>
      <c r="J100" s="383"/>
      <c r="K100" s="383"/>
      <c r="L100" s="383"/>
      <c r="M100" s="392"/>
      <c r="N100" s="390"/>
    </row>
    <row r="101" spans="1:14" ht="15" customHeight="1">
      <c r="A101" s="716"/>
      <c r="B101" s="370" t="str">
        <f>Idiomas!D158</f>
        <v>2º GRUPO F</v>
      </c>
      <c r="C101" s="362" t="str">
        <f ca="1">IF(OR(SUM(WORLDCUP!$AN$46:$AN$49)=12,WORLDCUP!$AJ$99=144),WORLDCUP!AL47,B101)</f>
        <v>Países Bajos</v>
      </c>
      <c r="D101" s="714"/>
      <c r="E101" s="383"/>
      <c r="F101" s="383"/>
      <c r="G101" s="383"/>
      <c r="H101" s="383"/>
      <c r="I101" s="394"/>
      <c r="J101" s="383"/>
      <c r="K101" s="383"/>
      <c r="L101" s="383"/>
      <c r="M101" s="392"/>
      <c r="N101" s="390"/>
    </row>
    <row r="102" spans="1:14" ht="15" customHeight="1">
      <c r="A102" s="716"/>
      <c r="B102" s="370" t="str">
        <f>Idiomas!D159</f>
        <v>3º GRUPO F</v>
      </c>
      <c r="C102" s="362" t="str">
        <f ca="1">IF(OR(SUM(WORLDCUP!$AN$46:$AN$49)=12,WORLDCUP!$AJ$99=144),WORLDCUP!AL48,B102)</f>
        <v>Japón</v>
      </c>
      <c r="D102" s="714"/>
      <c r="E102" s="383"/>
      <c r="F102" s="383"/>
      <c r="G102" s="383"/>
      <c r="H102" s="383"/>
      <c r="I102" s="394"/>
      <c r="J102" s="383"/>
      <c r="K102" s="383"/>
      <c r="L102" s="383"/>
      <c r="M102" s="392"/>
      <c r="N102" s="390"/>
    </row>
    <row r="103" spans="1:14" ht="15" customHeight="1">
      <c r="A103" s="716"/>
      <c r="B103" s="370" t="str">
        <f>Idiomas!D160</f>
        <v>4º GRUPO F</v>
      </c>
      <c r="C103" s="362" t="str">
        <f ca="1">IF(OR(SUM(WORLDCUP!$AN$46:$AN$49)=12,WORLDCUP!$AJ$99=144),WORLDCUP!AL49,B103)</f>
        <v>PO B: UKR/SWE/POL/ALB</v>
      </c>
      <c r="D103" s="714"/>
      <c r="E103" s="383"/>
      <c r="F103" s="383"/>
      <c r="G103" s="383"/>
      <c r="H103" s="383"/>
      <c r="I103" s="394"/>
      <c r="J103" s="383"/>
      <c r="K103" s="383"/>
      <c r="L103" s="383"/>
      <c r="M103" s="392"/>
      <c r="N103" s="390"/>
    </row>
    <row r="104" spans="1:14" ht="15" customHeight="1">
      <c r="A104" s="717" t="s">
        <v>6</v>
      </c>
      <c r="B104" s="372" t="str">
        <f>Idiomas!D161</f>
        <v>1º GRUPO G</v>
      </c>
      <c r="C104" s="362" t="str">
        <f ca="1">IF(OR(SUM(WORLDCUP!$AN$54:$AN$57)=12,WORLDCUP!$AJ$99=144),WORLDCUP!AL54,B104)</f>
        <v>Bélgica</v>
      </c>
      <c r="D104" s="714"/>
      <c r="E104" s="383"/>
      <c r="F104" s="383"/>
      <c r="G104" s="383"/>
      <c r="H104" s="383"/>
      <c r="I104" s="394"/>
      <c r="J104" s="383"/>
      <c r="K104" s="383"/>
      <c r="L104" s="383"/>
      <c r="M104" s="392"/>
      <c r="N104" s="390"/>
    </row>
    <row r="105" spans="1:14" ht="15" customHeight="1">
      <c r="A105" s="717"/>
      <c r="B105" s="372" t="str">
        <f>Idiomas!D162</f>
        <v>2º GRUPO G</v>
      </c>
      <c r="C105" s="362" t="str">
        <f ca="1">IF(OR(SUM(WORLDCUP!$AN$54:$AN$57)=12,WORLDCUP!$AJ$99=144),WORLDCUP!AL55,B105)</f>
        <v>Nueva Zelanda</v>
      </c>
      <c r="D105" s="714"/>
      <c r="E105" s="383"/>
      <c r="F105" s="383"/>
      <c r="G105" s="383"/>
      <c r="H105" s="383"/>
      <c r="I105" s="394"/>
      <c r="J105" s="383"/>
      <c r="K105" s="383"/>
      <c r="L105" s="383"/>
      <c r="M105" s="392"/>
      <c r="N105" s="390"/>
    </row>
    <row r="106" spans="1:14" ht="15" customHeight="1">
      <c r="A106" s="717"/>
      <c r="B106" s="372" t="str">
        <f>Idiomas!D163</f>
        <v>3º GRUPO G</v>
      </c>
      <c r="C106" s="362" t="str">
        <f ca="1">IF(OR(SUM(WORLDCUP!$AN$54:$AN$57)=12,WORLDCUP!$AJ$99=144),WORLDCUP!AL56,B106)</f>
        <v>Egipto</v>
      </c>
      <c r="D106" s="714"/>
      <c r="E106" s="383"/>
      <c r="F106" s="383"/>
      <c r="G106" s="383"/>
      <c r="H106" s="383"/>
      <c r="I106" s="394"/>
      <c r="J106" s="383"/>
      <c r="K106" s="383"/>
      <c r="L106" s="383"/>
      <c r="M106" s="392"/>
      <c r="N106" s="390"/>
    </row>
    <row r="107" spans="1:14" ht="15" customHeight="1">
      <c r="A107" s="717"/>
      <c r="B107" s="372" t="str">
        <f>Idiomas!D164</f>
        <v>4º GRUPO G</v>
      </c>
      <c r="C107" s="362" t="str">
        <f ca="1">IF(OR(SUM(WORLDCUP!$AN$54:$AN$57)=12,WORLDCUP!$AJ$99=144),WORLDCUP!AL57,B107)</f>
        <v>Irán</v>
      </c>
      <c r="D107" s="714"/>
      <c r="E107" s="383"/>
      <c r="F107" s="383"/>
      <c r="G107" s="383"/>
      <c r="H107" s="383"/>
      <c r="I107" s="394"/>
      <c r="J107" s="383"/>
      <c r="K107" s="383"/>
      <c r="L107" s="383"/>
      <c r="M107" s="392"/>
      <c r="N107" s="390"/>
    </row>
    <row r="108" spans="1:14" ht="15" customHeight="1">
      <c r="A108" s="716" t="s">
        <v>454</v>
      </c>
      <c r="B108" s="370" t="str">
        <f>Idiomas!D165</f>
        <v>1º GRUPO H</v>
      </c>
      <c r="C108" s="362" t="str">
        <f ca="1">IF(OR(SUM(WORLDCUP!$AN$62:$AN$65)=12,WORLDCUP!$AJ$99=144),WORLDCUP!AL62,B108)</f>
        <v>España</v>
      </c>
      <c r="D108" s="714"/>
      <c r="E108" s="383"/>
      <c r="F108" s="383"/>
      <c r="G108" s="383"/>
      <c r="H108" s="383"/>
      <c r="I108" s="394"/>
      <c r="J108" s="383"/>
      <c r="K108" s="383"/>
      <c r="L108" s="383"/>
      <c r="M108" s="392"/>
      <c r="N108" s="390"/>
    </row>
    <row r="109" spans="1:14" ht="15" customHeight="1">
      <c r="A109" s="716"/>
      <c r="B109" s="370" t="str">
        <f>Idiomas!D166</f>
        <v>2º GRUPO H</v>
      </c>
      <c r="C109" s="362" t="str">
        <f ca="1">IF(OR(SUM(WORLDCUP!$AN$62:$AN$65)=12,WORLDCUP!$AJ$99=144),WORLDCUP!AL63,B109)</f>
        <v>Uruguay</v>
      </c>
      <c r="D109" s="714"/>
      <c r="E109" s="383"/>
      <c r="F109" s="383"/>
      <c r="G109" s="383"/>
      <c r="H109" s="383"/>
      <c r="I109" s="394"/>
      <c r="J109" s="383"/>
      <c r="K109" s="383"/>
      <c r="L109" s="383"/>
      <c r="M109" s="392"/>
      <c r="N109" s="390"/>
    </row>
    <row r="110" spans="1:14" ht="15" customHeight="1">
      <c r="A110" s="716"/>
      <c r="B110" s="370" t="str">
        <f>Idiomas!D167</f>
        <v>3º GRUPO H</v>
      </c>
      <c r="C110" s="362" t="str">
        <f ca="1">IF(OR(SUM(WORLDCUP!$AN$62:$AN$65)=12,WORLDCUP!$AJ$99=144),WORLDCUP!AL64,B110)</f>
        <v>Arabia Saudita</v>
      </c>
      <c r="D110" s="714"/>
      <c r="E110" s="383"/>
      <c r="F110" s="383"/>
      <c r="G110" s="383"/>
      <c r="H110" s="383"/>
      <c r="I110" s="394"/>
      <c r="J110" s="383"/>
      <c r="K110" s="383"/>
      <c r="L110" s="383"/>
      <c r="M110" s="392"/>
      <c r="N110" s="390"/>
    </row>
    <row r="111" spans="1:14" ht="15" customHeight="1">
      <c r="A111" s="716"/>
      <c r="B111" s="370" t="str">
        <f>Idiomas!D168</f>
        <v>4º GRUPO H</v>
      </c>
      <c r="C111" s="362" t="str">
        <f ca="1">IF(OR(SUM(WORLDCUP!$AN$62:$AN$65)=12,WORLDCUP!$AJ$99=144),WORLDCUP!AL65,B111)</f>
        <v>Cabo Verde</v>
      </c>
      <c r="D111" s="714"/>
      <c r="E111" s="383"/>
      <c r="F111" s="383"/>
      <c r="G111" s="383"/>
      <c r="H111" s="383"/>
      <c r="I111" s="394"/>
      <c r="J111" s="383"/>
      <c r="K111" s="383"/>
      <c r="L111" s="383"/>
      <c r="M111" s="392"/>
      <c r="N111" s="390"/>
    </row>
    <row r="112" spans="1:14" ht="15" customHeight="1">
      <c r="A112" s="717" t="s">
        <v>455</v>
      </c>
      <c r="B112" s="372" t="str">
        <f>Idiomas!D169</f>
        <v>1º GRUPO I</v>
      </c>
      <c r="C112" s="362" t="str">
        <f ca="1">IF(OR(SUM(WORLDCUP!$AN$70:$AN$73)=12,WORLDCUP!$AJ$99=144),WORLDCUP!AL70,B112)</f>
        <v>Francia</v>
      </c>
      <c r="D112" s="714"/>
      <c r="E112" s="383"/>
      <c r="F112" s="383"/>
      <c r="G112" s="383"/>
      <c r="H112" s="383"/>
      <c r="I112" s="394"/>
      <c r="J112" s="383"/>
      <c r="K112" s="383"/>
      <c r="L112" s="383"/>
      <c r="M112" s="392"/>
      <c r="N112" s="390"/>
    </row>
    <row r="113" spans="1:14" ht="15" customHeight="1">
      <c r="A113" s="717"/>
      <c r="B113" s="372" t="str">
        <f>Idiomas!D170</f>
        <v>2º GRUPO I</v>
      </c>
      <c r="C113" s="362" t="str">
        <f ca="1">IF(OR(SUM(WORLDCUP!$AN$70:$AN$73)=12,WORLDCUP!$AJ$99=144),WORLDCUP!AL71,B113)</f>
        <v>Senegal</v>
      </c>
      <c r="D113" s="714"/>
      <c r="E113" s="383"/>
      <c r="F113" s="383"/>
      <c r="G113" s="383"/>
      <c r="H113" s="383"/>
      <c r="I113" s="394"/>
      <c r="J113" s="383"/>
      <c r="K113" s="383"/>
      <c r="L113" s="383"/>
      <c r="M113" s="392"/>
      <c r="N113" s="390"/>
    </row>
    <row r="114" spans="1:14" ht="15" customHeight="1">
      <c r="A114" s="717"/>
      <c r="B114" s="372" t="str">
        <f>Idiomas!D171</f>
        <v>3º GRUPO I</v>
      </c>
      <c r="C114" s="362" t="str">
        <f ca="1">IF(OR(SUM(WORLDCUP!$AN$70:$AN$73)=12,WORLDCUP!$AJ$99=144),WORLDCUP!AL72,B114)</f>
        <v>Noruega</v>
      </c>
      <c r="D114" s="714"/>
      <c r="E114" s="383"/>
      <c r="F114" s="383"/>
      <c r="G114" s="383"/>
      <c r="H114" s="383"/>
      <c r="I114" s="394"/>
      <c r="J114" s="383"/>
      <c r="K114" s="383"/>
      <c r="L114" s="383"/>
      <c r="M114" s="392"/>
      <c r="N114" s="390"/>
    </row>
    <row r="115" spans="1:14" ht="15" customHeight="1">
      <c r="A115" s="717"/>
      <c r="B115" s="372" t="str">
        <f>Idiomas!D172</f>
        <v>4º GRUPO I</v>
      </c>
      <c r="C115" s="362" t="str">
        <f ca="1">IF(OR(SUM(WORLDCUP!$AN$70:$AN$73)=12,WORLDCUP!$AJ$99=144),WORLDCUP!AL73,B115)</f>
        <v>PO 2: IRQ/BOL/SUR</v>
      </c>
      <c r="D115" s="714"/>
      <c r="E115" s="383"/>
      <c r="F115" s="383"/>
      <c r="G115" s="383"/>
      <c r="H115" s="383"/>
      <c r="I115" s="394"/>
      <c r="J115" s="383"/>
      <c r="K115" s="383"/>
      <c r="L115" s="383"/>
      <c r="M115" s="392"/>
      <c r="N115" s="390"/>
    </row>
    <row r="116" spans="1:14" ht="15" customHeight="1">
      <c r="A116" s="716" t="s">
        <v>5</v>
      </c>
      <c r="B116" s="370" t="str">
        <f>Idiomas!D173</f>
        <v>1º GRUPO J</v>
      </c>
      <c r="C116" s="362" t="str">
        <f ca="1">IF(OR(SUM(WORLDCUP!$AN$78:$AN$81)=12,WORLDCUP!$AJ$99=144),WORLDCUP!AL78,B116)</f>
        <v>Argentina</v>
      </c>
      <c r="D116" s="714"/>
      <c r="E116" s="383"/>
      <c r="F116" s="383"/>
      <c r="G116" s="383"/>
      <c r="H116" s="383"/>
      <c r="I116" s="394"/>
      <c r="J116" s="383"/>
      <c r="K116" s="383"/>
      <c r="L116" s="383"/>
      <c r="M116" s="392"/>
      <c r="N116" s="390"/>
    </row>
    <row r="117" spans="1:14" ht="15" customHeight="1">
      <c r="A117" s="716"/>
      <c r="B117" s="370" t="str">
        <f>Idiomas!D174</f>
        <v>2º GRUPO J</v>
      </c>
      <c r="C117" s="362" t="str">
        <f ca="1">IF(OR(SUM(WORLDCUP!$AN$78:$AN$81)=12,WORLDCUP!$AJ$99=144),WORLDCUP!AL79,B117)</f>
        <v>Austria</v>
      </c>
      <c r="D117" s="714"/>
      <c r="E117" s="383"/>
      <c r="F117" s="383"/>
      <c r="G117" s="383"/>
      <c r="H117" s="383"/>
      <c r="I117" s="394"/>
      <c r="J117" s="383"/>
      <c r="K117" s="383"/>
      <c r="L117" s="383"/>
      <c r="M117" s="392"/>
      <c r="N117" s="390"/>
    </row>
    <row r="118" spans="1:14" ht="15" customHeight="1">
      <c r="A118" s="716"/>
      <c r="B118" s="370" t="str">
        <f>Idiomas!D175</f>
        <v>3º GRUPO J</v>
      </c>
      <c r="C118" s="362" t="str">
        <f ca="1">IF(OR(SUM(WORLDCUP!$AN$78:$AN$81)=12,WORLDCUP!$AJ$99=144),WORLDCUP!AL80,B118)</f>
        <v>Argelia</v>
      </c>
      <c r="D118" s="714"/>
      <c r="E118" s="383"/>
      <c r="F118" s="383"/>
      <c r="G118" s="383"/>
      <c r="H118" s="383"/>
      <c r="I118" s="394"/>
      <c r="J118" s="383"/>
      <c r="K118" s="383"/>
      <c r="L118" s="383"/>
      <c r="M118" s="392"/>
      <c r="N118" s="390"/>
    </row>
    <row r="119" spans="1:14" ht="15" customHeight="1">
      <c r="A119" s="716"/>
      <c r="B119" s="370" t="str">
        <f>Idiomas!D176</f>
        <v>4º GRUPO J</v>
      </c>
      <c r="C119" s="362" t="str">
        <f ca="1">IF(OR(SUM(WORLDCUP!$AN$78:$AN$81)=12,WORLDCUP!$AJ$99=144),WORLDCUP!AL81,B119)</f>
        <v>Jordania</v>
      </c>
      <c r="D119" s="714"/>
      <c r="E119" s="383"/>
      <c r="F119" s="383"/>
      <c r="G119" s="383"/>
      <c r="H119" s="383"/>
      <c r="I119" s="394"/>
      <c r="J119" s="383"/>
      <c r="K119" s="383"/>
      <c r="L119" s="383"/>
      <c r="M119" s="392"/>
      <c r="N119" s="390"/>
    </row>
    <row r="120" spans="1:14" ht="15" customHeight="1">
      <c r="A120" s="717" t="s">
        <v>456</v>
      </c>
      <c r="B120" s="372" t="str">
        <f>Idiomas!D177</f>
        <v>1º GRUPO K</v>
      </c>
      <c r="C120" s="362" t="str">
        <f ca="1">IF(OR(SUM(WORLDCUP!$AN$86:$AN$89)=12,WORLDCUP!$AJ$99=144),WORLDCUP!AL86,B120)</f>
        <v>Colombia</v>
      </c>
      <c r="D120" s="714"/>
      <c r="E120" s="383"/>
      <c r="F120" s="383"/>
      <c r="G120" s="383"/>
      <c r="H120" s="383"/>
      <c r="I120" s="394"/>
      <c r="J120" s="383"/>
      <c r="K120" s="383"/>
      <c r="L120" s="383"/>
      <c r="M120" s="392"/>
      <c r="N120" s="390"/>
    </row>
    <row r="121" spans="1:14" ht="15" customHeight="1">
      <c r="A121" s="717"/>
      <c r="B121" s="372" t="str">
        <f>Idiomas!D178</f>
        <v>2º GRUPO K</v>
      </c>
      <c r="C121" s="362" t="str">
        <f ca="1">IF(OR(SUM(WORLDCUP!$AN$86:$AN$89)=12,WORLDCUP!$AJ$99=144),WORLDCUP!AL87,B121)</f>
        <v>Portugal</v>
      </c>
      <c r="D121" s="714"/>
      <c r="E121" s="383"/>
      <c r="F121" s="383"/>
      <c r="G121" s="383"/>
      <c r="H121" s="383"/>
      <c r="I121" s="394"/>
      <c r="J121" s="383"/>
      <c r="K121" s="383"/>
      <c r="L121" s="383"/>
      <c r="M121" s="392"/>
      <c r="N121" s="390"/>
    </row>
    <row r="122" spans="1:14" ht="15" customHeight="1">
      <c r="A122" s="717"/>
      <c r="B122" s="372" t="str">
        <f>Idiomas!D179</f>
        <v>3º GRUPO K</v>
      </c>
      <c r="C122" s="362" t="str">
        <f ca="1">IF(OR(SUM(WORLDCUP!$AN$86:$AN$89)=12,WORLDCUP!$AJ$99=144),WORLDCUP!AL88,B122)</f>
        <v>PO 1: COD/JAM/NCL</v>
      </c>
      <c r="D122" s="714"/>
      <c r="E122" s="383"/>
      <c r="F122" s="383"/>
      <c r="G122" s="383"/>
      <c r="H122" s="383"/>
      <c r="I122" s="394"/>
      <c r="J122" s="383"/>
      <c r="K122" s="383"/>
      <c r="L122" s="383"/>
      <c r="M122" s="392"/>
      <c r="N122" s="390"/>
    </row>
    <row r="123" spans="1:14" ht="15" customHeight="1">
      <c r="A123" s="717"/>
      <c r="B123" s="372" t="str">
        <f>Idiomas!D180</f>
        <v>4º GRUPO K</v>
      </c>
      <c r="C123" s="362" t="str">
        <f ca="1">IF(OR(SUM(WORLDCUP!$AN$86:$AN$89)=12,WORLDCUP!$AJ$99=144),WORLDCUP!AL89,B123)</f>
        <v>Uzbekistán</v>
      </c>
      <c r="D123" s="714"/>
      <c r="E123" s="383"/>
      <c r="F123" s="383"/>
      <c r="G123" s="383"/>
      <c r="H123" s="383"/>
      <c r="I123" s="394"/>
      <c r="J123" s="383"/>
      <c r="K123" s="383"/>
      <c r="L123" s="383"/>
      <c r="M123" s="392"/>
      <c r="N123" s="390"/>
    </row>
    <row r="124" spans="1:14" ht="15" customHeight="1">
      <c r="A124" s="716" t="s">
        <v>254</v>
      </c>
      <c r="B124" s="370" t="str">
        <f>Idiomas!D181</f>
        <v>1º GRUPO L</v>
      </c>
      <c r="C124" s="362" t="str">
        <f ca="1">IF(OR(SUM(WORLDCUP!$AN$94:$AN$97)=12,WORLDCUP!$AJ$99=144),WORLDCUP!AL94,B124)</f>
        <v>Inglaterra</v>
      </c>
      <c r="D124" s="714"/>
      <c r="E124" s="383"/>
      <c r="F124" s="383"/>
      <c r="G124" s="383"/>
      <c r="H124" s="383"/>
      <c r="I124" s="394"/>
      <c r="J124" s="383"/>
      <c r="K124" s="383"/>
      <c r="L124" s="383"/>
      <c r="M124" s="392"/>
      <c r="N124" s="390"/>
    </row>
    <row r="125" spans="1:14" ht="15" customHeight="1">
      <c r="A125" s="716"/>
      <c r="B125" s="370" t="str">
        <f>Idiomas!D182</f>
        <v>2º GRUPO L</v>
      </c>
      <c r="C125" s="362" t="str">
        <f ca="1">IF(OR(SUM(WORLDCUP!$AN$94:$AN$97)=12,WORLDCUP!$AJ$99=144),WORLDCUP!AL95,B125)</f>
        <v>Croacia</v>
      </c>
      <c r="D125" s="714"/>
      <c r="E125" s="383"/>
      <c r="F125" s="383"/>
      <c r="G125" s="383"/>
      <c r="H125" s="383"/>
      <c r="I125" s="394"/>
      <c r="J125" s="383"/>
      <c r="K125" s="383"/>
      <c r="L125" s="383"/>
      <c r="M125" s="392"/>
      <c r="N125" s="390"/>
    </row>
    <row r="126" spans="1:14" ht="15" customHeight="1">
      <c r="A126" s="716"/>
      <c r="B126" s="370" t="str">
        <f>Idiomas!D183</f>
        <v>3º GRUPO L</v>
      </c>
      <c r="C126" s="362" t="str">
        <f ca="1">IF(OR(SUM(WORLDCUP!$AN$94:$AN$97)=12,WORLDCUP!$AJ$99=144),WORLDCUP!AL96,B126)</f>
        <v>Ghana</v>
      </c>
      <c r="D126" s="714"/>
      <c r="E126" s="383"/>
      <c r="F126" s="383"/>
      <c r="G126" s="383"/>
      <c r="H126" s="383"/>
      <c r="I126" s="394"/>
      <c r="J126" s="383"/>
      <c r="K126" s="383"/>
      <c r="L126" s="383"/>
      <c r="M126" s="392"/>
      <c r="N126" s="390"/>
    </row>
    <row r="127" spans="1:14" ht="15" customHeight="1">
      <c r="A127" s="716"/>
      <c r="B127" s="370" t="str">
        <f>Idiomas!D184</f>
        <v>4º GRUPO L</v>
      </c>
      <c r="C127" s="362" t="str">
        <f ca="1">IF(OR(SUM(WORLDCUP!$AN$94:$AN$97)=12,WORLDCUP!$AJ$99=144),WORLDCUP!AL97,B127)</f>
        <v>Panamá</v>
      </c>
      <c r="D127" s="714"/>
      <c r="E127" s="383"/>
      <c r="F127" s="383"/>
      <c r="G127" s="383"/>
      <c r="H127" s="383"/>
      <c r="I127" s="394"/>
      <c r="J127" s="383"/>
      <c r="K127" s="383"/>
      <c r="L127" s="383"/>
      <c r="M127" s="392"/>
      <c r="N127" s="390"/>
    </row>
    <row r="128" spans="1:14" ht="15" customHeight="1">
      <c r="A128" s="366"/>
      <c r="B128" s="366"/>
      <c r="C128" s="363"/>
      <c r="D128" s="714"/>
      <c r="E128" s="383"/>
      <c r="F128" s="383"/>
      <c r="G128" s="383"/>
      <c r="H128" s="383"/>
      <c r="I128" s="394"/>
      <c r="J128" s="383"/>
      <c r="K128" s="383"/>
      <c r="L128" s="383"/>
      <c r="M128" s="392"/>
      <c r="N128" s="390"/>
    </row>
    <row r="129" spans="1:14" ht="19.05" customHeight="1">
      <c r="A129" s="366"/>
      <c r="B129" s="371" t="str">
        <f>Idiomas!D124</f>
        <v>CLASIFICADOS PARA DIECISEISAVOS</v>
      </c>
      <c r="C129" s="363"/>
      <c r="D129" s="714"/>
      <c r="E129" s="383"/>
      <c r="F129" s="383"/>
      <c r="G129" s="383"/>
      <c r="H129" s="383"/>
      <c r="I129" s="394"/>
      <c r="J129" s="383"/>
      <c r="K129" s="383"/>
      <c r="L129" s="383"/>
      <c r="M129" s="392"/>
      <c r="N129" s="390"/>
    </row>
    <row r="130" spans="1:14" ht="15" customHeight="1">
      <c r="A130" s="711" t="s">
        <v>500</v>
      </c>
      <c r="B130" s="373" t="str">
        <f>Idiomas!$D$185</f>
        <v>Dieciseisavofinalista</v>
      </c>
      <c r="C130" s="362" t="str">
        <f ca="1">WORLDCUP!AA101</f>
        <v>Sudáfrica</v>
      </c>
      <c r="D130" s="714"/>
      <c r="E130" s="383"/>
      <c r="F130" s="383"/>
      <c r="G130" s="383"/>
      <c r="H130" s="383"/>
      <c r="I130" s="394"/>
      <c r="J130" s="383"/>
      <c r="K130" s="383"/>
      <c r="L130" s="383"/>
      <c r="M130" s="392"/>
      <c r="N130" s="390"/>
    </row>
    <row r="131" spans="1:14" ht="15" customHeight="1">
      <c r="A131" s="711"/>
      <c r="B131" s="373" t="str">
        <f>B130</f>
        <v>Dieciseisavofinalista</v>
      </c>
      <c r="C131" s="362" t="str">
        <f ca="1">WORLDCUP!AA102</f>
        <v>Brasil</v>
      </c>
      <c r="D131" s="714"/>
      <c r="E131" s="383"/>
      <c r="F131" s="383"/>
      <c r="G131" s="383"/>
      <c r="H131" s="383"/>
      <c r="I131" s="394"/>
      <c r="J131" s="383"/>
      <c r="K131" s="383"/>
      <c r="L131" s="383"/>
      <c r="M131" s="392"/>
      <c r="N131" s="390"/>
    </row>
    <row r="132" spans="1:14" ht="15" customHeight="1">
      <c r="A132" s="711"/>
      <c r="B132" s="373" t="str">
        <f t="shared" ref="B132:B145" si="0">B131</f>
        <v>Dieciseisavofinalista</v>
      </c>
      <c r="C132" s="362" t="str">
        <f ca="1">WORLDCUP!AA103</f>
        <v>Alemania</v>
      </c>
      <c r="D132" s="714"/>
      <c r="E132" s="383"/>
      <c r="F132" s="383"/>
      <c r="G132" s="383"/>
      <c r="H132" s="383"/>
      <c r="I132" s="394"/>
      <c r="J132" s="383"/>
      <c r="K132" s="383"/>
      <c r="L132" s="383"/>
      <c r="M132" s="392"/>
      <c r="N132" s="390"/>
    </row>
    <row r="133" spans="1:14" ht="15" customHeight="1">
      <c r="A133" s="711"/>
      <c r="B133" s="373" t="str">
        <f t="shared" si="0"/>
        <v>Dieciseisavofinalista</v>
      </c>
      <c r="C133" s="362" t="str">
        <f ca="1">WORLDCUP!AA104</f>
        <v>Túnez</v>
      </c>
      <c r="D133" s="714"/>
      <c r="E133" s="383"/>
      <c r="F133" s="383"/>
      <c r="G133" s="383"/>
      <c r="H133" s="383"/>
      <c r="I133" s="394"/>
      <c r="J133" s="383"/>
      <c r="K133" s="383"/>
      <c r="L133" s="383"/>
      <c r="M133" s="392"/>
      <c r="N133" s="390"/>
    </row>
    <row r="134" spans="1:14" ht="15" customHeight="1">
      <c r="A134" s="711"/>
      <c r="B134" s="373" t="str">
        <f t="shared" si="0"/>
        <v>Dieciseisavofinalista</v>
      </c>
      <c r="C134" s="362" t="str">
        <f ca="1">WORLDCUP!AA105</f>
        <v>Ecuador</v>
      </c>
      <c r="D134" s="714"/>
      <c r="E134" s="383"/>
      <c r="F134" s="383"/>
      <c r="G134" s="383"/>
      <c r="H134" s="383"/>
      <c r="I134" s="394"/>
      <c r="J134" s="383"/>
      <c r="K134" s="383"/>
      <c r="L134" s="383"/>
      <c r="M134" s="392"/>
      <c r="N134" s="390"/>
    </row>
    <row r="135" spans="1:14" ht="15" customHeight="1">
      <c r="A135" s="711"/>
      <c r="B135" s="373" t="str">
        <f t="shared" si="0"/>
        <v>Dieciseisavofinalista</v>
      </c>
      <c r="C135" s="362" t="str">
        <f ca="1">WORLDCUP!AA106</f>
        <v>Francia</v>
      </c>
      <c r="D135" s="714"/>
      <c r="E135" s="383"/>
      <c r="F135" s="383"/>
      <c r="G135" s="383"/>
      <c r="H135" s="383"/>
      <c r="I135" s="394"/>
      <c r="J135" s="383"/>
      <c r="K135" s="383"/>
      <c r="L135" s="383"/>
      <c r="M135" s="392"/>
      <c r="N135" s="390"/>
    </row>
    <row r="136" spans="1:14" ht="15" customHeight="1">
      <c r="A136" s="711"/>
      <c r="B136" s="373" t="str">
        <f t="shared" si="0"/>
        <v>Dieciseisavofinalista</v>
      </c>
      <c r="C136" s="362" t="str">
        <f ca="1">WORLDCUP!AA107</f>
        <v>México</v>
      </c>
      <c r="D136" s="714"/>
      <c r="E136" s="383"/>
      <c r="F136" s="383"/>
      <c r="G136" s="383"/>
      <c r="H136" s="383"/>
      <c r="I136" s="394"/>
      <c r="J136" s="383"/>
      <c r="K136" s="383"/>
      <c r="L136" s="383"/>
      <c r="M136" s="392"/>
      <c r="N136" s="390"/>
    </row>
    <row r="137" spans="1:14" ht="15" customHeight="1">
      <c r="A137" s="711"/>
      <c r="B137" s="373" t="str">
        <f t="shared" si="0"/>
        <v>Dieciseisavofinalista</v>
      </c>
      <c r="C137" s="362" t="str">
        <f ca="1">WORLDCUP!AA108</f>
        <v>Inglaterra</v>
      </c>
      <c r="D137" s="714"/>
      <c r="E137" s="383"/>
      <c r="F137" s="383"/>
      <c r="G137" s="383"/>
      <c r="H137" s="383"/>
      <c r="I137" s="394"/>
      <c r="J137" s="383"/>
      <c r="K137" s="383"/>
      <c r="L137" s="383"/>
      <c r="M137" s="392"/>
      <c r="N137" s="390"/>
    </row>
    <row r="138" spans="1:14" ht="15" customHeight="1">
      <c r="A138" s="711"/>
      <c r="B138" s="373" t="str">
        <f t="shared" si="0"/>
        <v>Dieciseisavofinalista</v>
      </c>
      <c r="C138" s="362" t="str">
        <f ca="1">WORLDCUP!AA109</f>
        <v>Bélgica</v>
      </c>
      <c r="D138" s="714"/>
      <c r="E138" s="383"/>
      <c r="F138" s="383"/>
      <c r="G138" s="383"/>
      <c r="H138" s="383"/>
      <c r="I138" s="394"/>
      <c r="J138" s="383"/>
      <c r="K138" s="383"/>
      <c r="L138" s="383"/>
      <c r="M138" s="392"/>
      <c r="N138" s="390"/>
    </row>
    <row r="139" spans="1:14" ht="15" customHeight="1">
      <c r="A139" s="711"/>
      <c r="B139" s="373" t="str">
        <f t="shared" si="0"/>
        <v>Dieciseisavofinalista</v>
      </c>
      <c r="C139" s="362" t="str">
        <f ca="1">WORLDCUP!AA110</f>
        <v>Estados Unidos</v>
      </c>
      <c r="D139" s="714"/>
      <c r="E139" s="383"/>
      <c r="F139" s="383"/>
      <c r="G139" s="383"/>
      <c r="H139" s="383"/>
      <c r="I139" s="394"/>
      <c r="J139" s="383"/>
      <c r="K139" s="383"/>
      <c r="L139" s="383"/>
      <c r="M139" s="392"/>
      <c r="N139" s="390"/>
    </row>
    <row r="140" spans="1:14" ht="15" customHeight="1">
      <c r="A140" s="711"/>
      <c r="B140" s="373" t="str">
        <f t="shared" si="0"/>
        <v>Dieciseisavofinalista</v>
      </c>
      <c r="C140" s="362" t="str">
        <f ca="1">WORLDCUP!AA111</f>
        <v>España</v>
      </c>
      <c r="D140" s="714"/>
      <c r="E140" s="383"/>
      <c r="F140" s="383"/>
      <c r="G140" s="383"/>
      <c r="H140" s="383"/>
      <c r="I140" s="394"/>
      <c r="J140" s="383"/>
      <c r="K140" s="383"/>
      <c r="L140" s="383"/>
      <c r="M140" s="392"/>
      <c r="N140" s="390"/>
    </row>
    <row r="141" spans="1:14" ht="15" customHeight="1">
      <c r="A141" s="711"/>
      <c r="B141" s="373" t="str">
        <f t="shared" si="0"/>
        <v>Dieciseisavofinalista</v>
      </c>
      <c r="C141" s="362" t="str">
        <f ca="1">WORLDCUP!AA112</f>
        <v>Portugal</v>
      </c>
      <c r="D141" s="714"/>
      <c r="E141" s="383"/>
      <c r="F141" s="383"/>
      <c r="G141" s="383"/>
      <c r="H141" s="383"/>
      <c r="I141" s="394"/>
      <c r="J141" s="383"/>
      <c r="K141" s="383"/>
      <c r="L141" s="383"/>
      <c r="M141" s="392"/>
      <c r="N141" s="390"/>
    </row>
    <row r="142" spans="1:14" ht="15" customHeight="1">
      <c r="A142" s="711"/>
      <c r="B142" s="373" t="str">
        <f t="shared" si="0"/>
        <v>Dieciseisavofinalista</v>
      </c>
      <c r="C142" s="362" t="str">
        <f ca="1">WORLDCUP!AA113</f>
        <v>Suiza</v>
      </c>
      <c r="D142" s="714"/>
      <c r="E142" s="383"/>
      <c r="F142" s="383"/>
      <c r="G142" s="383"/>
      <c r="H142" s="383"/>
      <c r="I142" s="394"/>
      <c r="J142" s="383"/>
      <c r="K142" s="383"/>
      <c r="L142" s="383"/>
      <c r="M142" s="392"/>
      <c r="N142" s="390"/>
    </row>
    <row r="143" spans="1:14" ht="15" customHeight="1">
      <c r="A143" s="711"/>
      <c r="B143" s="373" t="str">
        <f t="shared" si="0"/>
        <v>Dieciseisavofinalista</v>
      </c>
      <c r="C143" s="362" t="str">
        <f ca="1">WORLDCUP!AA114</f>
        <v>Paraguay</v>
      </c>
      <c r="D143" s="714"/>
      <c r="E143" s="383"/>
      <c r="F143" s="383"/>
      <c r="G143" s="383"/>
      <c r="H143" s="383"/>
      <c r="I143" s="394"/>
      <c r="J143" s="383"/>
      <c r="K143" s="383"/>
      <c r="L143" s="383"/>
      <c r="M143" s="392"/>
      <c r="N143" s="390"/>
    </row>
    <row r="144" spans="1:14" ht="15" customHeight="1">
      <c r="A144" s="711"/>
      <c r="B144" s="373" t="str">
        <f t="shared" si="0"/>
        <v>Dieciseisavofinalista</v>
      </c>
      <c r="C144" s="362" t="str">
        <f ca="1">WORLDCUP!AA115</f>
        <v>Argentina</v>
      </c>
      <c r="D144" s="714"/>
      <c r="E144" s="383"/>
      <c r="F144" s="383"/>
      <c r="G144" s="383"/>
      <c r="H144" s="383"/>
      <c r="I144" s="394"/>
      <c r="J144" s="383"/>
      <c r="K144" s="383"/>
      <c r="L144" s="383"/>
      <c r="M144" s="392"/>
      <c r="N144" s="390"/>
    </row>
    <row r="145" spans="1:14" ht="15" customHeight="1">
      <c r="A145" s="711"/>
      <c r="B145" s="373" t="str">
        <f t="shared" si="0"/>
        <v>Dieciseisavofinalista</v>
      </c>
      <c r="C145" s="362" t="str">
        <f ca="1">WORLDCUP!AA116</f>
        <v>Colombia</v>
      </c>
      <c r="D145" s="714"/>
      <c r="E145" s="383"/>
      <c r="F145" s="383"/>
      <c r="G145" s="383"/>
      <c r="H145" s="383"/>
      <c r="I145" s="394"/>
      <c r="J145" s="383"/>
      <c r="K145" s="383"/>
      <c r="L145" s="383"/>
      <c r="M145" s="392"/>
      <c r="N145" s="390"/>
    </row>
    <row r="146" spans="1:14" ht="15" customHeight="1">
      <c r="A146" s="711"/>
      <c r="B146" s="373" t="str">
        <f>Idiomas!$D$185</f>
        <v>Dieciseisavofinalista</v>
      </c>
      <c r="C146" s="362" t="str">
        <f ca="1">WORLDCUP!AF101</f>
        <v>Canadá</v>
      </c>
      <c r="D146" s="714"/>
      <c r="E146" s="383"/>
      <c r="F146" s="383"/>
      <c r="G146" s="383"/>
      <c r="H146" s="383"/>
      <c r="I146" s="394"/>
      <c r="J146" s="383"/>
      <c r="K146" s="383"/>
      <c r="L146" s="383"/>
      <c r="M146" s="392"/>
      <c r="N146" s="390"/>
    </row>
    <row r="147" spans="1:14" ht="15" customHeight="1">
      <c r="A147" s="711"/>
      <c r="B147" s="373" t="str">
        <f>B146</f>
        <v>Dieciseisavofinalista</v>
      </c>
      <c r="C147" s="362" t="str">
        <f ca="1">WORLDCUP!AF102</f>
        <v>Países Bajos</v>
      </c>
      <c r="D147" s="714"/>
      <c r="E147" s="383"/>
      <c r="F147" s="383"/>
      <c r="G147" s="383"/>
      <c r="H147" s="383"/>
      <c r="I147" s="394"/>
      <c r="J147" s="383"/>
      <c r="K147" s="383"/>
      <c r="L147" s="383"/>
      <c r="M147" s="392"/>
      <c r="N147" s="390"/>
    </row>
    <row r="148" spans="1:14" ht="15" customHeight="1">
      <c r="A148" s="711"/>
      <c r="B148" s="373" t="str">
        <f t="shared" ref="B148:B161" si="1">B147</f>
        <v>Dieciseisavofinalista</v>
      </c>
      <c r="C148" s="362" t="str">
        <f ca="1">WORLDCUP!AF103</f>
        <v>Escocia</v>
      </c>
      <c r="D148" s="714"/>
      <c r="E148" s="383"/>
      <c r="F148" s="383"/>
      <c r="G148" s="383"/>
      <c r="H148" s="383"/>
      <c r="I148" s="394"/>
      <c r="J148" s="383"/>
      <c r="K148" s="383"/>
      <c r="L148" s="383"/>
      <c r="M148" s="392"/>
      <c r="N148" s="390"/>
    </row>
    <row r="149" spans="1:14" ht="15" customHeight="1">
      <c r="A149" s="711"/>
      <c r="B149" s="373" t="str">
        <f t="shared" si="1"/>
        <v>Dieciseisavofinalista</v>
      </c>
      <c r="C149" s="362" t="str">
        <f ca="1">WORLDCUP!AF104</f>
        <v>Marruecos</v>
      </c>
      <c r="D149" s="714"/>
      <c r="E149" s="383"/>
      <c r="F149" s="383"/>
      <c r="G149" s="383"/>
      <c r="H149" s="383"/>
      <c r="I149" s="394"/>
      <c r="J149" s="383"/>
      <c r="K149" s="383"/>
      <c r="L149" s="383"/>
      <c r="M149" s="392"/>
      <c r="N149" s="390"/>
    </row>
    <row r="150" spans="1:14" ht="15" customHeight="1">
      <c r="A150" s="711"/>
      <c r="B150" s="373" t="str">
        <f t="shared" si="1"/>
        <v>Dieciseisavofinalista</v>
      </c>
      <c r="C150" s="362" t="str">
        <f ca="1">WORLDCUP!AF105</f>
        <v>Senegal</v>
      </c>
      <c r="D150" s="714"/>
      <c r="E150" s="383"/>
      <c r="F150" s="383"/>
      <c r="G150" s="383"/>
      <c r="H150" s="383"/>
      <c r="I150" s="394"/>
      <c r="J150" s="383"/>
      <c r="K150" s="383"/>
      <c r="L150" s="383"/>
      <c r="M150" s="392"/>
      <c r="N150" s="390"/>
    </row>
    <row r="151" spans="1:14" ht="15" customHeight="1">
      <c r="A151" s="711"/>
      <c r="B151" s="373" t="str">
        <f t="shared" si="1"/>
        <v>Dieciseisavofinalista</v>
      </c>
      <c r="C151" s="362" t="str">
        <f ca="1">WORLDCUP!AF106</f>
        <v>Japón</v>
      </c>
      <c r="D151" s="714"/>
      <c r="E151" s="383"/>
      <c r="F151" s="383"/>
      <c r="G151" s="383"/>
      <c r="H151" s="383"/>
      <c r="I151" s="394"/>
      <c r="J151" s="383"/>
      <c r="K151" s="383"/>
      <c r="L151" s="383"/>
      <c r="M151" s="392"/>
      <c r="N151" s="390"/>
    </row>
    <row r="152" spans="1:14" ht="15" customHeight="1">
      <c r="A152" s="711"/>
      <c r="B152" s="373" t="str">
        <f t="shared" si="1"/>
        <v>Dieciseisavofinalista</v>
      </c>
      <c r="C152" s="362" t="str">
        <f ca="1">WORLDCUP!AF107</f>
        <v>Arabia Saudita</v>
      </c>
      <c r="D152" s="714"/>
      <c r="E152" s="383"/>
      <c r="F152" s="383"/>
      <c r="G152" s="383"/>
      <c r="H152" s="383"/>
      <c r="I152" s="394"/>
      <c r="J152" s="383"/>
      <c r="K152" s="383"/>
      <c r="L152" s="383"/>
      <c r="M152" s="392"/>
      <c r="N152" s="390"/>
    </row>
    <row r="153" spans="1:14" ht="15" customHeight="1">
      <c r="A153" s="711"/>
      <c r="B153" s="373" t="str">
        <f t="shared" si="1"/>
        <v>Dieciseisavofinalista</v>
      </c>
      <c r="C153" s="362" t="str">
        <f ca="1">WORLDCUP!AF108</f>
        <v>Noruega</v>
      </c>
      <c r="D153" s="714"/>
      <c r="E153" s="383"/>
      <c r="F153" s="383"/>
      <c r="G153" s="383"/>
      <c r="H153" s="383"/>
      <c r="I153" s="394"/>
      <c r="J153" s="383"/>
      <c r="K153" s="383"/>
      <c r="L153" s="383"/>
      <c r="M153" s="392"/>
      <c r="N153" s="390"/>
    </row>
    <row r="154" spans="1:14" ht="15" customHeight="1">
      <c r="A154" s="711"/>
      <c r="B154" s="373" t="str">
        <f t="shared" si="1"/>
        <v>Dieciseisavofinalista</v>
      </c>
      <c r="C154" s="362" t="str">
        <f ca="1">WORLDCUP!AF109</f>
        <v>PO D: DEN/MKD/CZE/IRL</v>
      </c>
      <c r="D154" s="714"/>
      <c r="E154" s="383"/>
      <c r="F154" s="383"/>
      <c r="G154" s="383"/>
      <c r="H154" s="383"/>
      <c r="I154" s="394"/>
      <c r="J154" s="383"/>
      <c r="K154" s="383"/>
      <c r="L154" s="383"/>
      <c r="M154" s="392"/>
      <c r="N154" s="390"/>
    </row>
    <row r="155" spans="1:14" ht="15" customHeight="1">
      <c r="A155" s="711"/>
      <c r="B155" s="373" t="str">
        <f t="shared" si="1"/>
        <v>Dieciseisavofinalista</v>
      </c>
      <c r="C155" s="362" t="str">
        <f ca="1">WORLDCUP!AF110</f>
        <v>Catar</v>
      </c>
      <c r="D155" s="714"/>
      <c r="E155" s="383"/>
      <c r="F155" s="383"/>
      <c r="G155" s="383"/>
      <c r="H155" s="383"/>
      <c r="I155" s="394"/>
      <c r="J155" s="383"/>
      <c r="K155" s="383"/>
      <c r="L155" s="383"/>
      <c r="M155" s="392"/>
      <c r="N155" s="390"/>
    </row>
    <row r="156" spans="1:14" ht="15" customHeight="1">
      <c r="A156" s="711"/>
      <c r="B156" s="373" t="str">
        <f t="shared" si="1"/>
        <v>Dieciseisavofinalista</v>
      </c>
      <c r="C156" s="362" t="str">
        <f ca="1">WORLDCUP!AF111</f>
        <v>Austria</v>
      </c>
      <c r="D156" s="714"/>
      <c r="E156" s="383"/>
      <c r="F156" s="383"/>
      <c r="G156" s="383"/>
      <c r="H156" s="383"/>
      <c r="I156" s="394"/>
      <c r="J156" s="383"/>
      <c r="K156" s="383"/>
      <c r="L156" s="383"/>
      <c r="M156" s="392"/>
      <c r="N156" s="390"/>
    </row>
    <row r="157" spans="1:14" ht="15" customHeight="1">
      <c r="A157" s="711"/>
      <c r="B157" s="373" t="str">
        <f t="shared" si="1"/>
        <v>Dieciseisavofinalista</v>
      </c>
      <c r="C157" s="362" t="str">
        <f ca="1">WORLDCUP!AF112</f>
        <v>Croacia</v>
      </c>
      <c r="D157" s="714"/>
      <c r="E157" s="383"/>
      <c r="F157" s="383"/>
      <c r="G157" s="383"/>
      <c r="H157" s="383"/>
      <c r="I157" s="394"/>
      <c r="J157" s="383"/>
      <c r="K157" s="383"/>
      <c r="L157" s="383"/>
      <c r="M157" s="392"/>
      <c r="N157" s="390"/>
    </row>
    <row r="158" spans="1:14" ht="15" customHeight="1">
      <c r="A158" s="711"/>
      <c r="B158" s="373" t="str">
        <f t="shared" si="1"/>
        <v>Dieciseisavofinalista</v>
      </c>
      <c r="C158" s="362" t="str">
        <f ca="1">WORLDCUP!AF113</f>
        <v>Egipto</v>
      </c>
      <c r="D158" s="714"/>
      <c r="E158" s="383"/>
      <c r="F158" s="383"/>
      <c r="G158" s="383"/>
      <c r="H158" s="383"/>
      <c r="I158" s="394"/>
      <c r="J158" s="383"/>
      <c r="K158" s="383"/>
      <c r="L158" s="383"/>
      <c r="M158" s="392"/>
      <c r="N158" s="390"/>
    </row>
    <row r="159" spans="1:14" ht="15" customHeight="1">
      <c r="A159" s="711"/>
      <c r="B159" s="373" t="str">
        <f t="shared" si="1"/>
        <v>Dieciseisavofinalista</v>
      </c>
      <c r="C159" s="362" t="str">
        <f ca="1">WORLDCUP!AF114</f>
        <v>Nueva Zelanda</v>
      </c>
      <c r="D159" s="714"/>
      <c r="E159" s="383"/>
      <c r="F159" s="383"/>
      <c r="G159" s="383"/>
      <c r="H159" s="383"/>
      <c r="I159" s="394"/>
      <c r="J159" s="383"/>
      <c r="K159" s="383"/>
      <c r="L159" s="383"/>
      <c r="M159" s="392"/>
      <c r="N159" s="390"/>
    </row>
    <row r="160" spans="1:14" ht="15" customHeight="1">
      <c r="A160" s="711"/>
      <c r="B160" s="373" t="str">
        <f t="shared" si="1"/>
        <v>Dieciseisavofinalista</v>
      </c>
      <c r="C160" s="362" t="str">
        <f ca="1">WORLDCUP!AF115</f>
        <v>Uruguay</v>
      </c>
      <c r="D160" s="714"/>
      <c r="E160" s="383"/>
      <c r="F160" s="383"/>
      <c r="G160" s="383"/>
      <c r="H160" s="383"/>
      <c r="I160" s="394"/>
      <c r="J160" s="383"/>
      <c r="K160" s="383"/>
      <c r="L160" s="383"/>
      <c r="M160" s="392"/>
      <c r="N160" s="390"/>
    </row>
    <row r="161" spans="1:14" ht="15" customHeight="1">
      <c r="A161" s="711"/>
      <c r="B161" s="373" t="str">
        <f t="shared" si="1"/>
        <v>Dieciseisavofinalista</v>
      </c>
      <c r="C161" s="362" t="str">
        <f ca="1">WORLDCUP!AF116</f>
        <v>Ghana</v>
      </c>
      <c r="D161" s="715"/>
      <c r="E161" s="385"/>
      <c r="F161" s="385"/>
      <c r="G161" s="385"/>
      <c r="H161" s="385"/>
      <c r="I161" s="395"/>
      <c r="J161" s="396"/>
      <c r="K161" s="385"/>
      <c r="L161" s="385"/>
      <c r="M161" s="397"/>
      <c r="N161" s="390"/>
    </row>
    <row r="162" spans="1:14" ht="19.95" customHeight="1">
      <c r="A162" s="366"/>
      <c r="B162" s="366"/>
      <c r="C162" s="363"/>
      <c r="D162" s="383"/>
      <c r="E162" s="728" t="str">
        <f>Idiomas!D110</f>
        <v>·Si haceis todas las eliminatorias de golpe, copiar de la C164 a la C252 y pegar valores en la plantilla de Administrador.</v>
      </c>
      <c r="F162" s="728"/>
      <c r="G162" s="728"/>
      <c r="H162" s="728"/>
      <c r="I162" s="728"/>
      <c r="J162" s="728"/>
      <c r="K162" s="728"/>
      <c r="L162" s="729"/>
      <c r="M162" s="398"/>
      <c r="N162" s="390"/>
    </row>
    <row r="163" spans="1:14" ht="22.95" customHeight="1">
      <c r="A163" s="366"/>
      <c r="B163" s="371" t="str">
        <f>Idiomas!D125</f>
        <v>ENFRENTAMIENTOS DIECISEISAVOS</v>
      </c>
      <c r="C163" s="363"/>
      <c r="D163" s="383"/>
      <c r="E163" s="727" t="str">
        <f>Idiomas!D111</f>
        <v>·Si haceis eliminatoria a eliminatoria seguir las instrucciones de cada eliminatoria.</v>
      </c>
      <c r="F163" s="727"/>
      <c r="G163" s="727"/>
      <c r="H163" s="727"/>
      <c r="I163" s="727"/>
      <c r="J163" s="727"/>
      <c r="K163" s="727"/>
      <c r="L163" s="730"/>
      <c r="M163" s="399"/>
      <c r="N163" s="390"/>
    </row>
    <row r="164" spans="1:14" ht="15" customHeight="1">
      <c r="A164" s="711" t="s">
        <v>500</v>
      </c>
      <c r="B164" s="373" t="str">
        <f ca="1">CONCATENATE(WORLDCUP!AA101,"-",WORLDCUP!AF101)</f>
        <v>Sudáfrica-Canadá</v>
      </c>
      <c r="C164" s="362" t="str">
        <f ca="1">CONCATENATE(WORLDCUP!AA101,"-",WORLDCUP!AF101,"·",IF(WORLDCUP!AC101&gt;WORLDCUP!AD101,1,IF(WORLDCUP!AC101&lt;WORLDCUP!AD101,2,IF(AND(WORLDCUP!AC101=WORLDCUP!AD101,WORLDCUP!AC101&lt;&gt;"",WORLDCUP!AD101&lt;&gt;""),"X",0))),"|",WORLDCUP!AC101,"-",WORLDCUP!AD101)</f>
        <v>Sudáfrica-Canadá·X|1-1</v>
      </c>
      <c r="D164" s="713" t="s">
        <v>500</v>
      </c>
      <c r="E164" s="731" t="str">
        <f>Idiomas!D112</f>
        <v>·Para los dieciseisavos copiar de la C164 a la C197 y pega valores en la plantilla de administrador.</v>
      </c>
      <c r="F164" s="731"/>
      <c r="G164" s="731"/>
      <c r="H164" s="731"/>
      <c r="I164" s="365"/>
      <c r="J164" s="383"/>
      <c r="K164" s="383"/>
      <c r="L164" s="383"/>
      <c r="M164" s="399"/>
      <c r="N164" s="390"/>
    </row>
    <row r="165" spans="1:14" ht="15" customHeight="1">
      <c r="A165" s="711"/>
      <c r="B165" s="373" t="str">
        <f ca="1">CONCATENATE(WORLDCUP!AA102,"-",WORLDCUP!AF102)</f>
        <v>Brasil-Países Bajos</v>
      </c>
      <c r="C165" s="362" t="str">
        <f ca="1">CONCATENATE(WORLDCUP!AA102,"-",WORLDCUP!AF102,"·",IF(WORLDCUP!AC102&gt;WORLDCUP!AD102,1,IF(WORLDCUP!AC102&lt;WORLDCUP!AD102,2,IF(AND(WORLDCUP!AC102=WORLDCUP!AD102,WORLDCUP!AC102&lt;&gt;"",WORLDCUP!AD102&lt;&gt;""),"X",0))),"|",WORLDCUP!AC102,"-",WORLDCUP!AD102)</f>
        <v>Brasil-Países Bajos·1|2-0</v>
      </c>
      <c r="D165" s="713"/>
      <c r="E165" s="732"/>
      <c r="F165" s="732"/>
      <c r="G165" s="732"/>
      <c r="H165" s="732"/>
      <c r="I165" s="365"/>
      <c r="J165" s="383"/>
      <c r="K165" s="383"/>
      <c r="L165" s="383"/>
      <c r="M165" s="399"/>
      <c r="N165" s="390"/>
    </row>
    <row r="166" spans="1:14" ht="15" customHeight="1">
      <c r="A166" s="711"/>
      <c r="B166" s="373" t="str">
        <f ca="1">CONCATENATE(WORLDCUP!AA103,"-",WORLDCUP!AF103)</f>
        <v>Alemania-Escocia</v>
      </c>
      <c r="C166" s="362" t="str">
        <f ca="1">CONCATENATE(WORLDCUP!AA103,"-",WORLDCUP!AF103,"·",IF(WORLDCUP!AC103&gt;WORLDCUP!AD103,1,IF(WORLDCUP!AC103&lt;WORLDCUP!AD103,2,IF(AND(WORLDCUP!AC103=WORLDCUP!AD103,WORLDCUP!AC103&lt;&gt;"",WORLDCUP!AD103&lt;&gt;""),"X",0))),"|",WORLDCUP!AC103,"-",WORLDCUP!AD103)</f>
        <v>Alemania-Escocia·1|1-0</v>
      </c>
      <c r="D166" s="713"/>
      <c r="E166" s="732"/>
      <c r="F166" s="732"/>
      <c r="G166" s="732"/>
      <c r="H166" s="732"/>
      <c r="I166" s="365"/>
      <c r="J166" s="383"/>
      <c r="K166" s="383"/>
      <c r="L166" s="383"/>
      <c r="M166" s="399"/>
      <c r="N166" s="390"/>
    </row>
    <row r="167" spans="1:14" ht="15" customHeight="1">
      <c r="A167" s="711"/>
      <c r="B167" s="373" t="str">
        <f ca="1">CONCATENATE(WORLDCUP!AA104,"-",WORLDCUP!AF104)</f>
        <v>Túnez-Marruecos</v>
      </c>
      <c r="C167" s="362" t="str">
        <f ca="1">CONCATENATE(WORLDCUP!AA104,"-",WORLDCUP!AF104,"·",IF(WORLDCUP!AC104&gt;WORLDCUP!AD104,1,IF(WORLDCUP!AC104&lt;WORLDCUP!AD104,2,IF(AND(WORLDCUP!AC104=WORLDCUP!AD104,WORLDCUP!AC104&lt;&gt;"",WORLDCUP!AD104&lt;&gt;""),"X",0))),"|",WORLDCUP!AC104,"-",WORLDCUP!AD104)</f>
        <v>Túnez-Marruecos·2|0-1</v>
      </c>
      <c r="D167" s="713"/>
      <c r="E167" s="732"/>
      <c r="F167" s="732"/>
      <c r="G167" s="732"/>
      <c r="H167" s="732"/>
      <c r="I167" s="365"/>
      <c r="J167" s="383"/>
      <c r="K167" s="383"/>
      <c r="L167" s="383"/>
      <c r="M167" s="399"/>
      <c r="N167" s="390"/>
    </row>
    <row r="168" spans="1:14" ht="15" customHeight="1">
      <c r="A168" s="711"/>
      <c r="B168" s="373" t="str">
        <f ca="1">CONCATENATE(WORLDCUP!AA105,"-",WORLDCUP!AF105)</f>
        <v>Ecuador-Senegal</v>
      </c>
      <c r="C168" s="362" t="str">
        <f ca="1">CONCATENATE(WORLDCUP!AA105,"-",WORLDCUP!AF105,"·",IF(WORLDCUP!AC105&gt;WORLDCUP!AD105,1,IF(WORLDCUP!AC105&lt;WORLDCUP!AD105,2,IF(AND(WORLDCUP!AC105=WORLDCUP!AD105,WORLDCUP!AC105&lt;&gt;"",WORLDCUP!AD105&lt;&gt;""),"X",0))),"|",WORLDCUP!AC105,"-",WORLDCUP!AD105)</f>
        <v>Ecuador-Senegal·2|0-1</v>
      </c>
      <c r="D168" s="713"/>
      <c r="E168" s="383"/>
      <c r="F168" s="383"/>
      <c r="G168" s="383"/>
      <c r="H168" s="383"/>
      <c r="I168" s="365"/>
      <c r="J168" s="383"/>
      <c r="K168" s="383"/>
      <c r="L168" s="383"/>
      <c r="M168" s="399"/>
      <c r="N168" s="390"/>
    </row>
    <row r="169" spans="1:14" ht="15" customHeight="1">
      <c r="A169" s="711"/>
      <c r="B169" s="373" t="str">
        <f ca="1">CONCATENATE(WORLDCUP!AA106,"-",WORLDCUP!AF106)</f>
        <v>Francia-Japón</v>
      </c>
      <c r="C169" s="362" t="str">
        <f ca="1">CONCATENATE(WORLDCUP!AA106,"-",WORLDCUP!AF106,"·",IF(WORLDCUP!AC106&gt;WORLDCUP!AD106,1,IF(WORLDCUP!AC106&lt;WORLDCUP!AD106,2,IF(AND(WORLDCUP!AC106=WORLDCUP!AD106,WORLDCUP!AC106&lt;&gt;"",WORLDCUP!AD106&lt;&gt;""),"X",0))),"|",WORLDCUP!AC106,"-",WORLDCUP!AD106)</f>
        <v>Francia-Japón·2|0-1</v>
      </c>
      <c r="D169" s="713"/>
      <c r="E169" s="383"/>
      <c r="F169" s="383"/>
      <c r="G169" s="383"/>
      <c r="H169" s="383"/>
      <c r="I169" s="365"/>
      <c r="J169" s="383"/>
      <c r="K169" s="383"/>
      <c r="L169" s="383"/>
      <c r="M169" s="399"/>
      <c r="N169" s="390"/>
    </row>
    <row r="170" spans="1:14" ht="15" customHeight="1">
      <c r="A170" s="711"/>
      <c r="B170" s="373" t="str">
        <f ca="1">CONCATENATE(WORLDCUP!AA107,"-",WORLDCUP!AF107)</f>
        <v>México-Arabia Saudita</v>
      </c>
      <c r="C170" s="362" t="str">
        <f ca="1">CONCATENATE(WORLDCUP!AA107,"-",WORLDCUP!AF107,"·",IF(WORLDCUP!AC107&gt;WORLDCUP!AD107,1,IF(WORLDCUP!AC107&lt;WORLDCUP!AD107,2,IF(AND(WORLDCUP!AC107=WORLDCUP!AD107,WORLDCUP!AC107&lt;&gt;"",WORLDCUP!AD107&lt;&gt;""),"X",0))),"|",WORLDCUP!AC107,"-",WORLDCUP!AD107)</f>
        <v>México-Arabia Saudita·2|0-1</v>
      </c>
      <c r="D170" s="713"/>
      <c r="E170" s="383"/>
      <c r="F170" s="383"/>
      <c r="G170" s="383"/>
      <c r="H170" s="383"/>
      <c r="I170" s="365"/>
      <c r="J170" s="383"/>
      <c r="K170" s="383"/>
      <c r="L170" s="383"/>
      <c r="M170" s="399"/>
      <c r="N170" s="390"/>
    </row>
    <row r="171" spans="1:14" ht="15" customHeight="1">
      <c r="A171" s="711"/>
      <c r="B171" s="373" t="str">
        <f ca="1">CONCATENATE(WORLDCUP!AA108,"-",WORLDCUP!AF108)</f>
        <v>Inglaterra-Noruega</v>
      </c>
      <c r="C171" s="362" t="str">
        <f ca="1">CONCATENATE(WORLDCUP!AA108,"-",WORLDCUP!AF108,"·",IF(WORLDCUP!AC108&gt;WORLDCUP!AD108,1,IF(WORLDCUP!AC108&lt;WORLDCUP!AD108,2,IF(AND(WORLDCUP!AC108=WORLDCUP!AD108,WORLDCUP!AC108&lt;&gt;"",WORLDCUP!AD108&lt;&gt;""),"X",0))),"|",WORLDCUP!AC108,"-",WORLDCUP!AD108)</f>
        <v>Inglaterra-Noruega·2|0-1</v>
      </c>
      <c r="D171" s="713"/>
      <c r="E171" s="383"/>
      <c r="F171" s="383"/>
      <c r="G171" s="383"/>
      <c r="H171" s="383"/>
      <c r="I171" s="365"/>
      <c r="J171" s="383"/>
      <c r="K171" s="383"/>
      <c r="L171" s="383"/>
      <c r="M171" s="399"/>
      <c r="N171" s="390"/>
    </row>
    <row r="172" spans="1:14" ht="15" customHeight="1">
      <c r="A172" s="711"/>
      <c r="B172" s="373" t="str">
        <f ca="1">CONCATENATE(WORLDCUP!AA109,"-",WORLDCUP!AF109)</f>
        <v>Bélgica-PO D: DEN/MKD/CZE/IRL</v>
      </c>
      <c r="C172" s="362" t="str">
        <f ca="1">CONCATENATE(WORLDCUP!AA109,"-",WORLDCUP!AF109,"·",IF(WORLDCUP!AC109&gt;WORLDCUP!AD109,1,IF(WORLDCUP!AC109&lt;WORLDCUP!AD109,2,IF(AND(WORLDCUP!AC109=WORLDCUP!AD109,WORLDCUP!AC109&lt;&gt;"",WORLDCUP!AD109&lt;&gt;""),"X",0))),"|",WORLDCUP!AC109,"-",WORLDCUP!AD109)</f>
        <v>Bélgica-PO D: DEN/MKD/CZE/IRL·2|0-1</v>
      </c>
      <c r="D172" s="713"/>
      <c r="E172" s="383"/>
      <c r="F172" s="383"/>
      <c r="G172" s="383"/>
      <c r="H172" s="383"/>
      <c r="I172" s="365"/>
      <c r="J172" s="383"/>
      <c r="K172" s="383"/>
      <c r="L172" s="383"/>
      <c r="M172" s="399"/>
      <c r="N172" s="390"/>
    </row>
    <row r="173" spans="1:14" ht="15" customHeight="1">
      <c r="A173" s="711"/>
      <c r="B173" s="373" t="str">
        <f ca="1">CONCATENATE(WORLDCUP!AA110,"-",WORLDCUP!AF110)</f>
        <v>Estados Unidos-Catar</v>
      </c>
      <c r="C173" s="362" t="str">
        <f ca="1">CONCATENATE(WORLDCUP!AA110,"-",WORLDCUP!AF110,"·",IF(WORLDCUP!AC110&gt;WORLDCUP!AD110,1,IF(WORLDCUP!AC110&lt;WORLDCUP!AD110,2,IF(AND(WORLDCUP!AC110=WORLDCUP!AD110,WORLDCUP!AC110&lt;&gt;"",WORLDCUP!AD110&lt;&gt;""),"X",0))),"|",WORLDCUP!AC110,"-",WORLDCUP!AD110)</f>
        <v>Estados Unidos-Catar·2|0-1</v>
      </c>
      <c r="D173" s="713"/>
      <c r="E173" s="383"/>
      <c r="F173" s="383"/>
      <c r="G173" s="383"/>
      <c r="H173" s="383"/>
      <c r="I173" s="365"/>
      <c r="J173" s="383"/>
      <c r="K173" s="383"/>
      <c r="L173" s="383"/>
      <c r="M173" s="399"/>
      <c r="N173" s="390"/>
    </row>
    <row r="174" spans="1:14" ht="15" customHeight="1">
      <c r="A174" s="711"/>
      <c r="B174" s="373" t="str">
        <f ca="1">CONCATENATE(WORLDCUP!AA111,"-",WORLDCUP!AF111)</f>
        <v>España-Austria</v>
      </c>
      <c r="C174" s="362" t="str">
        <f ca="1">CONCATENATE(WORLDCUP!AA111,"-",WORLDCUP!AF111,"·",IF(WORLDCUP!AC111&gt;WORLDCUP!AD111,1,IF(WORLDCUP!AC111&lt;WORLDCUP!AD111,2,IF(AND(WORLDCUP!AC111=WORLDCUP!AD111,WORLDCUP!AC111&lt;&gt;"",WORLDCUP!AD111&lt;&gt;""),"X",0))),"|",WORLDCUP!AC111,"-",WORLDCUP!AD111)</f>
        <v>España-Austria·2|0-1</v>
      </c>
      <c r="D174" s="713"/>
      <c r="E174" s="383"/>
      <c r="F174" s="383"/>
      <c r="G174" s="383"/>
      <c r="H174" s="383"/>
      <c r="I174" s="365"/>
      <c r="J174" s="383"/>
      <c r="K174" s="383"/>
      <c r="L174" s="383"/>
      <c r="M174" s="399"/>
      <c r="N174" s="390"/>
    </row>
    <row r="175" spans="1:14" ht="15" customHeight="1">
      <c r="A175" s="711"/>
      <c r="B175" s="373" t="str">
        <f ca="1">CONCATENATE(WORLDCUP!AA112,"-",WORLDCUP!AF112)</f>
        <v>Portugal-Croacia</v>
      </c>
      <c r="C175" s="362" t="str">
        <f ca="1">CONCATENATE(WORLDCUP!AA112,"-",WORLDCUP!AF112,"·",IF(WORLDCUP!AC112&gt;WORLDCUP!AD112,1,IF(WORLDCUP!AC112&lt;WORLDCUP!AD112,2,IF(AND(WORLDCUP!AC112=WORLDCUP!AD112,WORLDCUP!AC112&lt;&gt;"",WORLDCUP!AD112&lt;&gt;""),"X",0))),"|",WORLDCUP!AC112,"-",WORLDCUP!AD112)</f>
        <v>Portugal-Croacia·2|0-1</v>
      </c>
      <c r="D175" s="713"/>
      <c r="E175" s="383"/>
      <c r="F175" s="383"/>
      <c r="G175" s="383"/>
      <c r="H175" s="383"/>
      <c r="I175" s="365"/>
      <c r="J175" s="383"/>
      <c r="K175" s="383"/>
      <c r="L175" s="383"/>
      <c r="M175" s="399"/>
      <c r="N175" s="390"/>
    </row>
    <row r="176" spans="1:14" ht="15" customHeight="1">
      <c r="A176" s="711"/>
      <c r="B176" s="373" t="str">
        <f ca="1">CONCATENATE(WORLDCUP!AA113,"-",WORLDCUP!AF113)</f>
        <v>Suiza-Egipto</v>
      </c>
      <c r="C176" s="362" t="str">
        <f ca="1">CONCATENATE(WORLDCUP!AA113,"-",WORLDCUP!AF113,"·",IF(WORLDCUP!AC113&gt;WORLDCUP!AD113,1,IF(WORLDCUP!AC113&lt;WORLDCUP!AD113,2,IF(AND(WORLDCUP!AC113=WORLDCUP!AD113,WORLDCUP!AC113&lt;&gt;"",WORLDCUP!AD113&lt;&gt;""),"X",0))),"|",WORLDCUP!AC113,"-",WORLDCUP!AD113)</f>
        <v>Suiza-Egipto·2|0-1</v>
      </c>
      <c r="D176" s="713"/>
      <c r="E176" s="383"/>
      <c r="F176" s="383"/>
      <c r="G176" s="383"/>
      <c r="H176" s="383"/>
      <c r="I176" s="365"/>
      <c r="J176" s="383"/>
      <c r="K176" s="383"/>
      <c r="L176" s="383"/>
      <c r="M176" s="399"/>
      <c r="N176" s="390"/>
    </row>
    <row r="177" spans="1:14" ht="15" customHeight="1">
      <c r="A177" s="711"/>
      <c r="B177" s="373" t="str">
        <f ca="1">CONCATENATE(WORLDCUP!AA114,"-",WORLDCUP!AF114)</f>
        <v>Paraguay-Nueva Zelanda</v>
      </c>
      <c r="C177" s="362" t="str">
        <f ca="1">CONCATENATE(WORLDCUP!AA114,"-",WORLDCUP!AF114,"·",IF(WORLDCUP!AC114&gt;WORLDCUP!AD114,1,IF(WORLDCUP!AC114&lt;WORLDCUP!AD114,2,IF(AND(WORLDCUP!AC114=WORLDCUP!AD114,WORLDCUP!AC114&lt;&gt;"",WORLDCUP!AD114&lt;&gt;""),"X",0))),"|",WORLDCUP!AC114,"-",WORLDCUP!AD114)</f>
        <v>Paraguay-Nueva Zelanda·2|0-1</v>
      </c>
      <c r="D177" s="713"/>
      <c r="E177" s="383"/>
      <c r="F177" s="383"/>
      <c r="G177" s="383"/>
      <c r="H177" s="383"/>
      <c r="I177" s="365"/>
      <c r="J177" s="383"/>
      <c r="K177" s="383"/>
      <c r="L177" s="383"/>
      <c r="M177" s="399"/>
      <c r="N177" s="390"/>
    </row>
    <row r="178" spans="1:14" ht="15" customHeight="1">
      <c r="A178" s="711"/>
      <c r="B178" s="373" t="str">
        <f ca="1">CONCATENATE(WORLDCUP!AA115,"-",WORLDCUP!AF115)</f>
        <v>Argentina-Uruguay</v>
      </c>
      <c r="C178" s="362" t="str">
        <f ca="1">CONCATENATE(WORLDCUP!AA115,"-",WORLDCUP!AF115,"·",IF(WORLDCUP!AC115&gt;WORLDCUP!AD115,1,IF(WORLDCUP!AC115&lt;WORLDCUP!AD115,2,IF(AND(WORLDCUP!AC115=WORLDCUP!AD115,WORLDCUP!AC115&lt;&gt;"",WORLDCUP!AD115&lt;&gt;""),"X",0))),"|",WORLDCUP!AC115,"-",WORLDCUP!AD115)</f>
        <v>Argentina-Uruguay·2|0-1</v>
      </c>
      <c r="D178" s="713"/>
      <c r="E178" s="383"/>
      <c r="F178" s="383"/>
      <c r="G178" s="383"/>
      <c r="H178" s="383"/>
      <c r="I178" s="365"/>
      <c r="J178" s="383"/>
      <c r="K178" s="383"/>
      <c r="L178" s="383"/>
      <c r="M178" s="399"/>
      <c r="N178" s="390"/>
    </row>
    <row r="179" spans="1:14" ht="15" customHeight="1">
      <c r="A179" s="711"/>
      <c r="B179" s="373" t="str">
        <f ca="1">CONCATENATE(WORLDCUP!AA116,"-",WORLDCUP!AF116)</f>
        <v>Colombia-Ghana</v>
      </c>
      <c r="C179" s="362" t="str">
        <f ca="1">CONCATENATE(WORLDCUP!AA116,"-",WORLDCUP!AF116,"·",IF(WORLDCUP!AC116&gt;WORLDCUP!AD116,1,IF(WORLDCUP!AC116&lt;WORLDCUP!AD116,2,IF(AND(WORLDCUP!AC116=WORLDCUP!AD116,WORLDCUP!AC116&lt;&gt;"",WORLDCUP!AD116&lt;&gt;""),"X",0))),"|",WORLDCUP!AC116,"-",WORLDCUP!AD116)</f>
        <v>Colombia-Ghana·2|0-1</v>
      </c>
      <c r="D179" s="713"/>
      <c r="E179" s="383"/>
      <c r="F179" s="383"/>
      <c r="G179" s="383"/>
      <c r="H179" s="383"/>
      <c r="I179" s="365"/>
      <c r="J179" s="383"/>
      <c r="K179" s="383"/>
      <c r="L179" s="383"/>
      <c r="M179" s="399"/>
      <c r="N179" s="390"/>
    </row>
    <row r="180" spans="1:14" ht="15" customHeight="1">
      <c r="A180" s="366"/>
      <c r="B180" s="366"/>
      <c r="C180" s="363"/>
      <c r="D180" s="713"/>
      <c r="E180" s="383"/>
      <c r="F180" s="383"/>
      <c r="G180" s="383"/>
      <c r="H180" s="383"/>
      <c r="I180" s="365"/>
      <c r="J180" s="383"/>
      <c r="K180" s="383"/>
      <c r="L180" s="383"/>
      <c r="M180" s="399"/>
      <c r="N180" s="390"/>
    </row>
    <row r="181" spans="1:14" ht="19.05" customHeight="1">
      <c r="A181" s="366"/>
      <c r="B181" s="371" t="str">
        <f>Idiomas!D126</f>
        <v>CLASIFICADOS PARA OCTAVOS</v>
      </c>
      <c r="C181" s="363"/>
      <c r="D181" s="713"/>
      <c r="E181" s="383"/>
      <c r="F181" s="383"/>
      <c r="G181" s="383"/>
      <c r="H181" s="383"/>
      <c r="I181" s="365"/>
      <c r="J181" s="383"/>
      <c r="K181" s="383"/>
      <c r="L181" s="383"/>
      <c r="M181" s="399"/>
      <c r="N181" s="390"/>
    </row>
    <row r="182" spans="1:14" ht="15" customHeight="1">
      <c r="A182" s="711" t="s">
        <v>90</v>
      </c>
      <c r="B182" s="373" t="str">
        <f>Idiomas!$D$186</f>
        <v>Octavofinalista</v>
      </c>
      <c r="C182" s="362" t="str">
        <f>WORLDCUP!AA120</f>
        <v>W73</v>
      </c>
      <c r="D182" s="713"/>
      <c r="E182" s="383"/>
      <c r="F182" s="383"/>
      <c r="G182" s="383"/>
      <c r="H182" s="383"/>
      <c r="I182" s="365"/>
      <c r="J182" s="383"/>
      <c r="K182" s="383"/>
      <c r="L182" s="383"/>
      <c r="M182" s="399"/>
      <c r="N182" s="390"/>
    </row>
    <row r="183" spans="1:14" ht="15" customHeight="1">
      <c r="A183" s="711"/>
      <c r="B183" s="373" t="str">
        <f>B182</f>
        <v>Octavofinalista</v>
      </c>
      <c r="C183" s="362" t="str">
        <f ca="1">WORLDCUP!AA121</f>
        <v>Alemania</v>
      </c>
      <c r="D183" s="713"/>
      <c r="E183" s="383"/>
      <c r="F183" s="383"/>
      <c r="G183" s="383"/>
      <c r="H183" s="383"/>
      <c r="I183" s="365"/>
      <c r="J183" s="383"/>
      <c r="K183" s="383"/>
      <c r="L183" s="383"/>
      <c r="M183" s="399"/>
      <c r="N183" s="390"/>
    </row>
    <row r="184" spans="1:14" ht="15" customHeight="1">
      <c r="A184" s="711"/>
      <c r="B184" s="373" t="str">
        <f t="shared" ref="B184:B197" si="2">B183</f>
        <v>Octavofinalista</v>
      </c>
      <c r="C184" s="362" t="str">
        <f ca="1">WORLDCUP!AA122</f>
        <v>Brasil</v>
      </c>
      <c r="D184" s="713"/>
      <c r="E184" s="383"/>
      <c r="F184" s="383"/>
      <c r="G184" s="383"/>
      <c r="H184" s="383"/>
      <c r="I184" s="365"/>
      <c r="J184" s="383"/>
      <c r="K184" s="383"/>
      <c r="L184" s="383"/>
      <c r="M184" s="399"/>
      <c r="N184" s="390"/>
    </row>
    <row r="185" spans="1:14" ht="15" customHeight="1">
      <c r="A185" s="711"/>
      <c r="B185" s="373" t="str">
        <f t="shared" si="2"/>
        <v>Octavofinalista</v>
      </c>
      <c r="C185" s="362" t="str">
        <f ca="1">WORLDCUP!AA123</f>
        <v>Arabia Saudita</v>
      </c>
      <c r="D185" s="713"/>
      <c r="E185" s="383"/>
      <c r="F185" s="383"/>
      <c r="G185" s="383"/>
      <c r="H185" s="383"/>
      <c r="I185" s="365"/>
      <c r="J185" s="383"/>
      <c r="K185" s="383"/>
      <c r="L185" s="383"/>
      <c r="M185" s="399"/>
      <c r="N185" s="390"/>
    </row>
    <row r="186" spans="1:14" ht="15" customHeight="1">
      <c r="A186" s="711"/>
      <c r="B186" s="373" t="str">
        <f t="shared" si="2"/>
        <v>Octavofinalista</v>
      </c>
      <c r="C186" s="362" t="str">
        <f ca="1">WORLDCUP!AA124</f>
        <v>Croacia</v>
      </c>
      <c r="D186" s="713"/>
      <c r="E186" s="383"/>
      <c r="F186" s="383"/>
      <c r="G186" s="383"/>
      <c r="H186" s="383"/>
      <c r="I186" s="365"/>
      <c r="J186" s="383"/>
      <c r="K186" s="383"/>
      <c r="L186" s="383"/>
      <c r="M186" s="399"/>
      <c r="N186" s="390"/>
    </row>
    <row r="187" spans="1:14" ht="15" customHeight="1">
      <c r="A187" s="711"/>
      <c r="B187" s="373" t="str">
        <f t="shared" si="2"/>
        <v>Octavofinalista</v>
      </c>
      <c r="C187" s="362" t="str">
        <f ca="1">WORLDCUP!AA125</f>
        <v>Catar</v>
      </c>
      <c r="D187" s="713"/>
      <c r="E187" s="383"/>
      <c r="F187" s="383"/>
      <c r="G187" s="383"/>
      <c r="H187" s="383"/>
      <c r="I187" s="365"/>
      <c r="J187" s="383"/>
      <c r="K187" s="383"/>
      <c r="L187" s="383"/>
      <c r="M187" s="399"/>
      <c r="N187" s="390"/>
    </row>
    <row r="188" spans="1:14" ht="15" customHeight="1">
      <c r="A188" s="711"/>
      <c r="B188" s="373" t="str">
        <f t="shared" si="2"/>
        <v>Octavofinalista</v>
      </c>
      <c r="C188" s="362" t="str">
        <f ca="1">WORLDCUP!AA126</f>
        <v>Uruguay</v>
      </c>
      <c r="D188" s="713"/>
      <c r="E188" s="383"/>
      <c r="F188" s="383"/>
      <c r="G188" s="383"/>
      <c r="H188" s="383"/>
      <c r="I188" s="365"/>
      <c r="J188" s="383"/>
      <c r="K188" s="383"/>
      <c r="L188" s="383"/>
      <c r="M188" s="399"/>
      <c r="N188" s="390"/>
    </row>
    <row r="189" spans="1:14" ht="15" customHeight="1">
      <c r="A189" s="711"/>
      <c r="B189" s="373" t="str">
        <f t="shared" si="2"/>
        <v>Octavofinalista</v>
      </c>
      <c r="C189" s="362" t="str">
        <f ca="1">WORLDCUP!AA127</f>
        <v>Egipto</v>
      </c>
      <c r="D189" s="713"/>
      <c r="E189" s="383"/>
      <c r="F189" s="383"/>
      <c r="G189" s="383"/>
      <c r="H189" s="383"/>
      <c r="I189" s="365"/>
      <c r="J189" s="383"/>
      <c r="K189" s="383"/>
      <c r="L189" s="383"/>
      <c r="M189" s="399"/>
      <c r="N189" s="390"/>
    </row>
    <row r="190" spans="1:14" ht="15" customHeight="1">
      <c r="A190" s="711"/>
      <c r="B190" s="373" t="str">
        <f t="shared" si="2"/>
        <v>Octavofinalista</v>
      </c>
      <c r="C190" s="362" t="str">
        <f ca="1">WORLDCUP!AF120</f>
        <v>Marruecos</v>
      </c>
      <c r="D190" s="713"/>
      <c r="E190" s="383"/>
      <c r="F190" s="383"/>
      <c r="G190" s="383"/>
      <c r="H190" s="383"/>
      <c r="I190" s="365"/>
      <c r="J190" s="383"/>
      <c r="K190" s="383"/>
      <c r="L190" s="383"/>
      <c r="M190" s="399"/>
      <c r="N190" s="390"/>
    </row>
    <row r="191" spans="1:14" ht="15" customHeight="1">
      <c r="A191" s="711"/>
      <c r="B191" s="373" t="str">
        <f t="shared" si="2"/>
        <v>Octavofinalista</v>
      </c>
      <c r="C191" s="362" t="str">
        <f ca="1">WORLDCUP!AF121</f>
        <v>Japón</v>
      </c>
      <c r="D191" s="713"/>
      <c r="E191" s="383"/>
      <c r="F191" s="383"/>
      <c r="G191" s="383"/>
      <c r="H191" s="383"/>
      <c r="I191" s="365"/>
      <c r="J191" s="383"/>
      <c r="K191" s="383"/>
      <c r="L191" s="383"/>
      <c r="M191" s="399"/>
      <c r="N191" s="390"/>
    </row>
    <row r="192" spans="1:14" ht="15" customHeight="1">
      <c r="A192" s="711"/>
      <c r="B192" s="373" t="str">
        <f t="shared" si="2"/>
        <v>Octavofinalista</v>
      </c>
      <c r="C192" s="362" t="str">
        <f ca="1">WORLDCUP!AF122</f>
        <v>Senegal</v>
      </c>
      <c r="D192" s="713"/>
      <c r="E192" s="383"/>
      <c r="F192" s="383"/>
      <c r="G192" s="383"/>
      <c r="H192" s="383"/>
      <c r="I192" s="365"/>
      <c r="J192" s="383"/>
      <c r="K192" s="383"/>
      <c r="L192" s="383"/>
      <c r="M192" s="399"/>
      <c r="N192" s="390"/>
    </row>
    <row r="193" spans="1:14" ht="15" customHeight="1">
      <c r="A193" s="711"/>
      <c r="B193" s="373" t="str">
        <f t="shared" si="2"/>
        <v>Octavofinalista</v>
      </c>
      <c r="C193" s="362" t="str">
        <f ca="1">WORLDCUP!AF123</f>
        <v>Noruega</v>
      </c>
      <c r="D193" s="713"/>
      <c r="E193" s="383"/>
      <c r="F193" s="383"/>
      <c r="G193" s="383"/>
      <c r="H193" s="383"/>
      <c r="I193" s="365"/>
      <c r="J193" s="383"/>
      <c r="K193" s="383"/>
      <c r="L193" s="383"/>
      <c r="M193" s="399"/>
      <c r="N193" s="390"/>
    </row>
    <row r="194" spans="1:14" ht="15" customHeight="1">
      <c r="A194" s="711"/>
      <c r="B194" s="373" t="str">
        <f t="shared" si="2"/>
        <v>Octavofinalista</v>
      </c>
      <c r="C194" s="362" t="str">
        <f ca="1">WORLDCUP!AF124</f>
        <v>Austria</v>
      </c>
      <c r="D194" s="713"/>
      <c r="E194" s="383"/>
      <c r="F194" s="383"/>
      <c r="G194" s="383"/>
      <c r="H194" s="383"/>
      <c r="I194" s="365"/>
      <c r="J194" s="383"/>
      <c r="K194" s="383"/>
      <c r="L194" s="383"/>
      <c r="M194" s="399"/>
      <c r="N194" s="390"/>
    </row>
    <row r="195" spans="1:14" ht="15" customHeight="1">
      <c r="A195" s="711"/>
      <c r="B195" s="373" t="str">
        <f t="shared" si="2"/>
        <v>Octavofinalista</v>
      </c>
      <c r="C195" s="362" t="str">
        <f ca="1">WORLDCUP!AF125</f>
        <v>PO D: DEN/MKD/CZE/IRL</v>
      </c>
      <c r="D195" s="713"/>
      <c r="E195" s="383"/>
      <c r="F195" s="383"/>
      <c r="G195" s="383"/>
      <c r="H195" s="383"/>
      <c r="I195" s="365"/>
      <c r="J195" s="383"/>
      <c r="K195" s="383"/>
      <c r="L195" s="383"/>
      <c r="M195" s="399"/>
      <c r="N195" s="390"/>
    </row>
    <row r="196" spans="1:14" ht="15" customHeight="1">
      <c r="A196" s="711"/>
      <c r="B196" s="373" t="str">
        <f t="shared" si="2"/>
        <v>Octavofinalista</v>
      </c>
      <c r="C196" s="362" t="str">
        <f ca="1">WORLDCUP!AF126</f>
        <v>Nueva Zelanda</v>
      </c>
      <c r="D196" s="713"/>
      <c r="E196" s="383"/>
      <c r="F196" s="383"/>
      <c r="G196" s="383"/>
      <c r="H196" s="383"/>
      <c r="I196" s="365"/>
      <c r="J196" s="383"/>
      <c r="K196" s="383"/>
      <c r="L196" s="383"/>
      <c r="M196" s="399"/>
      <c r="N196" s="390"/>
    </row>
    <row r="197" spans="1:14" ht="15" customHeight="1">
      <c r="A197" s="711"/>
      <c r="B197" s="373" t="str">
        <f t="shared" si="2"/>
        <v>Octavofinalista</v>
      </c>
      <c r="C197" s="362" t="str">
        <f ca="1">WORLDCUP!AF127</f>
        <v>Ghana</v>
      </c>
      <c r="D197" s="713"/>
      <c r="E197" s="386"/>
      <c r="F197" s="386"/>
      <c r="G197" s="386"/>
      <c r="H197" s="386"/>
      <c r="I197" s="365"/>
      <c r="J197" s="383"/>
      <c r="K197" s="383"/>
      <c r="L197" s="383"/>
      <c r="M197" s="399"/>
      <c r="N197" s="390"/>
    </row>
    <row r="198" spans="1:14">
      <c r="A198" s="366"/>
      <c r="B198" s="366"/>
      <c r="C198" s="363"/>
      <c r="D198" s="383"/>
      <c r="E198" s="383"/>
      <c r="F198" s="383"/>
      <c r="G198" s="383"/>
      <c r="H198" s="383"/>
      <c r="I198" s="400"/>
      <c r="J198" s="383"/>
      <c r="K198" s="383"/>
      <c r="L198" s="383"/>
      <c r="M198" s="399"/>
      <c r="N198" s="390"/>
    </row>
    <row r="199" spans="1:14" ht="19.05" customHeight="1">
      <c r="A199" s="366"/>
      <c r="B199" s="371" t="str">
        <f>Idiomas!D127</f>
        <v>ENFRENTAMIENTOS OCTAVOS</v>
      </c>
      <c r="C199" s="363"/>
      <c r="D199" s="383"/>
      <c r="E199" s="383"/>
      <c r="F199" s="383"/>
      <c r="G199" s="383"/>
      <c r="H199" s="383"/>
      <c r="I199" s="401"/>
      <c r="J199" s="383"/>
      <c r="K199" s="383"/>
      <c r="L199" s="383"/>
      <c r="M199" s="399"/>
      <c r="N199" s="390"/>
    </row>
    <row r="200" spans="1:14" ht="15" customHeight="1">
      <c r="A200" s="711" t="s">
        <v>90</v>
      </c>
      <c r="B200" s="374" t="str">
        <f ca="1">CONCATENATE(WORLDCUP!AA120,"-",WORLDCUP!AF120)</f>
        <v>W73-Marruecos</v>
      </c>
      <c r="C200" s="364" t="str">
        <f ca="1">CONCATENATE(WORLDCUP!AA120,"-",WORLDCUP!AF120,"·",IF(WORLDCUP!AC120&gt;WORLDCUP!AD120,1,IF(WORLDCUP!AC120&lt;WORLDCUP!AD120,2,IF(AND(WORLDCUP!AC120=WORLDCUP!AD120,WORLDCUP!AC120&lt;&gt;"",WORLDCUP!AD120&lt;&gt;""),"X",0))),"|",WORLDCUP!AC120,"-",WORLDCUP!AD120)</f>
        <v>W73-Marruecos·2|1-2</v>
      </c>
      <c r="D200" s="712" t="s">
        <v>90</v>
      </c>
      <c r="E200" s="707" t="str">
        <f>Idiomas!D113</f>
        <v>·Para los octavos de final copiar de la C200 a la C217 y pega valores en la plantilla de administrador.</v>
      </c>
      <c r="F200" s="707"/>
      <c r="G200" s="707"/>
      <c r="H200" s="707"/>
      <c r="I200" s="365"/>
      <c r="J200" s="383"/>
      <c r="K200" s="383"/>
      <c r="L200" s="383"/>
      <c r="M200" s="399"/>
      <c r="N200" s="390"/>
    </row>
    <row r="201" spans="1:14" ht="15" customHeight="1">
      <c r="A201" s="711"/>
      <c r="B201" s="374" t="str">
        <f ca="1">CONCATENATE(WORLDCUP!AA121,"-",WORLDCUP!AF121)</f>
        <v>Alemania-Japón</v>
      </c>
      <c r="C201" s="364" t="str">
        <f ca="1">CONCATENATE(WORLDCUP!AA121,"-",WORLDCUP!AF121,"·",IF(WORLDCUP!AC121&gt;WORLDCUP!AD121,1,IF(WORLDCUP!AC121&lt;WORLDCUP!AD121,2,IF(AND(WORLDCUP!AC121=WORLDCUP!AD121,WORLDCUP!AC121&lt;&gt;"",WORLDCUP!AD121&lt;&gt;""),"X",0))),"|",WORLDCUP!AC121,"-",WORLDCUP!AD121)</f>
        <v>Alemania-Japón·1|3-2</v>
      </c>
      <c r="D201" s="712"/>
      <c r="E201" s="707"/>
      <c r="F201" s="707"/>
      <c r="G201" s="707"/>
      <c r="H201" s="707"/>
      <c r="I201" s="365"/>
      <c r="J201" s="383"/>
      <c r="K201" s="383"/>
      <c r="L201" s="383"/>
      <c r="M201" s="399"/>
      <c r="N201" s="390"/>
    </row>
    <row r="202" spans="1:14" ht="15" customHeight="1">
      <c r="A202" s="711"/>
      <c r="B202" s="374" t="str">
        <f ca="1">CONCATENATE(WORLDCUP!AA122,"-",WORLDCUP!AF122)</f>
        <v>Brasil-Senegal</v>
      </c>
      <c r="C202" s="364" t="str">
        <f ca="1">CONCATENATE(WORLDCUP!AA122,"-",WORLDCUP!AF122,"·",IF(WORLDCUP!AC122&gt;WORLDCUP!AD122,1,IF(WORLDCUP!AC122&lt;WORLDCUP!AD122,2,IF(AND(WORLDCUP!AC122=WORLDCUP!AD122,WORLDCUP!AC122&lt;&gt;"",WORLDCUP!AD122&lt;&gt;""),"X",0))),"|",WORLDCUP!AC122,"-",WORLDCUP!AD122)</f>
        <v>Brasil-Senegal·X|1-1</v>
      </c>
      <c r="D202" s="712"/>
      <c r="E202" s="707"/>
      <c r="F202" s="707"/>
      <c r="G202" s="707"/>
      <c r="H202" s="707"/>
      <c r="I202" s="365"/>
      <c r="J202" s="383"/>
      <c r="K202" s="383"/>
      <c r="L202" s="383"/>
      <c r="M202" s="399"/>
      <c r="N202" s="390"/>
    </row>
    <row r="203" spans="1:14" ht="15" customHeight="1">
      <c r="A203" s="711"/>
      <c r="B203" s="374" t="str">
        <f ca="1">CONCATENATE(WORLDCUP!AA123,"-",WORLDCUP!AF123)</f>
        <v>Arabia Saudita-Noruega</v>
      </c>
      <c r="C203" s="364" t="str">
        <f ca="1">CONCATENATE(WORLDCUP!AA123,"-",WORLDCUP!AF123,"·",IF(WORLDCUP!AC123&gt;WORLDCUP!AD123,1,IF(WORLDCUP!AC123&lt;WORLDCUP!AD123,2,IF(AND(WORLDCUP!AC123=WORLDCUP!AD123,WORLDCUP!AC123&lt;&gt;"",WORLDCUP!AD123&lt;&gt;""),"X",0))),"|",WORLDCUP!AC123,"-",WORLDCUP!AD123)</f>
        <v>Arabia Saudita-Noruega·2|1-2</v>
      </c>
      <c r="D203" s="712"/>
      <c r="E203" s="707"/>
      <c r="F203" s="707"/>
      <c r="G203" s="707"/>
      <c r="H203" s="707"/>
      <c r="I203" s="365"/>
      <c r="J203" s="383"/>
      <c r="K203" s="383"/>
      <c r="L203" s="383"/>
      <c r="M203" s="399"/>
      <c r="N203" s="390"/>
    </row>
    <row r="204" spans="1:14" ht="15" customHeight="1">
      <c r="A204" s="711"/>
      <c r="B204" s="374" t="str">
        <f ca="1">CONCATENATE(WORLDCUP!AA124,"-",WORLDCUP!AF124)</f>
        <v>Croacia-Austria</v>
      </c>
      <c r="C204" s="364" t="str">
        <f ca="1">CONCATENATE(WORLDCUP!AA124,"-",WORLDCUP!AF124,"·",IF(WORLDCUP!AC124&gt;WORLDCUP!AD124,1,IF(WORLDCUP!AC124&lt;WORLDCUP!AD124,2,IF(AND(WORLDCUP!AC124=WORLDCUP!AD124,WORLDCUP!AC124&lt;&gt;"",WORLDCUP!AD124&lt;&gt;""),"X",0))),"|",WORLDCUP!AC124,"-",WORLDCUP!AD124)</f>
        <v>Croacia-Austria·1|3-1</v>
      </c>
      <c r="D204" s="712"/>
      <c r="E204" s="365"/>
      <c r="F204" s="365"/>
      <c r="G204" s="365"/>
      <c r="H204" s="365"/>
      <c r="I204" s="365"/>
      <c r="J204" s="383"/>
      <c r="K204" s="383"/>
      <c r="L204" s="383"/>
      <c r="M204" s="399"/>
      <c r="N204" s="390"/>
    </row>
    <row r="205" spans="1:14" ht="15" customHeight="1">
      <c r="A205" s="711"/>
      <c r="B205" s="374" t="str">
        <f ca="1">CONCATENATE(WORLDCUP!AA125,"-",WORLDCUP!AF125)</f>
        <v>Catar-PO D: DEN/MKD/CZE/IRL</v>
      </c>
      <c r="C205" s="364" t="str">
        <f ca="1">CONCATENATE(WORLDCUP!AA125,"-",WORLDCUP!AF125,"·",IF(WORLDCUP!AC125&gt;WORLDCUP!AD125,1,IF(WORLDCUP!AC125&lt;WORLDCUP!AD125,2,IF(AND(WORLDCUP!AC125=WORLDCUP!AD125,WORLDCUP!AC125&lt;&gt;"",WORLDCUP!AD125&lt;&gt;""),"X",0))),"|",WORLDCUP!AC125,"-",WORLDCUP!AD125)</f>
        <v>Catar-PO D: DEN/MKD/CZE/IRL·2|1-2</v>
      </c>
      <c r="D205" s="712"/>
      <c r="E205" s="365"/>
      <c r="F205" s="365"/>
      <c r="G205" s="365"/>
      <c r="H205" s="365"/>
      <c r="I205" s="365"/>
      <c r="J205" s="383"/>
      <c r="K205" s="383"/>
      <c r="L205" s="383"/>
      <c r="M205" s="399"/>
      <c r="N205" s="390"/>
    </row>
    <row r="206" spans="1:14" ht="15" customHeight="1">
      <c r="A206" s="711"/>
      <c r="B206" s="374" t="str">
        <f ca="1">CONCATENATE(WORLDCUP!AA126,"-",WORLDCUP!AF126)</f>
        <v>Uruguay-Nueva Zelanda</v>
      </c>
      <c r="C206" s="364" t="str">
        <f ca="1">CONCATENATE(WORLDCUP!AA126,"-",WORLDCUP!AF126,"·",IF(WORLDCUP!AC126&gt;WORLDCUP!AD126,1,IF(WORLDCUP!AC126&lt;WORLDCUP!AD126,2,IF(AND(WORLDCUP!AC126=WORLDCUP!AD126,WORLDCUP!AC126&lt;&gt;"",WORLDCUP!AD126&lt;&gt;""),"X",0))),"|",WORLDCUP!AC126,"-",WORLDCUP!AD126)</f>
        <v>Uruguay-Nueva Zelanda·X|2-2</v>
      </c>
      <c r="D206" s="712"/>
      <c r="E206" s="365"/>
      <c r="F206" s="365"/>
      <c r="G206" s="365"/>
      <c r="H206" s="365"/>
      <c r="I206" s="365"/>
      <c r="J206" s="383"/>
      <c r="K206" s="383"/>
      <c r="L206" s="383"/>
      <c r="M206" s="399"/>
      <c r="N206" s="390"/>
    </row>
    <row r="207" spans="1:14" ht="15" customHeight="1">
      <c r="A207" s="711"/>
      <c r="B207" s="374" t="str">
        <f ca="1">CONCATENATE(WORLDCUP!AA127,"-",WORLDCUP!AF127)</f>
        <v>Egipto-Ghana</v>
      </c>
      <c r="C207" s="364" t="str">
        <f ca="1">CONCATENATE(WORLDCUP!AA127,"-",WORLDCUP!AF127,"·",IF(WORLDCUP!AC127&gt;WORLDCUP!AD127,1,IF(WORLDCUP!AC127&lt;WORLDCUP!AD127,2,IF(AND(WORLDCUP!AC127=WORLDCUP!AD127,WORLDCUP!AC127&lt;&gt;"",WORLDCUP!AD127&lt;&gt;""),"X",0))),"|",WORLDCUP!AC127,"-",WORLDCUP!AD127)</f>
        <v>Egipto-Ghana·2|2-3</v>
      </c>
      <c r="D207" s="712"/>
      <c r="E207" s="365"/>
      <c r="F207" s="365"/>
      <c r="G207" s="365"/>
      <c r="H207" s="365"/>
      <c r="I207" s="365"/>
      <c r="J207" s="383"/>
      <c r="K207" s="383"/>
      <c r="L207" s="383"/>
      <c r="M207" s="399"/>
      <c r="N207" s="390"/>
    </row>
    <row r="208" spans="1:14" ht="15" customHeight="1">
      <c r="A208" s="366"/>
      <c r="B208" s="366"/>
      <c r="C208" s="363"/>
      <c r="D208" s="712"/>
      <c r="E208" s="383"/>
      <c r="F208" s="383"/>
      <c r="G208" s="383"/>
      <c r="H208" s="383"/>
      <c r="I208" s="365"/>
      <c r="J208" s="383"/>
      <c r="K208" s="383"/>
      <c r="L208" s="383"/>
      <c r="M208" s="399"/>
      <c r="N208" s="390"/>
    </row>
    <row r="209" spans="1:14" ht="19.05" customHeight="1">
      <c r="A209" s="366"/>
      <c r="B209" s="371" t="str">
        <f>Idiomas!D128</f>
        <v>CLASIFICADOS PARA CUARTOS</v>
      </c>
      <c r="C209" s="363"/>
      <c r="D209" s="712"/>
      <c r="E209" s="383"/>
      <c r="F209" s="383"/>
      <c r="G209" s="383"/>
      <c r="H209" s="383"/>
      <c r="I209" s="365"/>
      <c r="J209" s="383"/>
      <c r="K209" s="383"/>
      <c r="L209" s="383"/>
      <c r="M209" s="399"/>
      <c r="N209" s="390"/>
    </row>
    <row r="210" spans="1:14" ht="15" customHeight="1">
      <c r="A210" s="711" t="s">
        <v>36</v>
      </c>
      <c r="B210" s="373" t="str">
        <f>Idiomas!$D$187</f>
        <v>Cuartofinalista</v>
      </c>
      <c r="C210" s="362" t="str">
        <f ca="1">WORLDCUP!AA131</f>
        <v>Alemania</v>
      </c>
      <c r="D210" s="712"/>
      <c r="E210" s="383"/>
      <c r="F210" s="383"/>
      <c r="G210" s="383"/>
      <c r="H210" s="383"/>
      <c r="I210" s="365"/>
      <c r="J210" s="383"/>
      <c r="K210" s="383"/>
      <c r="L210" s="383"/>
      <c r="M210" s="399"/>
      <c r="N210" s="390"/>
    </row>
    <row r="211" spans="1:14" ht="15" customHeight="1">
      <c r="A211" s="711"/>
      <c r="B211" s="373" t="str">
        <f>B210</f>
        <v>Cuartofinalista</v>
      </c>
      <c r="C211" s="362" t="str">
        <f ca="1">WORLDCUP!AA132</f>
        <v>Croacia</v>
      </c>
      <c r="D211" s="712"/>
      <c r="E211" s="383"/>
      <c r="F211" s="383"/>
      <c r="G211" s="383"/>
      <c r="H211" s="383"/>
      <c r="I211" s="365"/>
      <c r="J211" s="383"/>
      <c r="K211" s="383"/>
      <c r="L211" s="383"/>
      <c r="M211" s="399"/>
      <c r="N211" s="390"/>
    </row>
    <row r="212" spans="1:14" ht="15" customHeight="1">
      <c r="A212" s="711"/>
      <c r="B212" s="373" t="str">
        <f t="shared" ref="B212:B217" si="3">B211</f>
        <v>Cuartofinalista</v>
      </c>
      <c r="C212" s="362" t="str">
        <f ca="1">WORLDCUP!AA133</f>
        <v>Senegal</v>
      </c>
      <c r="D212" s="712"/>
      <c r="E212" s="383"/>
      <c r="F212" s="383"/>
      <c r="G212" s="383"/>
      <c r="H212" s="383"/>
      <c r="I212" s="365"/>
      <c r="J212" s="383"/>
      <c r="K212" s="383"/>
      <c r="L212" s="383"/>
      <c r="M212" s="399"/>
      <c r="N212" s="390"/>
    </row>
    <row r="213" spans="1:14" ht="15" customHeight="1">
      <c r="A213" s="711"/>
      <c r="B213" s="373" t="str">
        <f t="shared" si="3"/>
        <v>Cuartofinalista</v>
      </c>
      <c r="C213" s="362" t="str">
        <f ca="1">WORLDCUP!AA134</f>
        <v>Nueva Zelanda</v>
      </c>
      <c r="D213" s="712"/>
      <c r="E213" s="383"/>
      <c r="F213" s="383"/>
      <c r="G213" s="383"/>
      <c r="H213" s="383"/>
      <c r="I213" s="365"/>
      <c r="J213" s="383"/>
      <c r="K213" s="383"/>
      <c r="L213" s="383"/>
      <c r="M213" s="399"/>
      <c r="N213" s="390"/>
    </row>
    <row r="214" spans="1:14" ht="15" customHeight="1">
      <c r="A214" s="711"/>
      <c r="B214" s="373" t="str">
        <f t="shared" si="3"/>
        <v>Cuartofinalista</v>
      </c>
      <c r="C214" s="362" t="str">
        <f ca="1">WORLDCUP!AF131</f>
        <v>Marruecos</v>
      </c>
      <c r="D214" s="712"/>
      <c r="E214" s="383"/>
      <c r="F214" s="383"/>
      <c r="G214" s="383"/>
      <c r="H214" s="383"/>
      <c r="I214" s="365"/>
      <c r="J214" s="383"/>
      <c r="K214" s="383"/>
      <c r="L214" s="383"/>
      <c r="M214" s="399"/>
      <c r="N214" s="390"/>
    </row>
    <row r="215" spans="1:14" ht="15" customHeight="1">
      <c r="A215" s="711"/>
      <c r="B215" s="373" t="str">
        <f t="shared" si="3"/>
        <v>Cuartofinalista</v>
      </c>
      <c r="C215" s="362" t="str">
        <f ca="1">WORLDCUP!AF132</f>
        <v>PO D: DEN/MKD/CZE/IRL</v>
      </c>
      <c r="D215" s="712"/>
      <c r="E215" s="383"/>
      <c r="F215" s="383"/>
      <c r="G215" s="383"/>
      <c r="H215" s="383"/>
      <c r="I215" s="365"/>
      <c r="J215" s="383"/>
      <c r="K215" s="383"/>
      <c r="L215" s="383"/>
      <c r="M215" s="399"/>
      <c r="N215" s="390"/>
    </row>
    <row r="216" spans="1:14" ht="15" customHeight="1">
      <c r="A216" s="711"/>
      <c r="B216" s="373" t="str">
        <f t="shared" si="3"/>
        <v>Cuartofinalista</v>
      </c>
      <c r="C216" s="362" t="str">
        <f ca="1">WORLDCUP!AF133</f>
        <v>Noruega</v>
      </c>
      <c r="D216" s="712"/>
      <c r="E216" s="383"/>
      <c r="F216" s="383"/>
      <c r="G216" s="383"/>
      <c r="H216" s="383"/>
      <c r="I216" s="365"/>
      <c r="J216" s="383"/>
      <c r="K216" s="383"/>
      <c r="L216" s="383"/>
      <c r="M216" s="399"/>
      <c r="N216" s="390"/>
    </row>
    <row r="217" spans="1:14" ht="15" customHeight="1">
      <c r="A217" s="711"/>
      <c r="B217" s="373" t="str">
        <f t="shared" si="3"/>
        <v>Cuartofinalista</v>
      </c>
      <c r="C217" s="362" t="str">
        <f ca="1">WORLDCUP!AF134</f>
        <v>Ghana</v>
      </c>
      <c r="D217" s="712"/>
      <c r="E217" s="386"/>
      <c r="F217" s="386"/>
      <c r="G217" s="386"/>
      <c r="H217" s="386"/>
      <c r="I217" s="365"/>
      <c r="J217" s="383"/>
      <c r="K217" s="383"/>
      <c r="L217" s="383"/>
      <c r="M217" s="399"/>
      <c r="N217" s="390"/>
    </row>
    <row r="218" spans="1:14">
      <c r="A218" s="366"/>
      <c r="B218" s="366"/>
      <c r="C218" s="363"/>
      <c r="D218" s="383"/>
      <c r="E218" s="383"/>
      <c r="F218" s="383"/>
      <c r="G218" s="383"/>
      <c r="H218" s="383"/>
      <c r="I218" s="400"/>
      <c r="J218" s="383"/>
      <c r="K218" s="383"/>
      <c r="L218" s="383"/>
      <c r="M218" s="399"/>
      <c r="N218" s="390"/>
    </row>
    <row r="219" spans="1:14" ht="18">
      <c r="A219" s="366"/>
      <c r="B219" s="371" t="str">
        <f>Idiomas!D129</f>
        <v>ENFRENTAMIENTOS CUARTOS</v>
      </c>
      <c r="C219" s="363"/>
      <c r="D219" s="383"/>
      <c r="E219" s="383"/>
      <c r="F219" s="383"/>
      <c r="G219" s="383"/>
      <c r="H219" s="383"/>
      <c r="I219" s="401"/>
      <c r="J219" s="383"/>
      <c r="K219" s="383"/>
      <c r="L219" s="383"/>
      <c r="M219" s="399"/>
      <c r="N219" s="390"/>
    </row>
    <row r="220" spans="1:14" ht="15" customHeight="1">
      <c r="A220" s="711" t="s">
        <v>36</v>
      </c>
      <c r="B220" s="373" t="str">
        <f ca="1">CONCATENATE(WORLDCUP!AA131,"-",WORLDCUP!AF131)</f>
        <v>Alemania-Marruecos</v>
      </c>
      <c r="C220" s="362" t="str">
        <f ca="1">CONCATENATE(WORLDCUP!AA131,"-",WORLDCUP!AF131,"·",IF(WORLDCUP!AC131&gt;WORLDCUP!AD131,1,IF(WORLDCUP!AC131&lt;WORLDCUP!AD131,2,IF(AND(WORLDCUP!AC131=WORLDCUP!AD131,WORLDCUP!AC131&lt;&gt;"",WORLDCUP!AD131&lt;&gt;""),"X",0))),"|",WORLDCUP!AC131,"-",WORLDCUP!AD131)</f>
        <v>Alemania-Marruecos·1|2-1</v>
      </c>
      <c r="D220" s="713" t="s">
        <v>36</v>
      </c>
      <c r="E220" s="707" t="str">
        <f>Idiomas!D114</f>
        <v>·Para los cuartos de final copiar de la C220 a la C229 y pega valores en la plantilla de administrador.</v>
      </c>
      <c r="F220" s="707"/>
      <c r="G220" s="707"/>
      <c r="H220" s="707"/>
      <c r="I220" s="365"/>
      <c r="J220" s="383"/>
      <c r="K220" s="383"/>
      <c r="L220" s="383"/>
      <c r="M220" s="399"/>
      <c r="N220" s="390"/>
    </row>
    <row r="221" spans="1:14" ht="15" customHeight="1">
      <c r="A221" s="711"/>
      <c r="B221" s="373" t="str">
        <f ca="1">CONCATENATE(WORLDCUP!AA132,"-",WORLDCUP!AF132)</f>
        <v>Croacia-PO D: DEN/MKD/CZE/IRL</v>
      </c>
      <c r="C221" s="362" t="str">
        <f ca="1">CONCATENATE(WORLDCUP!AA132,"-",WORLDCUP!AF132,"·",IF(WORLDCUP!AC132&gt;WORLDCUP!AD132,1,IF(WORLDCUP!AC132&lt;WORLDCUP!AD132,2,IF(AND(WORLDCUP!AC132=WORLDCUP!AD132,WORLDCUP!AC132&lt;&gt;"",WORLDCUP!AD132&lt;&gt;""),"X",0))),"|",WORLDCUP!AC132,"-",WORLDCUP!AD132)</f>
        <v>Croacia-PO D: DEN/MKD/CZE/IRL·2|1-2</v>
      </c>
      <c r="D221" s="713"/>
      <c r="E221" s="707"/>
      <c r="F221" s="707"/>
      <c r="G221" s="707"/>
      <c r="H221" s="707"/>
      <c r="I221" s="365"/>
      <c r="J221" s="383"/>
      <c r="K221" s="383"/>
      <c r="L221" s="383"/>
      <c r="M221" s="399"/>
      <c r="N221" s="390"/>
    </row>
    <row r="222" spans="1:14" ht="15" customHeight="1">
      <c r="A222" s="711"/>
      <c r="B222" s="373" t="str">
        <f ca="1">CONCATENATE(WORLDCUP!AA133,"-",WORLDCUP!AF133)</f>
        <v>Senegal-Noruega</v>
      </c>
      <c r="C222" s="362" t="str">
        <f ca="1">CONCATENATE(WORLDCUP!AA133,"-",WORLDCUP!AF133,"·",IF(WORLDCUP!AC133&gt;WORLDCUP!AD133,1,IF(WORLDCUP!AC133&lt;WORLDCUP!AD133,2,IF(AND(WORLDCUP!AC133=WORLDCUP!AD133,WORLDCUP!AC133&lt;&gt;"",WORLDCUP!AD133&lt;&gt;""),"X",0))),"|",WORLDCUP!AC133,"-",WORLDCUP!AD133)</f>
        <v>Senegal-Noruega·1|2-1</v>
      </c>
      <c r="D222" s="713"/>
      <c r="E222" s="707"/>
      <c r="F222" s="707"/>
      <c r="G222" s="707"/>
      <c r="H222" s="707"/>
      <c r="I222" s="365"/>
      <c r="J222" s="383"/>
      <c r="K222" s="383"/>
      <c r="L222" s="383"/>
      <c r="M222" s="399"/>
      <c r="N222" s="390"/>
    </row>
    <row r="223" spans="1:14" ht="15" customHeight="1">
      <c r="A223" s="711"/>
      <c r="B223" s="373" t="str">
        <f ca="1">CONCATENATE(WORLDCUP!AA134,"-",WORLDCUP!AF134)</f>
        <v>Nueva Zelanda-Ghana</v>
      </c>
      <c r="C223" s="362" t="str">
        <f ca="1">CONCATENATE(WORLDCUP!AA134,"-",WORLDCUP!AF134,"·",IF(WORLDCUP!AC134&gt;WORLDCUP!AD134,1,IF(WORLDCUP!AC134&lt;WORLDCUP!AD134,2,IF(AND(WORLDCUP!AC134=WORLDCUP!AD134,WORLDCUP!AC134&lt;&gt;"",WORLDCUP!AD134&lt;&gt;""),"X",0))),"|",WORLDCUP!AC134,"-",WORLDCUP!AD134)</f>
        <v>Nueva Zelanda-Ghana·X|2-2</v>
      </c>
      <c r="D223" s="713"/>
      <c r="E223" s="707"/>
      <c r="F223" s="707"/>
      <c r="G223" s="707"/>
      <c r="H223" s="707"/>
      <c r="I223" s="365"/>
      <c r="J223" s="383"/>
      <c r="K223" s="383"/>
      <c r="L223" s="383"/>
      <c r="M223" s="399"/>
      <c r="N223" s="390"/>
    </row>
    <row r="224" spans="1:14">
      <c r="A224" s="366"/>
      <c r="B224" s="366"/>
      <c r="C224" s="363"/>
      <c r="D224" s="713"/>
      <c r="E224" s="365"/>
      <c r="F224" s="365"/>
      <c r="G224" s="365"/>
      <c r="H224" s="365"/>
      <c r="I224" s="365"/>
      <c r="J224" s="383"/>
      <c r="K224" s="383"/>
      <c r="L224" s="383"/>
      <c r="M224" s="399"/>
      <c r="N224" s="390"/>
    </row>
    <row r="225" spans="1:14" ht="18">
      <c r="A225" s="366"/>
      <c r="B225" s="371" t="str">
        <f>Idiomas!D130</f>
        <v>CLASIFICADOS PARA SEMIFINALES</v>
      </c>
      <c r="C225" s="363"/>
      <c r="D225" s="713"/>
      <c r="E225" s="383"/>
      <c r="F225" s="383"/>
      <c r="G225" s="383"/>
      <c r="H225" s="383"/>
      <c r="I225" s="365"/>
      <c r="J225" s="383"/>
      <c r="K225" s="383"/>
      <c r="L225" s="383"/>
      <c r="M225" s="399"/>
      <c r="N225" s="390"/>
    </row>
    <row r="226" spans="1:14" ht="15" customHeight="1">
      <c r="A226" s="711" t="s">
        <v>37</v>
      </c>
      <c r="B226" s="373" t="str">
        <f>Idiomas!$D$188</f>
        <v>Semifinalista</v>
      </c>
      <c r="C226" s="362" t="str">
        <f ca="1">WORLDCUP!AA138</f>
        <v>Alemania</v>
      </c>
      <c r="D226" s="713"/>
      <c r="E226" s="383"/>
      <c r="F226" s="383"/>
      <c r="G226" s="383"/>
      <c r="H226" s="383"/>
      <c r="I226" s="365"/>
      <c r="J226" s="383"/>
      <c r="K226" s="383"/>
      <c r="L226" s="383"/>
      <c r="M226" s="399"/>
      <c r="N226" s="390"/>
    </row>
    <row r="227" spans="1:14" ht="15" customHeight="1">
      <c r="A227" s="711"/>
      <c r="B227" s="373" t="str">
        <f>Idiomas!$D$188</f>
        <v>Semifinalista</v>
      </c>
      <c r="C227" s="362" t="str">
        <f ca="1">WORLDCUP!AA139</f>
        <v>Senegal</v>
      </c>
      <c r="D227" s="713"/>
      <c r="E227" s="383"/>
      <c r="F227" s="383"/>
      <c r="G227" s="383"/>
      <c r="H227" s="383"/>
      <c r="I227" s="365"/>
      <c r="J227" s="383"/>
      <c r="K227" s="383"/>
      <c r="L227" s="383"/>
      <c r="M227" s="399"/>
      <c r="N227" s="390"/>
    </row>
    <row r="228" spans="1:14" ht="15" customHeight="1">
      <c r="A228" s="711"/>
      <c r="B228" s="373" t="str">
        <f>Idiomas!$D$188</f>
        <v>Semifinalista</v>
      </c>
      <c r="C228" s="362" t="str">
        <f ca="1">WORLDCUP!AF138</f>
        <v>PO D: DEN/MKD/CZE/IRL</v>
      </c>
      <c r="D228" s="713"/>
      <c r="E228" s="383"/>
      <c r="F228" s="383"/>
      <c r="G228" s="383"/>
      <c r="H228" s="383"/>
      <c r="I228" s="365"/>
      <c r="J228" s="383"/>
      <c r="K228" s="383"/>
      <c r="L228" s="383"/>
      <c r="M228" s="399"/>
      <c r="N228" s="390"/>
    </row>
    <row r="229" spans="1:14" ht="15" customHeight="1">
      <c r="A229" s="711"/>
      <c r="B229" s="373" t="str">
        <f>Idiomas!$D$188</f>
        <v>Semifinalista</v>
      </c>
      <c r="C229" s="362" t="str">
        <f ca="1">WORLDCUP!AF139</f>
        <v>Ghana</v>
      </c>
      <c r="D229" s="713"/>
      <c r="E229" s="386"/>
      <c r="F229" s="386"/>
      <c r="G229" s="386"/>
      <c r="H229" s="386"/>
      <c r="I229" s="365"/>
      <c r="J229" s="383"/>
      <c r="K229" s="383"/>
      <c r="L229" s="383"/>
      <c r="M229" s="399"/>
      <c r="N229" s="390"/>
    </row>
    <row r="230" spans="1:14">
      <c r="A230" s="366"/>
      <c r="B230" s="366"/>
      <c r="C230" s="363"/>
      <c r="D230" s="383"/>
      <c r="E230" s="383"/>
      <c r="F230" s="383"/>
      <c r="G230" s="383"/>
      <c r="H230" s="383"/>
      <c r="I230" s="401"/>
      <c r="J230" s="383"/>
      <c r="K230" s="383"/>
      <c r="L230" s="383"/>
      <c r="M230" s="399"/>
      <c r="N230" s="390"/>
    </row>
    <row r="231" spans="1:14" ht="19.05" customHeight="1">
      <c r="A231" s="366"/>
      <c r="B231" s="371" t="str">
        <f>Idiomas!D131</f>
        <v>ENFRENTAMIENTOS SEMIFINALES</v>
      </c>
      <c r="C231" s="363"/>
      <c r="D231" s="383"/>
      <c r="E231" s="383"/>
      <c r="F231" s="383"/>
      <c r="G231" s="383"/>
      <c r="H231" s="383"/>
      <c r="I231" s="401"/>
      <c r="J231" s="383"/>
      <c r="K231" s="383"/>
      <c r="L231" s="383"/>
      <c r="M231" s="399"/>
      <c r="N231" s="390"/>
    </row>
    <row r="232" spans="1:14" ht="15" customHeight="1">
      <c r="A232" s="709" t="s">
        <v>37</v>
      </c>
      <c r="B232" s="373" t="str">
        <f ca="1">CONCATENATE(WORLDCUP!AA138,"-",WORLDCUP!AF138)</f>
        <v>Alemania-PO D: DEN/MKD/CZE/IRL</v>
      </c>
      <c r="C232" s="364" t="str">
        <f ca="1">CONCATENATE(WORLDCUP!AA138,"-",WORLDCUP!AF138,"·",IF(WORLDCUP!AC138&gt;WORLDCUP!AD138,1,IF(WORLDCUP!AC138&lt;WORLDCUP!AD138,2,IF(AND(WORLDCUP!AC138=WORLDCUP!AD138,WORLDCUP!AC138&lt;&gt;"",WORLDCUP!AD138&lt;&gt;""),"X",0))),"|",WORLDCUP!AC138,"-",WORLDCUP!AD138)</f>
        <v>Alemania-PO D: DEN/MKD/CZE/IRL·1|2-0</v>
      </c>
      <c r="D232" s="712" t="s">
        <v>37</v>
      </c>
      <c r="E232" s="707" t="str">
        <f>Idiomas!D115</f>
        <v>·Para las semifinales copiar de la C232 a la C241 y pega valores en la plantilla de administrador.</v>
      </c>
      <c r="F232" s="707"/>
      <c r="G232" s="707"/>
      <c r="H232" s="707"/>
      <c r="I232" s="365"/>
      <c r="J232" s="383"/>
      <c r="K232" s="383"/>
      <c r="L232" s="383"/>
      <c r="M232" s="399"/>
      <c r="N232" s="390"/>
    </row>
    <row r="233" spans="1:14" ht="15" customHeight="1">
      <c r="A233" s="709"/>
      <c r="B233" s="373" t="str">
        <f ca="1">CONCATENATE(WORLDCUP!AA139,"-",WORLDCUP!AF139)</f>
        <v>Senegal-Ghana</v>
      </c>
      <c r="C233" s="364" t="str">
        <f ca="1">CONCATENATE(WORLDCUP!AA139,"-",WORLDCUP!AF139,"·",IF(WORLDCUP!AC139&gt;WORLDCUP!AD139,1,IF(WORLDCUP!AC139&lt;WORLDCUP!AD139,2,IF(AND(WORLDCUP!AC139=WORLDCUP!AD139,WORLDCUP!AC139&lt;&gt;"",WORLDCUP!AD139&lt;&gt;""),"X",0))),"|",WORLDCUP!AC139,"-",WORLDCUP!AD139)</f>
        <v>Senegal-Ghana·2|1-3</v>
      </c>
      <c r="D233" s="712"/>
      <c r="E233" s="707"/>
      <c r="F233" s="707"/>
      <c r="G233" s="707"/>
      <c r="H233" s="707"/>
      <c r="I233" s="365"/>
      <c r="J233" s="383"/>
      <c r="K233" s="383"/>
      <c r="L233" s="383"/>
      <c r="M233" s="399"/>
      <c r="N233" s="390"/>
    </row>
    <row r="234" spans="1:14" ht="15" customHeight="1">
      <c r="A234" s="366"/>
      <c r="B234" s="366"/>
      <c r="C234" s="363"/>
      <c r="D234" s="712"/>
      <c r="E234" s="707"/>
      <c r="F234" s="707"/>
      <c r="G234" s="707"/>
      <c r="H234" s="707"/>
      <c r="I234" s="365"/>
      <c r="J234" s="383"/>
      <c r="K234" s="383"/>
      <c r="L234" s="383"/>
      <c r="M234" s="399"/>
      <c r="N234" s="390"/>
    </row>
    <row r="235" spans="1:14" ht="18">
      <c r="A235" s="366"/>
      <c r="B235" s="371" t="str">
        <f>Idiomas!D132</f>
        <v>CLASIFICADOS PARA EL 3º y 4º PUESTO</v>
      </c>
      <c r="C235" s="363"/>
      <c r="D235" s="712"/>
      <c r="E235" s="707"/>
      <c r="F235" s="707"/>
      <c r="G235" s="707"/>
      <c r="H235" s="707"/>
      <c r="I235" s="365"/>
      <c r="J235" s="383"/>
      <c r="K235" s="383"/>
      <c r="L235" s="383"/>
      <c r="M235" s="399"/>
      <c r="N235" s="390"/>
    </row>
    <row r="236" spans="1:14" ht="15" customHeight="1">
      <c r="A236" s="709" t="s">
        <v>510</v>
      </c>
      <c r="B236" s="373" t="str">
        <f>Idiomas!D189</f>
        <v>3º y 4º puesto</v>
      </c>
      <c r="C236" s="362" t="str">
        <f ca="1">WORLDCUP!AA143</f>
        <v>PO D: DEN/MKD/CZE/IRL</v>
      </c>
      <c r="D236" s="712"/>
      <c r="E236" s="387"/>
      <c r="F236" s="387"/>
      <c r="G236" s="387"/>
      <c r="H236" s="387"/>
      <c r="I236" s="365"/>
      <c r="J236" s="383"/>
      <c r="K236" s="383"/>
      <c r="L236" s="383"/>
      <c r="M236" s="399"/>
      <c r="N236" s="390"/>
    </row>
    <row r="237" spans="1:14" ht="15" customHeight="1">
      <c r="A237" s="709"/>
      <c r="B237" s="373" t="str">
        <f>Idiomas!D189</f>
        <v>3º y 4º puesto</v>
      </c>
      <c r="C237" s="362" t="str">
        <f ca="1">WORLDCUP!AF143</f>
        <v>Senegal</v>
      </c>
      <c r="D237" s="712"/>
      <c r="E237" s="387"/>
      <c r="F237" s="387"/>
      <c r="G237" s="387"/>
      <c r="H237" s="387"/>
      <c r="I237" s="365"/>
      <c r="J237" s="383"/>
      <c r="K237" s="383"/>
      <c r="L237" s="383"/>
      <c r="M237" s="399"/>
      <c r="N237" s="390"/>
    </row>
    <row r="238" spans="1:14" ht="15" customHeight="1">
      <c r="A238" s="366"/>
      <c r="B238" s="366"/>
      <c r="C238" s="363"/>
      <c r="D238" s="712"/>
      <c r="E238" s="387"/>
      <c r="F238" s="387"/>
      <c r="G238" s="387"/>
      <c r="H238" s="387"/>
      <c r="I238" s="365"/>
      <c r="J238" s="383"/>
      <c r="K238" s="383"/>
      <c r="L238" s="383"/>
      <c r="M238" s="399"/>
      <c r="N238" s="390"/>
    </row>
    <row r="239" spans="1:14" ht="19.05" customHeight="1">
      <c r="A239" s="366"/>
      <c r="B239" s="371" t="str">
        <f>Idiomas!D133</f>
        <v>CLASIFICADOS PARA LA FINAL</v>
      </c>
      <c r="C239" s="363"/>
      <c r="D239" s="712"/>
      <c r="E239" s="387"/>
      <c r="F239" s="387"/>
      <c r="G239" s="387"/>
      <c r="H239" s="387"/>
      <c r="I239" s="365"/>
      <c r="J239" s="383"/>
      <c r="K239" s="383"/>
      <c r="L239" s="383"/>
      <c r="M239" s="399"/>
      <c r="N239" s="390"/>
    </row>
    <row r="240" spans="1:14" ht="15" customHeight="1">
      <c r="A240" s="709" t="s">
        <v>4</v>
      </c>
      <c r="B240" s="373" t="str">
        <f>Idiomas!D190</f>
        <v>Finalista</v>
      </c>
      <c r="C240" s="362" t="str">
        <f ca="1">WORLDCUP!AA147</f>
        <v>Alemania</v>
      </c>
      <c r="D240" s="712"/>
      <c r="E240" s="383"/>
      <c r="F240" s="383"/>
      <c r="G240" s="383"/>
      <c r="H240" s="383"/>
      <c r="I240" s="365"/>
      <c r="J240" s="383"/>
      <c r="K240" s="383"/>
      <c r="L240" s="383"/>
      <c r="M240" s="399"/>
      <c r="N240" s="390"/>
    </row>
    <row r="241" spans="1:14" ht="15" customHeight="1">
      <c r="A241" s="709"/>
      <c r="B241" s="373" t="str">
        <f>B240</f>
        <v>Finalista</v>
      </c>
      <c r="C241" s="362" t="str">
        <f ca="1">WORLDCUP!AF147</f>
        <v>Ghana</v>
      </c>
      <c r="D241" s="712"/>
      <c r="E241" s="388"/>
      <c r="F241" s="388"/>
      <c r="G241" s="388"/>
      <c r="H241" s="402"/>
      <c r="I241" s="403"/>
      <c r="J241" s="383"/>
      <c r="K241" s="383"/>
      <c r="L241" s="383"/>
      <c r="M241" s="399"/>
      <c r="N241" s="390"/>
    </row>
    <row r="242" spans="1:14">
      <c r="A242" s="366"/>
      <c r="B242" s="366"/>
      <c r="C242" s="363"/>
      <c r="D242" s="383"/>
      <c r="E242" s="383"/>
      <c r="F242" s="383"/>
      <c r="G242" s="383"/>
      <c r="H242" s="383"/>
      <c r="I242" s="400"/>
      <c r="J242" s="383"/>
      <c r="K242" s="383"/>
      <c r="L242" s="383"/>
      <c r="M242" s="399"/>
      <c r="N242" s="390"/>
    </row>
    <row r="243" spans="1:14" ht="18">
      <c r="A243" s="366"/>
      <c r="B243" s="371" t="str">
        <f>Idiomas!D134</f>
        <v>3º-4º puesto</v>
      </c>
      <c r="C243" s="363"/>
      <c r="D243" s="383"/>
      <c r="E243" s="383"/>
      <c r="F243" s="383"/>
      <c r="G243" s="383"/>
      <c r="H243" s="383"/>
      <c r="I243" s="401"/>
      <c r="J243" s="383"/>
      <c r="K243" s="383"/>
      <c r="L243" s="383"/>
      <c r="M243" s="399"/>
      <c r="N243" s="390"/>
    </row>
    <row r="244" spans="1:14" ht="15" customHeight="1">
      <c r="A244" s="375" t="s">
        <v>510</v>
      </c>
      <c r="B244" s="373" t="str">
        <f ca="1">CONCATENATE(WORLDCUP!AA143,"-",WORLDCUP!AF143)</f>
        <v>PO D: DEN/MKD/CZE/IRL-Senegal</v>
      </c>
      <c r="C244" s="362" t="str">
        <f ca="1">CONCATENATE(WORLDCUP!AA143,"-",WORLDCUP!AF143,"·",IF(WORLDCUP!AC143&gt;WORLDCUP!AD143,1,IF(WORLDCUP!AC143&lt;WORLDCUP!AD143,2,IF(AND(WORLDCUP!AC143=WORLDCUP!AD143,WORLDCUP!AC143&lt;&gt;"",WORLDCUP!AD143&lt;&gt;""),"X",0))),"|",WORLDCUP!AC143,"-",WORLDCUP!AD143)</f>
        <v>PO D: DEN/MKD/CZE/IRL-Senegal·1|2-1</v>
      </c>
      <c r="D244" s="710" t="s">
        <v>590</v>
      </c>
      <c r="E244" s="708" t="str">
        <f>Idiomas!D116</f>
        <v>·Para el 3º y 4º puesto y la Final copiar de la C244 a la C252 y pega valores en la plantilla de administrador.</v>
      </c>
      <c r="F244" s="708"/>
      <c r="G244" s="708"/>
      <c r="H244" s="708"/>
      <c r="I244" s="394"/>
      <c r="J244" s="383"/>
      <c r="K244" s="383"/>
      <c r="L244" s="383"/>
      <c r="M244" s="399"/>
      <c r="N244" s="390"/>
    </row>
    <row r="245" spans="1:14" ht="15" customHeight="1">
      <c r="A245" s="366"/>
      <c r="B245" s="366"/>
      <c r="C245" s="363"/>
      <c r="D245" s="710"/>
      <c r="E245" s="708"/>
      <c r="F245" s="708"/>
      <c r="G245" s="708"/>
      <c r="H245" s="708"/>
      <c r="I245" s="394"/>
      <c r="J245" s="383"/>
      <c r="K245" s="383"/>
      <c r="L245" s="383"/>
      <c r="M245" s="399"/>
      <c r="N245" s="390"/>
    </row>
    <row r="246" spans="1:14" ht="21" customHeight="1">
      <c r="A246" s="366"/>
      <c r="B246" s="371" t="str">
        <f>Idiomas!D135</f>
        <v>ENFRENTAMIENTO FINAL</v>
      </c>
      <c r="C246" s="363"/>
      <c r="D246" s="710"/>
      <c r="E246" s="708"/>
      <c r="F246" s="708"/>
      <c r="G246" s="708"/>
      <c r="H246" s="708"/>
      <c r="I246" s="394"/>
      <c r="J246" s="383"/>
      <c r="K246" s="383"/>
      <c r="L246" s="383"/>
      <c r="M246" s="399"/>
      <c r="N246" s="390"/>
    </row>
    <row r="247" spans="1:14" ht="15" customHeight="1">
      <c r="A247" s="375" t="s">
        <v>4</v>
      </c>
      <c r="B247" s="373" t="str">
        <f ca="1">CONCATENATE(WORLDCUP!AA147,"-",WORLDCUP!AF147)</f>
        <v>Alemania-Ghana</v>
      </c>
      <c r="C247" s="364" t="str">
        <f ca="1">CONCATENATE(WORLDCUP!AA147,"-",WORLDCUP!AF147,"·",IF(WORLDCUP!AC147&gt;WORLDCUP!AD147,1,IF(WORLDCUP!AC147&lt;WORLDCUP!AD147,2,IF(AND(WORLDCUP!AC147=WORLDCUP!AD147,WORLDCUP!AC147&lt;&gt;"",WORLDCUP!AD147&lt;&gt;""),"X",0))),"|",WORLDCUP!AC147,"-",WORLDCUP!AD147)</f>
        <v>Alemania-Ghana·1|2-1</v>
      </c>
      <c r="D247" s="710"/>
      <c r="E247" s="389"/>
      <c r="F247" s="389"/>
      <c r="G247" s="389"/>
      <c r="H247" s="389"/>
      <c r="I247" s="394"/>
      <c r="J247" s="383"/>
      <c r="K247" s="383"/>
      <c r="L247" s="383"/>
      <c r="M247" s="399"/>
      <c r="N247" s="390"/>
    </row>
    <row r="248" spans="1:14" ht="15" customHeight="1">
      <c r="A248" s="366"/>
      <c r="B248" s="366"/>
      <c r="C248" s="363"/>
      <c r="D248" s="710"/>
      <c r="E248" s="387"/>
      <c r="F248" s="387"/>
      <c r="G248" s="387"/>
      <c r="H248" s="387"/>
      <c r="I248" s="394"/>
      <c r="J248" s="383"/>
      <c r="K248" s="383"/>
      <c r="L248" s="383"/>
      <c r="M248" s="399"/>
      <c r="N248" s="390"/>
    </row>
    <row r="249" spans="1:14" ht="19.05" customHeight="1">
      <c r="A249" s="366"/>
      <c r="B249" s="371" t="str">
        <f>Idiomas!D136</f>
        <v>CUADRO DE HONOR</v>
      </c>
      <c r="C249" s="363"/>
      <c r="D249" s="710"/>
      <c r="E249" s="387"/>
      <c r="F249" s="387"/>
      <c r="G249" s="387"/>
      <c r="H249" s="387"/>
      <c r="I249" s="394"/>
      <c r="J249" s="383"/>
      <c r="K249" s="383"/>
      <c r="L249" s="383"/>
      <c r="M249" s="399"/>
      <c r="N249" s="390"/>
    </row>
    <row r="250" spans="1:14" ht="15" customHeight="1">
      <c r="A250" s="376"/>
      <c r="B250" s="373" t="str">
        <f>WORLDCUP!W150</f>
        <v>🥇Campeón</v>
      </c>
      <c r="C250" s="362" t="str">
        <f ca="1">WORLDCUP!AA150</f>
        <v>Alemania</v>
      </c>
      <c r="D250" s="710"/>
      <c r="E250" s="387"/>
      <c r="F250" s="387"/>
      <c r="G250" s="387"/>
      <c r="H250" s="387"/>
      <c r="I250" s="394"/>
      <c r="J250" s="383"/>
      <c r="K250" s="383"/>
      <c r="L250" s="383"/>
      <c r="M250" s="399"/>
      <c r="N250" s="390"/>
    </row>
    <row r="251" spans="1:14" ht="15" customHeight="1">
      <c r="A251" s="377"/>
      <c r="B251" s="373" t="str">
        <f>WORLDCUP!W151</f>
        <v>🥈Subcampeón</v>
      </c>
      <c r="C251" s="362" t="str">
        <f ca="1">WORLDCUP!AA151</f>
        <v>Ghana</v>
      </c>
      <c r="D251" s="710"/>
      <c r="E251" s="387"/>
      <c r="F251" s="387"/>
      <c r="G251" s="387"/>
      <c r="H251" s="387"/>
      <c r="I251" s="403"/>
      <c r="J251" s="396"/>
      <c r="K251" s="385"/>
      <c r="L251" s="385"/>
      <c r="M251" s="399"/>
      <c r="N251" s="390"/>
    </row>
    <row r="252" spans="1:14" ht="15" customHeight="1">
      <c r="A252" s="377"/>
      <c r="B252" s="373" t="str">
        <f>WORLDCUP!W152</f>
        <v>🥉3º puesto</v>
      </c>
      <c r="C252" s="362" t="str">
        <f ca="1">WORLDCUP!AA152</f>
        <v>PO D: DEN/MKD/CZE/IRL</v>
      </c>
      <c r="D252" s="710"/>
      <c r="E252" s="383"/>
      <c r="F252" s="383"/>
      <c r="G252" s="383"/>
      <c r="H252" s="383"/>
      <c r="I252" s="365"/>
      <c r="J252" s="383"/>
      <c r="K252" s="383"/>
      <c r="L252" s="383"/>
      <c r="M252" s="404"/>
      <c r="N252" s="390"/>
    </row>
    <row r="253" spans="1:14" ht="15" customHeight="1">
      <c r="A253" s="378"/>
      <c r="B253" s="373" t="str">
        <f>WORLDCUP!W154</f>
        <v>Bota de Oro  (máximo goleador)</v>
      </c>
      <c r="C253" s="362" t="str">
        <f>WORLDCUP!AA154</f>
        <v>Escribe un jugador</v>
      </c>
      <c r="D253" s="384"/>
      <c r="E253" s="706" t="str">
        <f>Idiomas!D117</f>
        <v>·Al inicio de la competición si se hace por fases copiar de la C253 a la C258 y pegarla al final del jugador en el archivo de administrador.</v>
      </c>
      <c r="F253" s="706"/>
      <c r="G253" s="706"/>
      <c r="H253" s="706"/>
      <c r="I253" s="405"/>
      <c r="J253" s="405"/>
      <c r="K253" s="405"/>
      <c r="L253" s="406"/>
      <c r="M253" s="406"/>
      <c r="N253" s="390"/>
    </row>
    <row r="254" spans="1:14" ht="15" customHeight="1">
      <c r="A254" s="379"/>
      <c r="B254" s="373" t="str">
        <f>WORLDCUP!W155</f>
        <v>Bota de Plata (2º máximo goleador)</v>
      </c>
      <c r="C254" s="362" t="str">
        <f>WORLDCUP!AA155</f>
        <v>Escribe un jugador</v>
      </c>
      <c r="D254" s="384"/>
      <c r="E254" s="706"/>
      <c r="F254" s="706"/>
      <c r="G254" s="706"/>
      <c r="H254" s="706"/>
      <c r="I254" s="405"/>
      <c r="J254" s="405"/>
      <c r="K254" s="405"/>
      <c r="L254" s="406"/>
      <c r="M254" s="406"/>
      <c r="N254" s="390"/>
    </row>
    <row r="255" spans="1:14" ht="15" customHeight="1">
      <c r="A255" s="379"/>
      <c r="B255" s="373" t="str">
        <f>WORLDCUP!W156</f>
        <v>Bota de Bronce (3º máximo goleador)</v>
      </c>
      <c r="C255" s="362" t="str">
        <f>WORLDCUP!AA156</f>
        <v>Escribe un jugador</v>
      </c>
      <c r="D255" s="384"/>
      <c r="E255" s="706"/>
      <c r="F255" s="706"/>
      <c r="G255" s="706"/>
      <c r="H255" s="706"/>
      <c r="I255" s="405"/>
      <c r="J255" s="405"/>
      <c r="K255" s="405"/>
      <c r="L255" s="406"/>
      <c r="M255" s="406"/>
      <c r="N255" s="390"/>
    </row>
    <row r="256" spans="1:14" ht="15" customHeight="1">
      <c r="A256" s="376"/>
      <c r="B256" s="373" t="str">
        <f>WORLDCUP!W158</f>
        <v>Balón de Oro  (mejor jugador)</v>
      </c>
      <c r="C256" s="362" t="str">
        <f>WORLDCUP!AA158</f>
        <v>Escribe un jugador</v>
      </c>
      <c r="D256" s="384"/>
      <c r="E256" s="706"/>
      <c r="F256" s="706"/>
      <c r="G256" s="706"/>
      <c r="H256" s="706"/>
      <c r="I256" s="405"/>
      <c r="J256" s="405"/>
      <c r="K256" s="405"/>
      <c r="L256" s="406"/>
      <c r="M256" s="406"/>
      <c r="N256" s="390"/>
    </row>
    <row r="257" spans="1:14" ht="15" customHeight="1">
      <c r="A257" s="377"/>
      <c r="B257" s="373" t="str">
        <f>WORLDCUP!W159</f>
        <v>Balón de Plata (2º mejor jugador)</v>
      </c>
      <c r="C257" s="362" t="str">
        <f>WORLDCUP!AA159</f>
        <v>Escribe un jugador</v>
      </c>
      <c r="D257" s="384"/>
      <c r="E257" s="384"/>
      <c r="F257" s="405"/>
      <c r="G257" s="405"/>
      <c r="H257" s="405"/>
      <c r="I257" s="405"/>
      <c r="J257" s="405"/>
      <c r="K257" s="405"/>
      <c r="L257" s="406"/>
      <c r="M257" s="406"/>
      <c r="N257" s="390"/>
    </row>
    <row r="258" spans="1:14" ht="15" customHeight="1">
      <c r="A258" s="377"/>
      <c r="B258" s="373" t="str">
        <f>WORLDCUP!W160</f>
        <v>Balón de Bronce (3º mejor jugador)</v>
      </c>
      <c r="C258" s="362" t="str">
        <f>WORLDCUP!AA160</f>
        <v>Escribe un jugador</v>
      </c>
      <c r="D258" s="384"/>
      <c r="E258" s="384"/>
      <c r="F258" s="405"/>
      <c r="G258" s="405"/>
      <c r="H258" s="405"/>
      <c r="I258" s="405"/>
      <c r="J258" s="405"/>
      <c r="K258" s="405"/>
      <c r="L258" s="406"/>
      <c r="M258" s="406"/>
      <c r="N258" s="390"/>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0" zoomScaleNormal="80" workbookViewId="0">
      <selection activeCell="AC47" sqref="AC47"/>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95" customWidth="1"/>
    <col min="2" max="2" width="2.6640625" style="10"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95" customWidth="1"/>
    <col min="14" max="14" width="2.6640625" style="10"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95" hidden="1" customWidth="1"/>
    <col min="25" max="25" width="2.77734375" style="10" customWidth="1"/>
    <col min="26" max="26" width="7.44140625" style="10" bestFit="1" customWidth="1"/>
    <col min="27" max="27" width="9.77734375" style="3" customWidth="1"/>
    <col min="28" max="29" width="4.33203125" style="3" customWidth="1"/>
    <col min="30" max="30" width="2.77734375" style="10" customWidth="1"/>
    <col min="31" max="31" width="9.77734375" style="3" customWidth="1"/>
    <col min="32" max="33" width="4.33203125" style="3" customWidth="1"/>
    <col min="34" max="34" width="2.77734375" style="10" customWidth="1"/>
    <col min="35" max="35" width="9.77734375" style="3" customWidth="1"/>
    <col min="36" max="37" width="4.33203125" style="3" customWidth="1"/>
    <col min="38" max="38" width="2.77734375" style="10" customWidth="1"/>
    <col min="39" max="39" width="9.77734375" style="3" customWidth="1"/>
    <col min="40" max="41" width="4.33203125" style="3" customWidth="1"/>
    <col min="42" max="42" width="2.77734375" style="10" customWidth="1"/>
    <col min="43" max="43" width="9.77734375" style="3" customWidth="1"/>
    <col min="44" max="45" width="4.33203125" style="3" customWidth="1"/>
    <col min="46" max="46" width="2.77734375" style="10"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90"/>
      <c r="B1" s="159"/>
      <c r="C1" s="161"/>
      <c r="D1" s="161"/>
      <c r="E1" s="161"/>
      <c r="F1" s="161"/>
      <c r="G1" s="161"/>
      <c r="H1" s="161"/>
      <c r="I1" s="161"/>
      <c r="J1" s="161"/>
      <c r="K1" s="161"/>
      <c r="L1" s="161"/>
      <c r="M1" s="190"/>
      <c r="N1" s="159"/>
      <c r="O1" s="161"/>
      <c r="P1" s="161"/>
      <c r="Q1" s="161"/>
      <c r="R1" s="161"/>
      <c r="S1" s="161"/>
      <c r="T1" s="161"/>
      <c r="U1" s="161"/>
      <c r="V1" s="161"/>
      <c r="W1" s="161"/>
      <c r="X1" s="190"/>
      <c r="Y1" s="159"/>
      <c r="Z1" s="159"/>
      <c r="AA1" s="161"/>
      <c r="AB1" s="161"/>
      <c r="AC1" s="161"/>
      <c r="AD1" s="190"/>
      <c r="AE1" s="161"/>
      <c r="AF1" s="161"/>
      <c r="AG1" s="161"/>
      <c r="AH1" s="159"/>
      <c r="AI1" s="161"/>
      <c r="AJ1" s="161"/>
      <c r="AK1" s="161"/>
      <c r="AL1" s="190"/>
      <c r="AM1" s="161"/>
      <c r="AN1" s="161"/>
      <c r="AO1" s="161"/>
      <c r="AP1" s="159"/>
      <c r="AQ1" s="161"/>
      <c r="AR1" s="161"/>
      <c r="AS1" s="161"/>
      <c r="AT1" s="190"/>
      <c r="AU1" s="161"/>
      <c r="AV1" s="161"/>
      <c r="AW1" s="161"/>
      <c r="AX1" s="161"/>
      <c r="AY1" s="161"/>
      <c r="AZ1" s="161"/>
      <c r="BA1" s="161"/>
      <c r="BB1" s="161"/>
      <c r="BC1" s="161"/>
      <c r="BD1" s="161"/>
      <c r="BE1" s="161"/>
    </row>
    <row r="2" spans="1:67" ht="10.050000000000001" customHeight="1" thickBot="1">
      <c r="A2" s="190"/>
      <c r="B2" s="159"/>
      <c r="C2" s="155"/>
      <c r="D2" s="155"/>
      <c r="E2" s="155"/>
      <c r="F2" s="155"/>
      <c r="G2" s="155"/>
      <c r="H2" s="155"/>
      <c r="I2" s="155"/>
      <c r="J2" s="155"/>
      <c r="K2" s="155"/>
      <c r="L2" s="155"/>
      <c r="M2" s="188"/>
      <c r="N2" s="455"/>
      <c r="O2" s="456"/>
      <c r="P2" s="155"/>
      <c r="Q2" s="161"/>
      <c r="R2" s="161"/>
      <c r="S2" s="457"/>
      <c r="T2" s="161"/>
      <c r="U2" s="155"/>
      <c r="V2" s="155"/>
      <c r="W2" s="155"/>
      <c r="X2" s="188"/>
      <c r="Y2" s="455"/>
      <c r="Z2" s="455"/>
      <c r="AA2" s="161"/>
      <c r="AB2" s="161"/>
      <c r="AC2" s="161"/>
      <c r="AD2" s="188"/>
      <c r="AE2" s="161"/>
      <c r="AF2" s="161"/>
      <c r="AG2" s="161"/>
      <c r="AH2" s="159"/>
      <c r="AI2" s="458"/>
      <c r="AJ2" s="458"/>
      <c r="AK2" s="458"/>
      <c r="AL2" s="459"/>
      <c r="AM2" s="458"/>
      <c r="AN2" s="458"/>
      <c r="AO2" s="458"/>
      <c r="AP2" s="190"/>
      <c r="AQ2" s="458"/>
      <c r="AR2" s="458"/>
      <c r="AS2" s="458"/>
      <c r="AT2" s="190"/>
      <c r="AU2" s="458"/>
      <c r="AV2" s="458"/>
      <c r="AW2" s="458"/>
      <c r="AX2" s="161"/>
      <c r="AY2" s="161"/>
      <c r="AZ2" s="161"/>
      <c r="BA2" s="161"/>
      <c r="BB2" s="161"/>
      <c r="BC2" s="161"/>
      <c r="BD2" s="161"/>
      <c r="BE2" s="161"/>
    </row>
    <row r="3" spans="1:67" ht="15" thickBot="1">
      <c r="A3" s="190">
        <v>1</v>
      </c>
      <c r="B3" s="460" t="s">
        <v>0</v>
      </c>
      <c r="C3" s="461" t="str">
        <f ca="1">+MID(INDEX(WORLDCUP!$AA$4:$AA$147,MATCH(A3,WORLDCUP!$AH$4:$AH$147,0)),1,3)</f>
        <v>Méx</v>
      </c>
      <c r="D3" s="462">
        <f>IF(ISBLANK(INDEX(WORLDCUP!$AC$4:$AC$147,MATCH(A3,WORLDCUP!$AH$4:$AH$147,0))),"",INDEX(WORLDCUP!$AC$4:$AC$147,MATCH(A3,WORLDCUP!$AH$4:$AH$147,0)))</f>
        <v>2</v>
      </c>
      <c r="E3" s="462">
        <f>IF(ISBLANK(INDEX(WORLDCUP!$AD$4:$AD$147,MATCH(A3,WORLDCUP!$AH$4:$AH$147,0))),"",INDEX(WORLDCUP!$AD$4:$AD$147,MATCH(A3,WORLDCUP!$AH$4:$AH$147,0)))</f>
        <v>1</v>
      </c>
      <c r="F3" s="463" t="str">
        <f ca="1">+MID(INDEX(WORLDCUP!$AF$4:$AF$147,MATCH(A3,WORLDCUP!$AH$4:$AH$147,0)),1,3)</f>
        <v>Sud</v>
      </c>
      <c r="G3" s="464"/>
      <c r="H3" s="465" t="str">
        <f>MID(WORLDCUP!AL5,1,3)</f>
        <v>Sel</v>
      </c>
      <c r="I3" s="466" t="s">
        <v>34</v>
      </c>
      <c r="J3" s="466" t="str">
        <f>WORLDCUP!AT5</f>
        <v>DG</v>
      </c>
      <c r="K3" s="467" t="str">
        <f>WORLDCUP!AR5&amp;"-"&amp;WORLDCUP!AS5</f>
        <v>GF-GC</v>
      </c>
      <c r="L3" s="190"/>
      <c r="M3" s="190">
        <v>15</v>
      </c>
      <c r="N3" s="468" t="s">
        <v>6</v>
      </c>
      <c r="O3" s="461" t="str">
        <f ca="1">+MID(INDEX(WORLDCUP!$AA$4:$AA$147,MATCH(M3,WORLDCUP!$AH$4:$AH$147,0)),1,3)</f>
        <v>Bél</v>
      </c>
      <c r="P3" s="462">
        <f>IF(ISBLANK(INDEX(WORLDCUP!$AC$4:$AC$147,MATCH(M3,WORLDCUP!$AH$4:$AH$147,0))),"",INDEX(WORLDCUP!$AC$4:$AC$147,MATCH(M3,WORLDCUP!$AH$4:$AH$147,0)))</f>
        <v>1</v>
      </c>
      <c r="Q3" s="462">
        <f>IF(ISBLANK(INDEX(WORLDCUP!$AD$4:$AD$147,MATCH(M3,WORLDCUP!$AH$4:$AH$147,0))),"",INDEX(WORLDCUP!$AD$4:$AD$147,MATCH(M3,WORLDCUP!$AH$4:$AH$147,0)))</f>
        <v>0</v>
      </c>
      <c r="R3" s="463" t="str">
        <f ca="1">+MID(INDEX(WORLDCUP!$AF$4:$AF$147,MATCH(M3,WORLDCUP!$AH$4:$AH$147,0)),1,3)</f>
        <v>Egi</v>
      </c>
      <c r="S3" s="464"/>
      <c r="T3" s="465" t="str">
        <f>+H43</f>
        <v>Sel</v>
      </c>
      <c r="U3" s="466" t="str">
        <f>+I43</f>
        <v>Pts</v>
      </c>
      <c r="V3" s="466" t="str">
        <f>+J43</f>
        <v>DG</v>
      </c>
      <c r="W3" s="467" t="str">
        <f>+K43</f>
        <v>GF-GC</v>
      </c>
      <c r="X3" s="190"/>
      <c r="Y3" s="190">
        <v>74</v>
      </c>
      <c r="Z3" s="469" t="s">
        <v>680</v>
      </c>
      <c r="AA3" s="470" t="str">
        <f ca="1">+MID(INDEX(WORLDCUP!$AA$101:$AA$147,MATCH(Y3,WORLDCUP!$Z$101:$Z$147,0)),1,3)</f>
        <v>Ale</v>
      </c>
      <c r="AB3" s="471">
        <f>+IF(ISBLANK(INDEX(WORLDCUP!$AC$101:$AC$147,MATCH(Y3,WORLDCUP!$Z$101:$Z$147))),"",INDEX(WORLDCUP!$AC$101:$AC$147,MATCH(Y3,WORLDCUP!$Z$101:$Z$147)))</f>
        <v>1</v>
      </c>
      <c r="AC3" s="472" t="str">
        <f>+IF(ISBLANK(INDEX(WORLDCUP!$AB$101:$AB$147,MATCH(Y3,WORLDCUP!$Z$101:$Z$147))),"","( "&amp;INDEX(WORLDCUP!$AB$101:$AB$147,MATCH(Y3,WORLDCUP!$Z$101:$Z$147))&amp;" )")</f>
        <v>( 1 )</v>
      </c>
      <c r="AD3" s="188"/>
      <c r="AE3" s="473"/>
      <c r="AF3" s="473"/>
      <c r="AG3" s="473"/>
      <c r="AH3" s="190"/>
      <c r="AI3" s="474"/>
      <c r="AJ3" s="474"/>
      <c r="AK3" s="474"/>
      <c r="AL3" s="459"/>
      <c r="AM3" s="475"/>
      <c r="AN3" s="475"/>
      <c r="AO3" s="475"/>
      <c r="AP3" s="190"/>
      <c r="AQ3" s="476"/>
      <c r="AR3" s="476"/>
      <c r="AS3" s="476"/>
      <c r="AT3" s="190"/>
      <c r="AU3" s="477"/>
      <c r="AV3" s="477"/>
      <c r="AW3" s="477"/>
      <c r="AX3" s="190"/>
      <c r="AY3" s="161"/>
      <c r="AZ3" s="161"/>
      <c r="BA3" s="161"/>
      <c r="BB3" s="161"/>
      <c r="BC3" s="161"/>
      <c r="BD3" s="161"/>
      <c r="BE3" s="161"/>
      <c r="BG3" s="478"/>
      <c r="BH3" s="479" t="s">
        <v>6</v>
      </c>
      <c r="BI3" s="480" t="s">
        <v>500</v>
      </c>
      <c r="BJ3" s="481" t="s">
        <v>90</v>
      </c>
      <c r="BK3" s="482" t="s">
        <v>36</v>
      </c>
      <c r="BL3" s="483" t="s">
        <v>37</v>
      </c>
      <c r="BM3" s="484" t="s">
        <v>1364</v>
      </c>
      <c r="BN3" s="485" t="s">
        <v>1365</v>
      </c>
      <c r="BO3" s="486" t="s">
        <v>1366</v>
      </c>
    </row>
    <row r="4" spans="1:67" ht="15" thickBot="1">
      <c r="A4" s="190">
        <v>2</v>
      </c>
      <c r="B4" s="487"/>
      <c r="C4" s="488" t="str">
        <f ca="1">+MID(INDEX(WORLDCUP!$AA$4:$AA$147,MATCH(A4,WORLDCUP!$AH$4:$AH$147,0)),1,3)</f>
        <v>Cor</v>
      </c>
      <c r="D4" s="489">
        <f>IF(ISBLANK(INDEX(WORLDCUP!$AC$4:$AC$147,MATCH(A4,WORLDCUP!$AH$4:$AH$147,0))),"",INDEX(WORLDCUP!$AC$4:$AC$147,MATCH(A4,WORLDCUP!$AH$4:$AH$147,0)))</f>
        <v>1</v>
      </c>
      <c r="E4" s="489">
        <f>IF(ISBLANK(INDEX(WORLDCUP!$AD$4:$AD$147,MATCH(A4,WORLDCUP!$AH$4:$AH$147,0))),"",INDEX(WORLDCUP!$AD$4:$AD$147,MATCH(A4,WORLDCUP!$AH$4:$AH$147,0)))</f>
        <v>1</v>
      </c>
      <c r="F4" s="490" t="str">
        <f ca="1">+MID(INDEX(WORLDCUP!$AF$4:$AF$147,MATCH(A4,WORLDCUP!$AH$4:$AH$147,0)),1,3)</f>
        <v xml:space="preserve">PO </v>
      </c>
      <c r="G4" s="491">
        <v>1</v>
      </c>
      <c r="H4" s="492" t="str">
        <f ca="1">+MID(INDEX(WORLDCUP!$AL$6:$AL$97,MATCH(L4,WORLDCUP!$AI$6:$AI$97,0)),1,3)</f>
        <v>Méx</v>
      </c>
      <c r="I4" s="493">
        <f ca="1">+INDEX(WORLDCUP!$AM$6:$AM$97,MATCH(L4,WORLDCUP!$AI$6:$AI$97,0))</f>
        <v>7</v>
      </c>
      <c r="J4" s="494">
        <f ca="1">+INDEX(WORLDCUP!$AT$6:$AT$97,MATCH(L4,WORLDCUP!$AI$6:$AI$97,0))</f>
        <v>2</v>
      </c>
      <c r="K4" s="495" t="str">
        <f ca="1">+INDEX(WORLDCUP!$AR$6:$AR$97,MATCH(L4,WORLDCUP!$AI$6:$AI$97,0))&amp;"-"&amp;INDEX(WORLDCUP!$AS$6:$AS$97,MATCH(L4,WORLDCUP!$AI$6:$AI$97,0))</f>
        <v>3-1</v>
      </c>
      <c r="L4" s="190" t="s">
        <v>664</v>
      </c>
      <c r="M4" s="190">
        <v>16</v>
      </c>
      <c r="N4" s="496"/>
      <c r="O4" s="488" t="str">
        <f ca="1">+MID(INDEX(WORLDCUP!$AA$4:$AA$147,MATCH(M4,WORLDCUP!$AH$4:$AH$147,0)),1,3)</f>
        <v>Irá</v>
      </c>
      <c r="P4" s="489">
        <f>IF(ISBLANK(INDEX(WORLDCUP!$AC$4:$AC$147,MATCH(M4,WORLDCUP!$AH$4:$AH$147,0))),"",INDEX(WORLDCUP!$AC$4:$AC$147,MATCH(M4,WORLDCUP!$AH$4:$AH$147,0)))</f>
        <v>0</v>
      </c>
      <c r="Q4" s="489">
        <f>IF(ISBLANK(INDEX(WORLDCUP!$AD$4:$AD$147,MATCH(M4,WORLDCUP!$AH$4:$AH$147,0))),"",INDEX(WORLDCUP!$AD$4:$AD$147,MATCH(M4,WORLDCUP!$AH$4:$AH$147,0)))</f>
        <v>1</v>
      </c>
      <c r="R4" s="490" t="str">
        <f ca="1">+MID(INDEX(WORLDCUP!$AF$4:$AF$147,MATCH(M4,WORLDCUP!$AH$4:$AH$147,0)),1,3)</f>
        <v>Nue</v>
      </c>
      <c r="S4" s="491">
        <v>1</v>
      </c>
      <c r="T4" s="492" t="str">
        <f ca="1">+MID(INDEX(WORLDCUP!$AL$6:$AL$97,MATCH(X4,WORLDCUP!$AI$6:$AI$97,0)),1,3)</f>
        <v>Bél</v>
      </c>
      <c r="U4" s="493">
        <f ca="1">+INDEX(WORLDCUP!$AM$6:$AM$97,MATCH(X4,WORLDCUP!$AI$6:$AI$97,0))</f>
        <v>9</v>
      </c>
      <c r="V4" s="494">
        <f ca="1">+INDEX(WORLDCUP!$AT$6:$AT$97,MATCH(X4,WORLDCUP!$AI$6:$AI$97,0))</f>
        <v>4</v>
      </c>
      <c r="W4" s="495" t="str">
        <f ca="1">+INDEX(WORLDCUP!$AR$6:$AR$97,MATCH(X4,WORLDCUP!$AI$6:$AI$97,0))&amp;"-"&amp;INDEX(WORLDCUP!$AS$6:$AS$97,MATCH(X4,WORLDCUP!$AI$6:$AI$97,0))</f>
        <v>4-0</v>
      </c>
      <c r="X4" s="190" t="s">
        <v>686</v>
      </c>
      <c r="Y4" s="190">
        <v>74</v>
      </c>
      <c r="Z4" s="469" t="s">
        <v>741</v>
      </c>
      <c r="AA4" s="470" t="str">
        <f ca="1">+MID(INDEX(WORLDCUP!$AF$101:$AF$147,MATCH(Y4,WORLDCUP!$Z$101:$Z$147,0)),1,IF(WORLDCUP!$H$113&lt;144,6,3))</f>
        <v>Esc</v>
      </c>
      <c r="AB4" s="497">
        <f>+IF(ISBLANK(INDEX(WORLDCUP!$AD$101:$AD$147,MATCH(Y4,WORLDCUP!$Z$101:$Z$147))),"",INDEX(WORLDCUP!$AD$101:$AD$147,MATCH(Y4,WORLDCUP!$Z$101:$Z$147)))</f>
        <v>0</v>
      </c>
      <c r="AC4" s="498" t="str">
        <f>+IF(ISBLANK(INDEX(WORLDCUP!$AE$101:$AE$147,MATCH(Y4,WORLDCUP!$Z$101:$Z$147))),"","( "&amp;INDEX(WORLDCUP!$AE$101:$AE$147,MATCH(Y4,WORLDCUP!$Z$101:$Z$147))&amp;" )")</f>
        <v>( 4 )</v>
      </c>
      <c r="AD4" s="499">
        <v>89</v>
      </c>
      <c r="AE4" s="500" t="str">
        <f ca="1">+MID(INDEX(WORLDCUP!$AA$101:$AA$147,MATCH(AD4,WORLDCUP!$Z$101:$Z$147,0)),1,3)</f>
        <v>Ale</v>
      </c>
      <c r="AF4" s="501">
        <f>+IF(ISBLANK(INDEX(WORLDCUP!$AC$101:$AC$147,MATCH(AD4,WORLDCUP!$Z$101:$Z$147))),"",INDEX(WORLDCUP!$AC$101:$AC$147,MATCH(AD4,WORLDCUP!$Z$101:$Z$147)))</f>
        <v>0</v>
      </c>
      <c r="AG4" s="502" t="str">
        <f>+IF(ISBLANK(INDEX(WORLDCUP!$AB$101:$AB$147,MATCH(AD4,WORLDCUP!$Z$101:$Z$147))),"","( "&amp;INDEX(WORLDCUP!$AB$101:$AB$147,MATCH(AD4,WORLDCUP!$Z$101:$Z$147))&amp;" )")</f>
        <v/>
      </c>
      <c r="AH4" s="190"/>
      <c r="AI4" s="503"/>
      <c r="AJ4" s="503"/>
      <c r="AK4" s="503"/>
      <c r="AL4" s="459"/>
      <c r="AM4" s="475"/>
      <c r="AN4" s="475"/>
      <c r="AO4" s="475"/>
      <c r="AP4" s="190"/>
      <c r="AQ4" s="504"/>
      <c r="AR4" s="504"/>
      <c r="AS4" s="504"/>
      <c r="AT4" s="190"/>
      <c r="AU4" s="477"/>
      <c r="AV4" s="477"/>
      <c r="AW4" s="477"/>
      <c r="AX4" s="190"/>
      <c r="AY4" s="505"/>
      <c r="AZ4" s="161"/>
      <c r="BA4" s="161"/>
      <c r="BB4" s="161"/>
      <c r="BC4" s="161"/>
      <c r="BD4" s="161"/>
      <c r="BE4" s="161"/>
      <c r="BG4" s="506" t="str">
        <f ca="1">Horarios!Q3</f>
        <v>Alemania</v>
      </c>
      <c r="BH4" s="507">
        <f ca="1">1-SUM(BI4:BO4)</f>
        <v>0</v>
      </c>
      <c r="BI4" s="507">
        <f ca="1">COUNTIF(Pool!$C$130:$C$161,Fixture!BG4)-BJ4-BK4-BL4-BM4-BN4-BO4</f>
        <v>0</v>
      </c>
      <c r="BJ4" s="508">
        <f ca="1">COUNTIF(Pool!$C$182:$C$197,Fixture!BG4)-BK4-BL4-BM4-BN4-BO4</f>
        <v>0</v>
      </c>
      <c r="BK4" s="509">
        <f ca="1">COUNTIF(Pool!$C$210:$C$217,Fixture!BG4)-BL4-BM4-BN4-BO4</f>
        <v>0</v>
      </c>
      <c r="BL4" s="509">
        <f ca="1">COUNTIF(Pool!$C$226:$C$229,Fixture!BG4)-BM4-BN4-BO4</f>
        <v>0</v>
      </c>
      <c r="BM4" s="507">
        <f ca="1">COUNTIF(Pool!$C$252,Fixture!BG4)</f>
        <v>0</v>
      </c>
      <c r="BN4" s="507">
        <f ca="1">COUNTIF(Pool!$C$251,Fixture!BG4)</f>
        <v>0</v>
      </c>
      <c r="BO4" s="510">
        <f ca="1">COUNTIF(Pool!$C$250,Fixture!BG4)</f>
        <v>1</v>
      </c>
    </row>
    <row r="5" spans="1:67">
      <c r="A5" s="190">
        <v>25</v>
      </c>
      <c r="B5" s="487"/>
      <c r="C5" s="488" t="str">
        <f ca="1">+MID(INDEX(WORLDCUP!$AA$4:$AA$147,MATCH(A5,WORLDCUP!$AH$4:$AH$147,0)),1,3)</f>
        <v xml:space="preserve">PO </v>
      </c>
      <c r="D5" s="489">
        <f>IF(ISBLANK(INDEX(WORLDCUP!$AC$4:$AC$147,MATCH(A5,WORLDCUP!$AH$4:$AH$147,0))),"",INDEX(WORLDCUP!$AC$4:$AC$147,MATCH(A5,WORLDCUP!$AH$4:$AH$147,0)))</f>
        <v>1</v>
      </c>
      <c r="E5" s="489">
        <f>IF(ISBLANK(INDEX(WORLDCUP!$AD$4:$AD$147,MATCH(A5,WORLDCUP!$AH$4:$AH$147,0))),"",INDEX(WORLDCUP!$AD$4:$AD$147,MATCH(A5,WORLDCUP!$AH$4:$AH$147,0)))</f>
        <v>1</v>
      </c>
      <c r="F5" s="490" t="str">
        <f ca="1">+MID(INDEX(WORLDCUP!$AF$4:$AF$147,MATCH(A5,WORLDCUP!$AH$4:$AH$147,0)),1,3)</f>
        <v>Sud</v>
      </c>
      <c r="G5" s="511">
        <v>2</v>
      </c>
      <c r="H5" s="512" t="str">
        <f ca="1">+MID(INDEX(WORLDCUP!$AL$6:$AL$97,MATCH(L5,WORLDCUP!$AI$6:$AI$97,0)),1,3)</f>
        <v>Sud</v>
      </c>
      <c r="I5" s="41">
        <f ca="1">+INDEX(WORLDCUP!$AM$6:$AM$97,MATCH(L5,WORLDCUP!$AI$6:$AI$97,0))</f>
        <v>4</v>
      </c>
      <c r="J5" s="42">
        <f ca="1">+INDEX(WORLDCUP!$AT$6:$AT$97,MATCH(L5,WORLDCUP!$AI$6:$AI$97,0))</f>
        <v>0</v>
      </c>
      <c r="K5" s="48" t="str">
        <f ca="1">+INDEX(WORLDCUP!$AR$6:$AR$97,MATCH(L5,WORLDCUP!$AI$6:$AI$97,0))&amp;"-"&amp;INDEX(WORLDCUP!$AS$6:$AS$97,MATCH(L5,WORLDCUP!$AI$6:$AI$97,0))</f>
        <v>3-3</v>
      </c>
      <c r="L5" s="190" t="s">
        <v>665</v>
      </c>
      <c r="M5" s="190">
        <v>39</v>
      </c>
      <c r="N5" s="496"/>
      <c r="O5" s="488" t="str">
        <f ca="1">+MID(INDEX(WORLDCUP!$AA$4:$AA$147,MATCH(M5,WORLDCUP!$AH$4:$AH$147,0)),1,3)</f>
        <v>Bél</v>
      </c>
      <c r="P5" s="489">
        <f>IF(ISBLANK(INDEX(WORLDCUP!$AC$4:$AC$147,MATCH(M5,WORLDCUP!$AH$4:$AH$147,0))),"",INDEX(WORLDCUP!$AC$4:$AC$147,MATCH(M5,WORLDCUP!$AH$4:$AH$147,0)))</f>
        <v>1</v>
      </c>
      <c r="Q5" s="489">
        <f>IF(ISBLANK(INDEX(WORLDCUP!$AD$4:$AD$147,MATCH(M5,WORLDCUP!$AH$4:$AH$147,0))),"",INDEX(WORLDCUP!$AD$4:$AD$147,MATCH(M5,WORLDCUP!$AH$4:$AH$147,0)))</f>
        <v>0</v>
      </c>
      <c r="R5" s="490" t="str">
        <f ca="1">+MID(INDEX(WORLDCUP!$AF$4:$AF$147,MATCH(M5,WORLDCUP!$AH$4:$AH$147,0)),1,3)</f>
        <v>Irá</v>
      </c>
      <c r="S5" s="511">
        <v>2</v>
      </c>
      <c r="T5" s="512" t="str">
        <f ca="1">+MID(INDEX(WORLDCUP!$AL$6:$AL$97,MATCH(X5,WORLDCUP!$AI$6:$AI$97,0)),1,3)</f>
        <v>Nue</v>
      </c>
      <c r="U5" s="41">
        <f ca="1">+INDEX(WORLDCUP!$AM$6:$AM$97,MATCH(X5,WORLDCUP!$AI$6:$AI$97,0))</f>
        <v>4</v>
      </c>
      <c r="V5" s="42">
        <f ca="1">+INDEX(WORLDCUP!$AT$6:$AT$97,MATCH(X5,WORLDCUP!$AI$6:$AI$97,0))</f>
        <v>-1</v>
      </c>
      <c r="W5" s="48" t="str">
        <f ca="1">+INDEX(WORLDCUP!$AR$6:$AR$97,MATCH(X5,WORLDCUP!$AI$6:$AI$97,0))&amp;"-"&amp;INDEX(WORLDCUP!$AS$6:$AS$97,MATCH(X5,WORLDCUP!$AI$6:$AI$97,0))</f>
        <v>1-2</v>
      </c>
      <c r="X5" s="190" t="s">
        <v>687</v>
      </c>
      <c r="Y5" s="190"/>
      <c r="Z5" s="469"/>
      <c r="AA5" s="513"/>
      <c r="AB5" s="513"/>
      <c r="AC5" s="514"/>
      <c r="AD5" s="190">
        <v>89</v>
      </c>
      <c r="AE5" s="500" t="str">
        <f ca="1">+MID(INDEX(WORLDCUP!$AF$101:$AF$147,MATCH(AD5,WORLDCUP!$Z$101:$Z$147,0)),1,3)</f>
        <v>Jap</v>
      </c>
      <c r="AF5" s="501">
        <f>+IF(ISBLANK(INDEX(WORLDCUP!$AD$101:$AD$147,MATCH(AD5,WORLDCUP!$Z$101:$Z$147))),"",INDEX(WORLDCUP!$AD$101:$AD$147,MATCH(AD5,WORLDCUP!$Z$101:$Z$147)))</f>
        <v>1</v>
      </c>
      <c r="AG5" s="515" t="str">
        <f>+IF(ISBLANK(INDEX(WORLDCUP!$AE$101:$AE$147,MATCH(AD5,WORLDCUP!$Z$101:$Z$147))),"","( "&amp;INDEX(WORLDCUP!$AE$101:$AE$147,MATCH(AD5,WORLDCUP!$Z$101:$Z$147))&amp;" )")</f>
        <v/>
      </c>
      <c r="AH5" s="190"/>
      <c r="AI5" s="503"/>
      <c r="AJ5" s="503"/>
      <c r="AK5" s="503"/>
      <c r="AL5" s="459"/>
      <c r="AM5" s="475"/>
      <c r="AN5" s="475"/>
      <c r="AO5" s="475"/>
      <c r="AP5" s="190"/>
      <c r="AQ5" s="504"/>
      <c r="AR5" s="504"/>
      <c r="AS5" s="504"/>
      <c r="AT5" s="190"/>
      <c r="AU5" s="477"/>
      <c r="AV5" s="477"/>
      <c r="AW5" s="477"/>
      <c r="AX5" s="190"/>
      <c r="AY5" s="161"/>
      <c r="AZ5" s="161"/>
      <c r="BA5" s="161"/>
      <c r="BB5" s="161"/>
      <c r="BC5" s="161"/>
      <c r="BD5" s="161"/>
      <c r="BE5" s="161"/>
      <c r="BG5" s="506" t="str">
        <f ca="1">Horarios!Q4</f>
        <v>Arabia Saudita</v>
      </c>
      <c r="BH5" s="507">
        <f t="shared" ref="BH5:BH51" ca="1" si="0">1-SUM(BI5:BO5)</f>
        <v>0</v>
      </c>
      <c r="BI5" s="507">
        <f ca="1">COUNTIF(Pool!$C$130:$C$161,Fixture!BG5)-BJ5-BK5-BL5-BM5-BN5-BO5</f>
        <v>0</v>
      </c>
      <c r="BJ5" s="508">
        <f ca="1">COUNTIF(Pool!$C$182:$C$197,Fixture!BG5)-BK5-BL5-BM5-BN5-BO5</f>
        <v>1</v>
      </c>
      <c r="BK5" s="509">
        <f ca="1">COUNTIF(Pool!$C$210:$C$217,Fixture!BG5)-BL5-BM5-BN5-BO5</f>
        <v>0</v>
      </c>
      <c r="BL5" s="509">
        <f ca="1">COUNTIF(Pool!$C$226:$C$229,Fixture!BG5)-BM5-BN5-BO5</f>
        <v>0</v>
      </c>
      <c r="BM5" s="507">
        <f ca="1">COUNTIF(Pool!$C$252,Fixture!BG5)</f>
        <v>0</v>
      </c>
      <c r="BN5" s="507">
        <f ca="1">COUNTIF(Pool!$C$251,Fixture!BG5)</f>
        <v>0</v>
      </c>
      <c r="BO5" s="510">
        <f ca="1">COUNTIF(Pool!$C$250,Fixture!BG5)</f>
        <v>0</v>
      </c>
    </row>
    <row r="6" spans="1:67" ht="15" thickBot="1">
      <c r="A6" s="190">
        <v>28</v>
      </c>
      <c r="B6" s="487"/>
      <c r="C6" s="488" t="str">
        <f ca="1">+MID(INDEX(WORLDCUP!$AA$4:$AA$147,MATCH(A6,WORLDCUP!$AH$4:$AH$147,0)),1,3)</f>
        <v>Méx</v>
      </c>
      <c r="D6" s="489">
        <f>IF(ISBLANK(INDEX(WORLDCUP!$AC$4:$AC$147,MATCH(A6,WORLDCUP!$AH$4:$AH$147,0))),"",INDEX(WORLDCUP!$AC$4:$AC$147,MATCH(A6,WORLDCUP!$AH$4:$AH$147,0)))</f>
        <v>0</v>
      </c>
      <c r="E6" s="489">
        <f>IF(ISBLANK(INDEX(WORLDCUP!$AD$4:$AD$147,MATCH(A6,WORLDCUP!$AH$4:$AH$147,0))),"",INDEX(WORLDCUP!$AD$4:$AD$147,MATCH(A6,WORLDCUP!$AH$4:$AH$147,0)))</f>
        <v>0</v>
      </c>
      <c r="F6" s="490" t="str">
        <f ca="1">+MID(INDEX(WORLDCUP!$AF$4:$AF$147,MATCH(A6,WORLDCUP!$AH$4:$AH$147,0)),1,3)</f>
        <v>Cor</v>
      </c>
      <c r="G6" s="511">
        <v>3</v>
      </c>
      <c r="H6" s="512" t="str">
        <f ca="1">+MID(INDEX(WORLDCUP!$AL$6:$AL$97,MATCH(L6,WORLDCUP!$AI$6:$AI$97,0)),1,3)</f>
        <v xml:space="preserve">PO </v>
      </c>
      <c r="I6" s="41">
        <f ca="1">+INDEX(WORLDCUP!$AM$6:$AM$97,MATCH(L6,WORLDCUP!$AI$6:$AI$97,0))</f>
        <v>2</v>
      </c>
      <c r="J6" s="42">
        <f ca="1">+INDEX(WORLDCUP!$AT$6:$AT$97,MATCH(L6,WORLDCUP!$AI$6:$AI$97,0))</f>
        <v>-1</v>
      </c>
      <c r="K6" s="48" t="str">
        <f ca="1">+INDEX(WORLDCUP!$AR$6:$AR$97,MATCH(L6,WORLDCUP!$AI$6:$AI$97,0))&amp;"-"&amp;INDEX(WORLDCUP!$AS$6:$AS$97,MATCH(L6,WORLDCUP!$AI$6:$AI$97,0))</f>
        <v>2-3</v>
      </c>
      <c r="L6" s="190" t="s">
        <v>91</v>
      </c>
      <c r="M6" s="190">
        <v>40</v>
      </c>
      <c r="N6" s="496"/>
      <c r="O6" s="488" t="str">
        <f ca="1">+MID(INDEX(WORLDCUP!$AA$4:$AA$147,MATCH(M6,WORLDCUP!$AH$4:$AH$147,0)),1,3)</f>
        <v>Nue</v>
      </c>
      <c r="P6" s="489">
        <f>IF(ISBLANK(INDEX(WORLDCUP!$AC$4:$AC$147,MATCH(M6,WORLDCUP!$AH$4:$AH$147,0))),"",INDEX(WORLDCUP!$AC$4:$AC$147,MATCH(M6,WORLDCUP!$AH$4:$AH$147,0)))</f>
        <v>0</v>
      </c>
      <c r="Q6" s="489">
        <f>IF(ISBLANK(INDEX(WORLDCUP!$AD$4:$AD$147,MATCH(M6,WORLDCUP!$AH$4:$AH$147,0))),"",INDEX(WORLDCUP!$AD$4:$AD$147,MATCH(M6,WORLDCUP!$AH$4:$AH$147,0)))</f>
        <v>0</v>
      </c>
      <c r="R6" s="490" t="str">
        <f ca="1">+MID(INDEX(WORLDCUP!$AF$4:$AF$147,MATCH(M6,WORLDCUP!$AH$4:$AH$147,0)),1,3)</f>
        <v>Egi</v>
      </c>
      <c r="S6" s="511">
        <v>3</v>
      </c>
      <c r="T6" s="512" t="str">
        <f ca="1">+MID(INDEX(WORLDCUP!$AL$6:$AL$97,MATCH(X6,WORLDCUP!$AI$6:$AI$97,0)),1,3)</f>
        <v>Egi</v>
      </c>
      <c r="U6" s="41">
        <f ca="1">+INDEX(WORLDCUP!$AM$6:$AM$97,MATCH(X6,WORLDCUP!$AI$6:$AI$97,0))</f>
        <v>2</v>
      </c>
      <c r="V6" s="42">
        <f ca="1">+INDEX(WORLDCUP!$AT$6:$AT$97,MATCH(X6,WORLDCUP!$AI$6:$AI$97,0))</f>
        <v>-1</v>
      </c>
      <c r="W6" s="48" t="str">
        <f ca="1">+INDEX(WORLDCUP!$AR$6:$AR$97,MATCH(X6,WORLDCUP!$AI$6:$AI$97,0))&amp;"-"&amp;INDEX(WORLDCUP!$AS$6:$AS$97,MATCH(X6,WORLDCUP!$AI$6:$AI$97,0))</f>
        <v>0-1</v>
      </c>
      <c r="X6" s="190" t="s">
        <v>452</v>
      </c>
      <c r="Y6" s="190">
        <v>77</v>
      </c>
      <c r="Z6" s="469" t="s">
        <v>692</v>
      </c>
      <c r="AA6" s="470" t="str">
        <f ca="1">+MID(INDEX(WORLDCUP!$AA$101:$AA$147,MATCH(Y6,WORLDCUP!$Z$101:$Z$147,0)),1,3)</f>
        <v>Fra</v>
      </c>
      <c r="AB6" s="516">
        <f>+IF(ISBLANK(INDEX(WORLDCUP!$AC$101:$AC$147,MATCH(Y6,WORLDCUP!$Z$101:$Z$147))),"",INDEX(WORLDCUP!$AC$101:$AC$147,MATCH(Y6,WORLDCUP!$Z$101:$Z$147)))</f>
        <v>0</v>
      </c>
      <c r="AC6" s="517" t="str">
        <f>+IF(ISBLANK(INDEX(WORLDCUP!$AB$101:$AB$147,MATCH(Y6,WORLDCUP!$Z$101:$Z$147))),"","( "&amp;INDEX(WORLDCUP!$AB$101:$AB$147,MATCH(Y6,WORLDCUP!$Z$101:$Z$147))&amp;" )")</f>
        <v/>
      </c>
      <c r="AD6" s="190"/>
      <c r="AE6" s="518"/>
      <c r="AF6" s="518"/>
      <c r="AG6" s="519"/>
      <c r="AH6" s="190"/>
      <c r="AI6" s="503"/>
      <c r="AJ6" s="503"/>
      <c r="AK6" s="503"/>
      <c r="AL6" s="459"/>
      <c r="AM6" s="475"/>
      <c r="AN6" s="475"/>
      <c r="AO6" s="475"/>
      <c r="AP6" s="190"/>
      <c r="AQ6" s="504"/>
      <c r="AR6" s="504"/>
      <c r="AS6" s="504"/>
      <c r="AT6" s="190"/>
      <c r="AU6" s="477"/>
      <c r="AV6" s="477"/>
      <c r="AW6" s="477"/>
      <c r="AX6" s="190"/>
      <c r="AY6" s="161"/>
      <c r="AZ6" s="161"/>
      <c r="BA6" s="161"/>
      <c r="BB6" s="161"/>
      <c r="BC6" s="161"/>
      <c r="BD6" s="161"/>
      <c r="BE6" s="161"/>
      <c r="BG6" s="506" t="str">
        <f ca="1">Horarios!Q5</f>
        <v>Argelia</v>
      </c>
      <c r="BH6" s="507">
        <f t="shared" ca="1" si="0"/>
        <v>1</v>
      </c>
      <c r="BI6" s="507">
        <f ca="1">COUNTIF(Pool!$C$130:$C$161,Fixture!BG6)-BJ6-BK6-BL6-BM6-BN6-BO6</f>
        <v>0</v>
      </c>
      <c r="BJ6" s="508">
        <f ca="1">COUNTIF(Pool!$C$182:$C$197,Fixture!BG6)-BK6-BL6-BM6-BN6-BO6</f>
        <v>0</v>
      </c>
      <c r="BK6" s="509">
        <f ca="1">COUNTIF(Pool!$C$210:$C$217,Fixture!BG6)-BL6-BM6-BN6-BO6</f>
        <v>0</v>
      </c>
      <c r="BL6" s="509">
        <f ca="1">COUNTIF(Pool!$C$226:$C$229,Fixture!BG6)-BM6-BN6-BO6</f>
        <v>0</v>
      </c>
      <c r="BM6" s="507">
        <f ca="1">COUNTIF(Pool!$C$252,Fixture!BG6)</f>
        <v>0</v>
      </c>
      <c r="BN6" s="507">
        <f ca="1">COUNTIF(Pool!$C$251,Fixture!BG6)</f>
        <v>0</v>
      </c>
      <c r="BO6" s="510">
        <f ca="1">COUNTIF(Pool!$C$250,Fixture!BG6)</f>
        <v>0</v>
      </c>
    </row>
    <row r="7" spans="1:67" ht="15" thickBot="1">
      <c r="A7" s="190">
        <v>53</v>
      </c>
      <c r="B7" s="487"/>
      <c r="C7" s="488" t="str">
        <f ca="1">+MID(INDEX(WORLDCUP!$AA$4:$AA$147,MATCH(A7,WORLDCUP!$AH$4:$AH$147,0)),1,3)</f>
        <v xml:space="preserve">PO </v>
      </c>
      <c r="D7" s="489">
        <f>IF(ISBLANK(INDEX(WORLDCUP!$AC$4:$AC$147,MATCH(A7,WORLDCUP!$AH$4:$AH$147,0))),"",INDEX(WORLDCUP!$AC$4:$AC$147,MATCH(A7,WORLDCUP!$AH$4:$AH$147,0)))</f>
        <v>0</v>
      </c>
      <c r="E7" s="489">
        <f>IF(ISBLANK(INDEX(WORLDCUP!$AD$4:$AD$147,MATCH(A7,WORLDCUP!$AH$4:$AH$147,0))),"",INDEX(WORLDCUP!$AD$4:$AD$147,MATCH(A7,WORLDCUP!$AH$4:$AH$147,0)))</f>
        <v>1</v>
      </c>
      <c r="F7" s="490" t="str">
        <f ca="1">+MID(INDEX(WORLDCUP!$AF$4:$AF$147,MATCH(A7,WORLDCUP!$AH$4:$AH$147,0)),1,3)</f>
        <v>Méx</v>
      </c>
      <c r="G7" s="511">
        <v>4</v>
      </c>
      <c r="H7" s="520" t="str">
        <f ca="1">+MID(INDEX(WORLDCUP!$AL$6:$AL$97,MATCH(L7,WORLDCUP!$AI$6:$AI$97,0)),1,3)</f>
        <v>Cor</v>
      </c>
      <c r="I7" s="521">
        <f ca="1">+INDEX(WORLDCUP!$AM$6:$AM$97,MATCH(L7,WORLDCUP!$AI$6:$AI$97,0))</f>
        <v>2</v>
      </c>
      <c r="J7" s="522">
        <f ca="1">+INDEX(WORLDCUP!$AT$6:$AT$97,MATCH(L7,WORLDCUP!$AI$6:$AI$97,0))</f>
        <v>-1</v>
      </c>
      <c r="K7" s="523" t="str">
        <f ca="1">+INDEX(WORLDCUP!$AR$6:$AR$97,MATCH(L7,WORLDCUP!$AI$6:$AI$97,0))&amp;"-"&amp;INDEX(WORLDCUP!$AS$6:$AS$97,MATCH(L7,WORLDCUP!$AI$6:$AI$97,0))</f>
        <v>1-2</v>
      </c>
      <c r="L7" s="190" t="s">
        <v>666</v>
      </c>
      <c r="M7" s="190">
        <v>63</v>
      </c>
      <c r="N7" s="496"/>
      <c r="O7" s="488" t="str">
        <f ca="1">+MID(INDEX(WORLDCUP!$AA$4:$AA$147,MATCH(M7,WORLDCUP!$AH$4:$AH$147,0)),1,3)</f>
        <v>Egi</v>
      </c>
      <c r="P7" s="489">
        <f>IF(ISBLANK(INDEX(WORLDCUP!$AC$4:$AC$147,MATCH(M7,WORLDCUP!$AH$4:$AH$147,0))),"",INDEX(WORLDCUP!$AC$4:$AC$147,MATCH(M7,WORLDCUP!$AH$4:$AH$147,0)))</f>
        <v>0</v>
      </c>
      <c r="Q7" s="489">
        <f>IF(ISBLANK(INDEX(WORLDCUP!$AD$4:$AD$147,MATCH(M7,WORLDCUP!$AH$4:$AH$147,0))),"",INDEX(WORLDCUP!$AD$4:$AD$147,MATCH(M7,WORLDCUP!$AH$4:$AH$147,0)))</f>
        <v>0</v>
      </c>
      <c r="R7" s="490" t="str">
        <f ca="1">+MID(INDEX(WORLDCUP!$AF$4:$AF$147,MATCH(M7,WORLDCUP!$AH$4:$AH$147,0)),1,3)</f>
        <v>Irá</v>
      </c>
      <c r="S7" s="511">
        <v>4</v>
      </c>
      <c r="T7" s="520" t="str">
        <f ca="1">+MID(INDEX(WORLDCUP!$AL$6:$AL$97,MATCH(X7,WORLDCUP!$AI$6:$AI$97,0)),1,3)</f>
        <v>Irá</v>
      </c>
      <c r="U7" s="521">
        <f ca="1">+INDEX(WORLDCUP!$AM$6:$AM$97,MATCH(X7,WORLDCUP!$AI$6:$AI$97,0))</f>
        <v>1</v>
      </c>
      <c r="V7" s="522">
        <f ca="1">+INDEX(WORLDCUP!$AT$6:$AT$97,MATCH(X7,WORLDCUP!$AI$6:$AI$97,0))</f>
        <v>-2</v>
      </c>
      <c r="W7" s="523" t="str">
        <f ca="1">+INDEX(WORLDCUP!$AR$6:$AR$97,MATCH(X7,WORLDCUP!$AI$6:$AI$97,0))&amp;"-"&amp;INDEX(WORLDCUP!$AS$6:$AS$97,MATCH(X7,WORLDCUP!$AI$6:$AI$97,0))</f>
        <v>0-2</v>
      </c>
      <c r="X7" s="190" t="s">
        <v>688</v>
      </c>
      <c r="Y7" s="190">
        <v>77</v>
      </c>
      <c r="Z7" s="469" t="s">
        <v>742</v>
      </c>
      <c r="AA7" s="524" t="str">
        <f ca="1">+MID(INDEX(WORLDCUP!$AF$101:$AF$147,MATCH(Y7,WORLDCUP!$Z$101:$Z$147,0)),1,IF(WORLDCUP!$H$113&lt;144,6,3))</f>
        <v>Jap</v>
      </c>
      <c r="AB7" s="525">
        <f>+IF(ISBLANK(INDEX(WORLDCUP!$AD$101:$AD$147,MATCH(Y7,WORLDCUP!$Z$101:$Z$147))),"",INDEX(WORLDCUP!$AD$101:$AD$147,MATCH(Y7,WORLDCUP!$Z$101:$Z$147)))</f>
        <v>1</v>
      </c>
      <c r="AC7" s="526" t="str">
        <f>+IF(ISBLANK(INDEX(WORLDCUP!$AE$101:$AE$147,MATCH(Y7,WORLDCUP!$Z$101:$Z$147))),"","( "&amp;INDEX(WORLDCUP!$AE$101:$AE$147,MATCH(Y7,WORLDCUP!$Z$101:$Z$147))&amp;" )")</f>
        <v/>
      </c>
      <c r="AD7" s="190"/>
      <c r="AE7" s="518"/>
      <c r="AF7" s="518"/>
      <c r="AG7" s="519"/>
      <c r="AH7" s="499">
        <v>97</v>
      </c>
      <c r="AI7" s="527" t="str">
        <f ca="1">+MID(INDEX(WORLDCUP!$AA$101:$AA$147,MATCH(AH7,WORLDCUP!$Z$101:$Z$147,0)),1,3)</f>
        <v>Ale</v>
      </c>
      <c r="AJ7" s="528">
        <f>+IF(ISBLANK(INDEX(WORLDCUP!$AC$101:$AC$147,MATCH(AH7,WORLDCUP!$Z$101:$Z$147))),"",INDEX(WORLDCUP!$AC$101:$AC$147,MATCH(AH7,WORLDCUP!$Z$101:$Z$147)))</f>
        <v>2</v>
      </c>
      <c r="AK7" s="529" t="str">
        <f>+IF(ISBLANK(INDEX(WORLDCUP!$AB$101:$AB$147,MATCH(AH7,WORLDCUP!$Z$101:$Z$147))),"","( "&amp;INDEX(WORLDCUP!$AB$101:$AB$147,MATCH(AH7,WORLDCUP!$Z$101:$Z$147))&amp;" )")</f>
        <v/>
      </c>
      <c r="AL7" s="459"/>
      <c r="AM7" s="475"/>
      <c r="AN7" s="475"/>
      <c r="AO7" s="475"/>
      <c r="AP7" s="190"/>
      <c r="AQ7" s="504"/>
      <c r="AR7" s="504"/>
      <c r="AS7" s="504"/>
      <c r="AT7" s="190"/>
      <c r="AU7" s="477"/>
      <c r="AV7" s="477"/>
      <c r="AW7" s="477"/>
      <c r="AX7" s="190"/>
      <c r="AY7" s="161"/>
      <c r="AZ7" s="161"/>
      <c r="BA7" s="161"/>
      <c r="BB7" s="161"/>
      <c r="BC7" s="161"/>
      <c r="BD7" s="161"/>
      <c r="BE7" s="161"/>
      <c r="BG7" s="506" t="str">
        <f ca="1">Horarios!Q6</f>
        <v>Argentina</v>
      </c>
      <c r="BH7" s="507">
        <f t="shared" ca="1" si="0"/>
        <v>0</v>
      </c>
      <c r="BI7" s="507">
        <f ca="1">COUNTIF(Pool!$C$130:$C$161,Fixture!BG7)-BJ7-BK7-BL7-BM7-BN7-BO7</f>
        <v>1</v>
      </c>
      <c r="BJ7" s="508">
        <f ca="1">COUNTIF(Pool!$C$182:$C$197,Fixture!BG7)-BK7-BL7-BM7-BN7-BO7</f>
        <v>0</v>
      </c>
      <c r="BK7" s="509">
        <f ca="1">COUNTIF(Pool!$C$210:$C$217,Fixture!BG7)-BL7-BM7-BN7-BO7</f>
        <v>0</v>
      </c>
      <c r="BL7" s="509">
        <f ca="1">COUNTIF(Pool!$C$226:$C$229,Fixture!BG7)-BM7-BN7-BO7</f>
        <v>0</v>
      </c>
      <c r="BM7" s="507">
        <f ca="1">COUNTIF(Pool!$C$252,Fixture!BG7)</f>
        <v>0</v>
      </c>
      <c r="BN7" s="507">
        <f ca="1">COUNTIF(Pool!$C$251,Fixture!BG7)</f>
        <v>0</v>
      </c>
      <c r="BO7" s="510">
        <f ca="1">COUNTIF(Pool!$C$250,Fixture!BG7)</f>
        <v>0</v>
      </c>
    </row>
    <row r="8" spans="1:67" ht="15" thickBot="1">
      <c r="A8" s="190">
        <v>54</v>
      </c>
      <c r="B8" s="530"/>
      <c r="C8" s="531" t="str">
        <f ca="1">+MID(INDEX(WORLDCUP!$AA$4:$AA$147,MATCH(A8,WORLDCUP!$AH$4:$AH$147,0)),1,3)</f>
        <v>Sud</v>
      </c>
      <c r="D8" s="532">
        <f>IF(ISBLANK(INDEX(WORLDCUP!$AC$4:$AC$147,MATCH(A8,WORLDCUP!$AH$4:$AH$147,0))),"",INDEX(WORLDCUP!$AC$4:$AC$147,MATCH(A8,WORLDCUP!$AH$4:$AH$147,0)))</f>
        <v>1</v>
      </c>
      <c r="E8" s="532">
        <f>IF(ISBLANK(INDEX(WORLDCUP!$AD$4:$AD$147,MATCH(A8,WORLDCUP!$AH$4:$AH$147,0))),"",INDEX(WORLDCUP!$AD$4:$AD$147,MATCH(A8,WORLDCUP!$AH$4:$AH$147,0)))</f>
        <v>0</v>
      </c>
      <c r="F8" s="533" t="str">
        <f ca="1">+MID(INDEX(WORLDCUP!$AF$4:$AF$147,MATCH(A8,WORLDCUP!$AH$4:$AH$147,0)),1,3)</f>
        <v>Cor</v>
      </c>
      <c r="G8" s="534"/>
      <c r="H8" s="534"/>
      <c r="I8" s="535"/>
      <c r="J8" s="535"/>
      <c r="K8" s="536"/>
      <c r="L8" s="190"/>
      <c r="M8" s="190">
        <v>64</v>
      </c>
      <c r="N8" s="537"/>
      <c r="O8" s="531" t="str">
        <f ca="1">+MID(INDEX(WORLDCUP!$AA$4:$AA$147,MATCH(M8,WORLDCUP!$AH$4:$AH$147,0)),1,3)</f>
        <v>Nue</v>
      </c>
      <c r="P8" s="532">
        <f>IF(ISBLANK(INDEX(WORLDCUP!$AC$4:$AC$147,MATCH(M8,WORLDCUP!$AH$4:$AH$147,0))),"",INDEX(WORLDCUP!$AC$4:$AC$147,MATCH(M8,WORLDCUP!$AH$4:$AH$147,0)))</f>
        <v>0</v>
      </c>
      <c r="Q8" s="532">
        <f>IF(ISBLANK(INDEX(WORLDCUP!$AD$4:$AD$147,MATCH(M8,WORLDCUP!$AH$4:$AH$147,0))),"",INDEX(WORLDCUP!$AD$4:$AD$147,MATCH(M8,WORLDCUP!$AH$4:$AH$147,0)))</f>
        <v>2</v>
      </c>
      <c r="R8" s="533" t="str">
        <f ca="1">+MID(INDEX(WORLDCUP!$AF$4:$AF$147,MATCH(M8,WORLDCUP!$AH$4:$AH$147,0)),1,3)</f>
        <v>Bél</v>
      </c>
      <c r="S8" s="534"/>
      <c r="T8" s="534"/>
      <c r="U8" s="535"/>
      <c r="V8" s="535"/>
      <c r="W8" s="536"/>
      <c r="X8" s="190"/>
      <c r="Y8" s="190"/>
      <c r="Z8" s="469"/>
      <c r="AA8" s="538"/>
      <c r="AB8" s="538"/>
      <c r="AC8" s="538"/>
      <c r="AD8" s="190"/>
      <c r="AE8" s="473"/>
      <c r="AF8" s="473"/>
      <c r="AG8" s="519"/>
      <c r="AH8" s="190">
        <v>97</v>
      </c>
      <c r="AI8" s="527" t="str">
        <f ca="1">+MID(INDEX(WORLDCUP!$AF$101:$AF$147,MATCH(AH8,WORLDCUP!$Z$101:$Z$147,0)),1,3)</f>
        <v>Mar</v>
      </c>
      <c r="AJ8" s="528">
        <f>+IF(ISBLANK(INDEX(WORLDCUP!$AD$101:$AD$147,MATCH(AH8,WORLDCUP!$Z$101:$Z$147))),"",INDEX(WORLDCUP!$AD$101:$AD$147,MATCH(AH8,WORLDCUP!$Z$101:$Z$147)))</f>
        <v>1</v>
      </c>
      <c r="AK8" s="539" t="str">
        <f>+IF(ISBLANK(INDEX(WORLDCUP!$AE$101:$AE$147,MATCH(AH8,WORLDCUP!$Z$101:$Z$147))),"","( "&amp;INDEX(WORLDCUP!$AE$101:$AE$147,MATCH(AH8,WORLDCUP!$Z$101:$Z$147))&amp;" )")</f>
        <v/>
      </c>
      <c r="AL8" s="459"/>
      <c r="AM8" s="475"/>
      <c r="AN8" s="475"/>
      <c r="AO8" s="475"/>
      <c r="AP8" s="190"/>
      <c r="AQ8" s="504"/>
      <c r="AR8" s="504"/>
      <c r="AS8" s="504"/>
      <c r="AT8" s="190"/>
      <c r="AU8" s="477"/>
      <c r="AV8" s="477"/>
      <c r="AW8" s="477"/>
      <c r="AX8" s="190"/>
      <c r="AY8" s="161"/>
      <c r="AZ8" s="161"/>
      <c r="BA8" s="161"/>
      <c r="BB8" s="161"/>
      <c r="BC8" s="161"/>
      <c r="BD8" s="161"/>
      <c r="BE8" s="161"/>
      <c r="BG8" s="506" t="str">
        <f ca="1">Horarios!Q7</f>
        <v>Australia</v>
      </c>
      <c r="BH8" s="507">
        <f t="shared" ca="1" si="0"/>
        <v>1</v>
      </c>
      <c r="BI8" s="507">
        <f ca="1">COUNTIF(Pool!$C$130:$C$161,Fixture!BG8)-BJ8-BK8-BL8-BM8-BN8-BO8</f>
        <v>0</v>
      </c>
      <c r="BJ8" s="508">
        <f ca="1">COUNTIF(Pool!$C$182:$C$197,Fixture!BG8)-BK8-BL8-BM8-BN8-BO8</f>
        <v>0</v>
      </c>
      <c r="BK8" s="509">
        <f ca="1">COUNTIF(Pool!$C$210:$C$217,Fixture!BG8)-BL8-BM8-BN8-BO8</f>
        <v>0</v>
      </c>
      <c r="BL8" s="509">
        <f ca="1">COUNTIF(Pool!$C$226:$C$229,Fixture!BG8)-BM8-BN8-BO8</f>
        <v>0</v>
      </c>
      <c r="BM8" s="507">
        <f ca="1">COUNTIF(Pool!$C$252,Fixture!BG8)</f>
        <v>0</v>
      </c>
      <c r="BN8" s="507">
        <f ca="1">COUNTIF(Pool!$C$251,Fixture!BG8)</f>
        <v>0</v>
      </c>
      <c r="BO8" s="510">
        <f ca="1">COUNTIF(Pool!$C$250,Fixture!BG8)</f>
        <v>0</v>
      </c>
    </row>
    <row r="9" spans="1:67" ht="15" thickBot="1">
      <c r="A9" s="190"/>
      <c r="B9" s="455"/>
      <c r="C9" s="540"/>
      <c r="D9" s="541"/>
      <c r="E9" s="541"/>
      <c r="F9" s="161"/>
      <c r="G9" s="161"/>
      <c r="H9" s="540"/>
      <c r="I9" s="161"/>
      <c r="J9" s="161"/>
      <c r="K9" s="161"/>
      <c r="L9" s="190"/>
      <c r="M9" s="190"/>
      <c r="N9" s="159"/>
      <c r="O9" s="540"/>
      <c r="P9" s="541"/>
      <c r="Q9" s="541"/>
      <c r="R9" s="161"/>
      <c r="S9" s="161"/>
      <c r="T9" s="540"/>
      <c r="U9" s="161"/>
      <c r="V9" s="161"/>
      <c r="W9" s="161"/>
      <c r="X9" s="190"/>
      <c r="Y9" s="190">
        <v>73</v>
      </c>
      <c r="Z9" s="469" t="s">
        <v>665</v>
      </c>
      <c r="AA9" s="470" t="str">
        <f ca="1">+MID(INDEX(WORLDCUP!$AA$101:$AA$147,MATCH(Y9,WORLDCUP!$Z$101:$Z$147,0)),1,3)</f>
        <v>Sud</v>
      </c>
      <c r="AB9" s="471">
        <f>+IF(ISBLANK(INDEX(WORLDCUP!$AC$101:$AC$147,MATCH(Y9,WORLDCUP!$Z$101:$Z$147))),"",INDEX(WORLDCUP!$AC$101:$AC$147,MATCH(Y9,WORLDCUP!$Z$101:$Z$147)))</f>
        <v>1</v>
      </c>
      <c r="AC9" s="542" t="str">
        <f>+IF(ISBLANK(INDEX(WORLDCUP!$AB$101:$AB$147,MATCH(Y9,WORLDCUP!$Z$101:$Z$147))),"","( "&amp;INDEX(WORLDCUP!$AB$101:$AB$147,MATCH(Y9,WORLDCUP!$Z$101:$Z$147))&amp;" )")</f>
        <v>( 2 )</v>
      </c>
      <c r="AD9" s="188"/>
      <c r="AE9" s="473"/>
      <c r="AF9" s="473"/>
      <c r="AG9" s="519"/>
      <c r="AH9" s="190"/>
      <c r="AI9" s="503"/>
      <c r="AJ9" s="503"/>
      <c r="AK9" s="543"/>
      <c r="AL9" s="459"/>
      <c r="AM9" s="475"/>
      <c r="AN9" s="475"/>
      <c r="AO9" s="475"/>
      <c r="AP9" s="190"/>
      <c r="AQ9" s="504"/>
      <c r="AR9" s="504"/>
      <c r="AS9" s="504"/>
      <c r="AT9" s="190"/>
      <c r="AU9" s="477"/>
      <c r="AV9" s="477"/>
      <c r="AW9" s="477"/>
      <c r="AX9" s="190"/>
      <c r="AY9" s="161"/>
      <c r="AZ9" s="161"/>
      <c r="BA9" s="161"/>
      <c r="BB9" s="161"/>
      <c r="BC9" s="161"/>
      <c r="BD9" s="161"/>
      <c r="BE9" s="161"/>
      <c r="BG9" s="506" t="str">
        <f ca="1">Horarios!Q8</f>
        <v>Austria</v>
      </c>
      <c r="BH9" s="507">
        <f t="shared" ca="1" si="0"/>
        <v>0</v>
      </c>
      <c r="BI9" s="507">
        <f ca="1">COUNTIF(Pool!$C$130:$C$161,Fixture!BG9)-BJ9-BK9-BL9-BM9-BN9-BO9</f>
        <v>0</v>
      </c>
      <c r="BJ9" s="508">
        <f ca="1">COUNTIF(Pool!$C$182:$C$197,Fixture!BG9)-BK9-BL9-BM9-BN9-BO9</f>
        <v>1</v>
      </c>
      <c r="BK9" s="509">
        <f ca="1">COUNTIF(Pool!$C$210:$C$217,Fixture!BG9)-BL9-BM9-BN9-BO9</f>
        <v>0</v>
      </c>
      <c r="BL9" s="509">
        <f ca="1">COUNTIF(Pool!$C$226:$C$229,Fixture!BG9)-BM9-BN9-BO9</f>
        <v>0</v>
      </c>
      <c r="BM9" s="507">
        <f ca="1">COUNTIF(Pool!$C$252,Fixture!BG9)</f>
        <v>0</v>
      </c>
      <c r="BN9" s="507">
        <f ca="1">COUNTIF(Pool!$C$251,Fixture!BG9)</f>
        <v>0</v>
      </c>
      <c r="BO9" s="510">
        <f ca="1">COUNTIF(Pool!$C$250,Fixture!BG9)</f>
        <v>0</v>
      </c>
    </row>
    <row r="10" spans="1:67" ht="15" thickBot="1">
      <c r="A10" s="190"/>
      <c r="B10" s="455"/>
      <c r="C10" s="540"/>
      <c r="D10" s="541"/>
      <c r="E10" s="541"/>
      <c r="F10" s="161"/>
      <c r="G10" s="161"/>
      <c r="H10" s="540"/>
      <c r="I10" s="161"/>
      <c r="J10" s="161"/>
      <c r="K10" s="161"/>
      <c r="L10" s="190"/>
      <c r="M10" s="190"/>
      <c r="N10" s="159"/>
      <c r="O10" s="540"/>
      <c r="P10" s="541"/>
      <c r="Q10" s="541"/>
      <c r="R10" s="161"/>
      <c r="S10" s="161"/>
      <c r="T10" s="540"/>
      <c r="U10" s="161"/>
      <c r="V10" s="161"/>
      <c r="W10" s="161"/>
      <c r="X10" s="190"/>
      <c r="Y10" s="190">
        <v>73</v>
      </c>
      <c r="Z10" s="469" t="s">
        <v>668</v>
      </c>
      <c r="AA10" s="470" t="str">
        <f ca="1">+MID(INDEX(WORLDCUP!$AF$101:$AF$147,MATCH(Y10,WORLDCUP!$Z$101:$Z$147,0)),1,3)</f>
        <v>Can</v>
      </c>
      <c r="AB10" s="497">
        <f>+IF(ISBLANK(INDEX(WORLDCUP!$AD$101:$AD$147,MATCH(Y10,WORLDCUP!$Z$101:$Z$147))),"",INDEX(WORLDCUP!$AD$101:$AD$147,MATCH(Y10,WORLDCUP!$Z$101:$Z$147)))</f>
        <v>1</v>
      </c>
      <c r="AC10" s="498" t="str">
        <f>+IF(ISBLANK(INDEX(WORLDCUP!$AE$101:$AE$147,MATCH(Y10,WORLDCUP!$Z$101:$Z$147))),"","( "&amp;INDEX(WORLDCUP!$AE$101:$AE$147,MATCH(Y10,WORLDCUP!$Z$101:$Z$147))&amp;" )")</f>
        <v>( 2 )</v>
      </c>
      <c r="AD10" s="544">
        <v>90</v>
      </c>
      <c r="AE10" s="500" t="str">
        <f>+MID(INDEX(WORLDCUP!$AA$101:$AA$147,MATCH(AD10,WORLDCUP!$Z$101:$Z$147,0)),1,3)</f>
        <v>W73</v>
      </c>
      <c r="AF10" s="501">
        <f>+IF(ISBLANK(INDEX(WORLDCUP!$AC$101:$AC$147,MATCH(AD10,WORLDCUP!$Z$101:$Z$147))),"",INDEX(WORLDCUP!$AC$101:$AC$147,MATCH(AD10,WORLDCUP!$Z$101:$Z$147)))</f>
        <v>1</v>
      </c>
      <c r="AG10" s="545" t="str">
        <f>+IF(ISBLANK(INDEX(WORLDCUP!$AB$101:$AB$147,MATCH(AD10,WORLDCUP!$Z$101:$Z$147))),"","( "&amp;INDEX(WORLDCUP!$AB$101:$AB$147,MATCH(AD10,WORLDCUP!$Z$101:$Z$147))&amp;" )")</f>
        <v/>
      </c>
      <c r="AH10" s="190"/>
      <c r="AI10" s="503"/>
      <c r="AJ10" s="503"/>
      <c r="AK10" s="543"/>
      <c r="AL10" s="459"/>
      <c r="AM10" s="475"/>
      <c r="AN10" s="475"/>
      <c r="AO10" s="475"/>
      <c r="AP10" s="190"/>
      <c r="AQ10" s="504"/>
      <c r="AR10" s="504"/>
      <c r="AS10" s="504"/>
      <c r="AT10" s="190"/>
      <c r="AU10" s="477"/>
      <c r="AV10" s="477"/>
      <c r="AW10" s="477"/>
      <c r="AX10" s="190"/>
      <c r="AY10" s="161"/>
      <c r="AZ10" s="159"/>
      <c r="BA10" s="159"/>
      <c r="BB10" s="155"/>
      <c r="BC10" s="540"/>
      <c r="BD10" s="541"/>
      <c r="BE10" s="541"/>
      <c r="BF10" s="2"/>
      <c r="BG10" s="506" t="str">
        <f ca="1">Horarios!Q9</f>
        <v>Bélgica</v>
      </c>
      <c r="BH10" s="507">
        <f t="shared" ca="1" si="0"/>
        <v>0</v>
      </c>
      <c r="BI10" s="507">
        <f ca="1">COUNTIF(Pool!$C$130:$C$161,Fixture!BG10)-BJ10-BK10-BL10-BM10-BN10-BO10</f>
        <v>1</v>
      </c>
      <c r="BJ10" s="508">
        <f ca="1">COUNTIF(Pool!$C$182:$C$197,Fixture!BG10)-BK10-BL10-BM10-BN10-BO10</f>
        <v>0</v>
      </c>
      <c r="BK10" s="509">
        <f ca="1">COUNTIF(Pool!$C$210:$C$217,Fixture!BG10)-BL10-BM10-BN10-BO10</f>
        <v>0</v>
      </c>
      <c r="BL10" s="509">
        <f ca="1">COUNTIF(Pool!$C$226:$C$229,Fixture!BG10)-BM10-BN10-BO10</f>
        <v>0</v>
      </c>
      <c r="BM10" s="507">
        <f ca="1">COUNTIF(Pool!$C$252,Fixture!BG10)</f>
        <v>0</v>
      </c>
      <c r="BN10" s="507">
        <f ca="1">COUNTIF(Pool!$C$251,Fixture!BG10)</f>
        <v>0</v>
      </c>
      <c r="BO10" s="510">
        <f ca="1">COUNTIF(Pool!$C$250,Fixture!BG10)</f>
        <v>0</v>
      </c>
    </row>
    <row r="11" spans="1:67">
      <c r="A11" s="190">
        <v>3</v>
      </c>
      <c r="B11" s="546" t="s">
        <v>1</v>
      </c>
      <c r="C11" s="461" t="str">
        <f ca="1">+MID(INDEX(WORLDCUP!$AA$4:$AA$147,MATCH(A11,WORLDCUP!$AH$4:$AH$147,0)),1,3)</f>
        <v>Can</v>
      </c>
      <c r="D11" s="462">
        <f>IF(ISBLANK(INDEX(WORLDCUP!$AC$4:$AC$147,MATCH(A11,WORLDCUP!$AH$4:$AH$147,0))),"",INDEX(WORLDCUP!$AC$4:$AC$147,MATCH(A11,WORLDCUP!$AH$4:$AH$147,0)))</f>
        <v>1</v>
      </c>
      <c r="E11" s="462">
        <f>IF(ISBLANK(INDEX(WORLDCUP!$AD$4:$AD$147,MATCH(A11,WORLDCUP!$AH$4:$AH$147,0))),"",INDEX(WORLDCUP!$AD$4:$AD$147,MATCH(A11,WORLDCUP!$AH$4:$AH$147,0)))</f>
        <v>1</v>
      </c>
      <c r="F11" s="463" t="str">
        <f ca="1">+MID(INDEX(WORLDCUP!$AF$4:$AF$147,MATCH(A11,WORLDCUP!$AH$4:$AH$147,0)),1,3)</f>
        <v xml:space="preserve">PO </v>
      </c>
      <c r="G11" s="464"/>
      <c r="H11" s="465" t="str">
        <f>+H3</f>
        <v>Sel</v>
      </c>
      <c r="I11" s="466" t="str">
        <f>+I3</f>
        <v>Pts</v>
      </c>
      <c r="J11" s="466" t="str">
        <f>+J3</f>
        <v>DG</v>
      </c>
      <c r="K11" s="467" t="str">
        <f>+K3</f>
        <v>GF-GC</v>
      </c>
      <c r="L11" s="190"/>
      <c r="M11" s="190">
        <v>13</v>
      </c>
      <c r="N11" s="547" t="s">
        <v>454</v>
      </c>
      <c r="O11" s="461" t="str">
        <f ca="1">+MID(INDEX(WORLDCUP!$AA$4:$AA$147,MATCH(M11,WORLDCUP!$AH$4:$AH$147,0)),1,3)</f>
        <v>Esp</v>
      </c>
      <c r="P11" s="462">
        <f>IF(ISBLANK(INDEX(WORLDCUP!$AC$4:$AC$147,MATCH(M11,WORLDCUP!$AH$4:$AH$147,0))),"",INDEX(WORLDCUP!$AC$4:$AC$147,MATCH(M11,WORLDCUP!$AH$4:$AH$147,0)))</f>
        <v>3</v>
      </c>
      <c r="Q11" s="462">
        <f>IF(ISBLANK(INDEX(WORLDCUP!$AD$4:$AD$147,MATCH(M11,WORLDCUP!$AH$4:$AH$147,0))),"",INDEX(WORLDCUP!$AD$4:$AD$147,MATCH(M11,WORLDCUP!$AH$4:$AH$147,0)))</f>
        <v>0</v>
      </c>
      <c r="R11" s="463" t="str">
        <f ca="1">+MID(INDEX(WORLDCUP!$AF$4:$AF$147,MATCH(M11,WORLDCUP!$AH$4:$AH$147,0)),1,3)</f>
        <v>Cab</v>
      </c>
      <c r="S11" s="464"/>
      <c r="T11" s="465" t="str">
        <f>+T3</f>
        <v>Sel</v>
      </c>
      <c r="U11" s="466" t="str">
        <f t="shared" ref="U11:W11" si="1">+U3</f>
        <v>Pts</v>
      </c>
      <c r="V11" s="466" t="str">
        <f t="shared" si="1"/>
        <v>DG</v>
      </c>
      <c r="W11" s="467" t="str">
        <f t="shared" si="1"/>
        <v>GF-GC</v>
      </c>
      <c r="X11" s="190"/>
      <c r="Y11" s="190"/>
      <c r="Z11" s="469"/>
      <c r="AA11" s="513"/>
      <c r="AB11" s="513"/>
      <c r="AC11" s="514"/>
      <c r="AD11" s="190">
        <v>90</v>
      </c>
      <c r="AE11" s="500" t="str">
        <f ca="1">+MID(INDEX(WORLDCUP!$AF$101:$AF$147,MATCH(AD11,WORLDCUP!$Z$101:$Z$147,0)),1,3)</f>
        <v>Mar</v>
      </c>
      <c r="AF11" s="501">
        <f>+IF(ISBLANK(INDEX(WORLDCUP!$AD$101:$AD$147,MATCH(AD11,WORLDCUP!$Z$101:$Z$147))),"",INDEX(WORLDCUP!$AD$101:$AD$147,MATCH(AD11,WORLDCUP!$Z$101:$Z$147)))</f>
        <v>2</v>
      </c>
      <c r="AG11" s="518" t="str">
        <f>+IF(ISBLANK(INDEX(WORLDCUP!$AE$101:$AE$147,MATCH(AD11,WORLDCUP!$Z$101:$Z$147))),"","( "&amp;INDEX(WORLDCUP!$AE$101:$AE$147,MATCH(AD11,WORLDCUP!$Z$101:$Z$147))&amp;" )")</f>
        <v/>
      </c>
      <c r="AH11" s="190"/>
      <c r="AI11" s="503"/>
      <c r="AJ11" s="503"/>
      <c r="AK11" s="543"/>
      <c r="AL11" s="459"/>
      <c r="AM11" s="475"/>
      <c r="AN11" s="475"/>
      <c r="AO11" s="475"/>
      <c r="AP11" s="190"/>
      <c r="AQ11" s="504"/>
      <c r="AR11" s="504"/>
      <c r="AS11" s="504"/>
      <c r="AT11" s="190"/>
      <c r="AU11" s="477"/>
      <c r="AV11" s="477"/>
      <c r="AW11" s="477"/>
      <c r="AX11" s="190"/>
      <c r="AY11" s="161"/>
      <c r="AZ11" s="161"/>
      <c r="BA11" s="161"/>
      <c r="BB11" s="161"/>
      <c r="BC11" s="161"/>
      <c r="BD11" s="161"/>
      <c r="BE11" s="161"/>
      <c r="BG11" s="506" t="str">
        <f ca="1">Horarios!Q10</f>
        <v>Brasil</v>
      </c>
      <c r="BH11" s="507">
        <f t="shared" ca="1" si="0"/>
        <v>0</v>
      </c>
      <c r="BI11" s="507">
        <f ca="1">COUNTIF(Pool!$C$130:$C$161,Fixture!BG11)-BJ11-BK11-BL11-BM11-BN11-BO11</f>
        <v>0</v>
      </c>
      <c r="BJ11" s="508">
        <f ca="1">COUNTIF(Pool!$C$182:$C$197,Fixture!BG11)-BK11-BL11-BM11-BN11-BO11</f>
        <v>1</v>
      </c>
      <c r="BK11" s="509">
        <f ca="1">COUNTIF(Pool!$C$210:$C$217,Fixture!BG11)-BL11-BM11-BN11-BO11</f>
        <v>0</v>
      </c>
      <c r="BL11" s="509">
        <f ca="1">COUNTIF(Pool!$C$226:$C$229,Fixture!BG11)-BM11-BN11-BO11</f>
        <v>0</v>
      </c>
      <c r="BM11" s="507">
        <f ca="1">COUNTIF(Pool!$C$252,Fixture!BG11)</f>
        <v>0</v>
      </c>
      <c r="BN11" s="507">
        <f ca="1">COUNTIF(Pool!$C$251,Fixture!BG11)</f>
        <v>0</v>
      </c>
      <c r="BO11" s="510">
        <f ca="1">COUNTIF(Pool!$C$250,Fixture!BG11)</f>
        <v>0</v>
      </c>
    </row>
    <row r="12" spans="1:67" ht="15" thickBot="1">
      <c r="A12" s="190">
        <v>8</v>
      </c>
      <c r="B12" s="548"/>
      <c r="C12" s="488" t="str">
        <f ca="1">+MID(INDEX(WORLDCUP!$AA$4:$AA$147,MATCH(A12,WORLDCUP!$AH$4:$AH$147,0)),1,3)</f>
        <v>Cat</v>
      </c>
      <c r="D12" s="489">
        <f>IF(ISBLANK(INDEX(WORLDCUP!$AC$4:$AC$147,MATCH(A12,WORLDCUP!$AH$4:$AH$147,0))),"",INDEX(WORLDCUP!$AC$4:$AC$147,MATCH(A12,WORLDCUP!$AH$4:$AH$147,0)))</f>
        <v>0</v>
      </c>
      <c r="E12" s="489">
        <f>IF(ISBLANK(INDEX(WORLDCUP!$AD$4:$AD$147,MATCH(A12,WORLDCUP!$AH$4:$AH$147,0))),"",INDEX(WORLDCUP!$AD$4:$AD$147,MATCH(A12,WORLDCUP!$AH$4:$AH$147,0)))</f>
        <v>2</v>
      </c>
      <c r="F12" s="490" t="str">
        <f ca="1">+MID(INDEX(WORLDCUP!$AF$4:$AF$147,MATCH(A12,WORLDCUP!$AH$4:$AH$147,0)),1,3)</f>
        <v>Sui</v>
      </c>
      <c r="G12" s="491">
        <v>1</v>
      </c>
      <c r="H12" s="492" t="str">
        <f ca="1">+MID(INDEX(WORLDCUP!$AL$6:$AL$97,MATCH(L12,WORLDCUP!$AI$6:$AI$97,0)),1,3)</f>
        <v>Sui</v>
      </c>
      <c r="I12" s="493">
        <f ca="1">+INDEX(WORLDCUP!$AM$6:$AM$97,MATCH(L12,WORLDCUP!$AI$6:$AI$97,0))</f>
        <v>9</v>
      </c>
      <c r="J12" s="494">
        <f ca="1">+INDEX(WORLDCUP!$AT$6:$AT$97,MATCH(L12,WORLDCUP!$AI$6:$AI$97,0))</f>
        <v>4</v>
      </c>
      <c r="K12" s="495" t="str">
        <f ca="1">+INDEX(WORLDCUP!$AR$6:$AR$97,MATCH(L12,WORLDCUP!$AI$6:$AI$97,0))&amp;"-"&amp;INDEX(WORLDCUP!$AS$6:$AS$97,MATCH(L12,WORLDCUP!$AI$6:$AI$97,0))</f>
        <v>4-0</v>
      </c>
      <c r="L12" s="190" t="s">
        <v>667</v>
      </c>
      <c r="M12" s="190">
        <v>14</v>
      </c>
      <c r="N12" s="549"/>
      <c r="O12" s="488" t="str">
        <f ca="1">+MID(INDEX(WORLDCUP!$AA$4:$AA$147,MATCH(M12,WORLDCUP!$AH$4:$AH$147,0)),1,3)</f>
        <v>Ara</v>
      </c>
      <c r="P12" s="489">
        <f>IF(ISBLANK(INDEX(WORLDCUP!$AC$4:$AC$147,MATCH(M12,WORLDCUP!$AH$4:$AH$147,0))),"",INDEX(WORLDCUP!$AC$4:$AC$147,MATCH(M12,WORLDCUP!$AH$4:$AH$147,0)))</f>
        <v>0</v>
      </c>
      <c r="Q12" s="489">
        <f>IF(ISBLANK(INDEX(WORLDCUP!$AD$4:$AD$147,MATCH(M12,WORLDCUP!$AH$4:$AH$147,0))),"",INDEX(WORLDCUP!$AD$4:$AD$147,MATCH(M12,WORLDCUP!$AH$4:$AH$147,0)))</f>
        <v>0</v>
      </c>
      <c r="R12" s="490" t="str">
        <f ca="1">+MID(INDEX(WORLDCUP!$AF$4:$AF$147,MATCH(M12,WORLDCUP!$AH$4:$AH$147,0)),1,3)</f>
        <v>Uru</v>
      </c>
      <c r="S12" s="491">
        <v>1</v>
      </c>
      <c r="T12" s="492" t="str">
        <f ca="1">+MID(INDEX(WORLDCUP!$AL$6:$AL$97,MATCH(X12,WORLDCUP!$AI$6:$AI$97,0)),1,3)</f>
        <v>Esp</v>
      </c>
      <c r="U12" s="493">
        <f ca="1">+INDEX(WORLDCUP!$AM$6:$AM$97,MATCH(X12,WORLDCUP!$AI$6:$AI$97,0))</f>
        <v>9</v>
      </c>
      <c r="V12" s="494">
        <f ca="1">+INDEX(WORLDCUP!$AT$6:$AT$97,MATCH(X12,WORLDCUP!$AI$6:$AI$97,0))</f>
        <v>6</v>
      </c>
      <c r="W12" s="495" t="str">
        <f ca="1">+INDEX(WORLDCUP!$AR$6:$AR$97,MATCH(X12,WORLDCUP!$AI$6:$AI$97,0))&amp;"-"&amp;INDEX(WORLDCUP!$AS$6:$AS$97,MATCH(X12,WORLDCUP!$AI$6:$AI$97,0))</f>
        <v>6-0</v>
      </c>
      <c r="X12" s="190" t="s">
        <v>689</v>
      </c>
      <c r="Y12" s="190">
        <v>75</v>
      </c>
      <c r="Z12" s="469" t="s">
        <v>683</v>
      </c>
      <c r="AA12" s="470" t="str">
        <f ca="1">+MID(INDEX(WORLDCUP!$AA$101:$AA$147,MATCH(Y12,WORLDCUP!$Z$101:$Z$147,0)),1,3)</f>
        <v>Tún</v>
      </c>
      <c r="AB12" s="516">
        <f>+IF(ISBLANK(INDEX(WORLDCUP!$AC$101:$AC$147,MATCH(Y12,WORLDCUP!$Z$101:$Z$147))),"",INDEX(WORLDCUP!$AC$101:$AC$147,MATCH(Y12,WORLDCUP!$Z$101:$Z$147)))</f>
        <v>0</v>
      </c>
      <c r="AC12" s="550" t="str">
        <f>+IF(ISBLANK(INDEX(WORLDCUP!$AB$101:$AB$147,MATCH(Y12,WORLDCUP!$Z$101:$Z$147))),"","( "&amp;INDEX(WORLDCUP!$AB$101:$AB$147,MATCH(Y12,WORLDCUP!$Z$101:$Z$147))&amp;" )")</f>
        <v/>
      </c>
      <c r="AD12" s="190"/>
      <c r="AE12" s="473"/>
      <c r="AF12" s="473"/>
      <c r="AG12" s="473"/>
      <c r="AH12" s="190"/>
      <c r="AI12" s="503"/>
      <c r="AJ12" s="503"/>
      <c r="AK12" s="543"/>
      <c r="AL12" s="459"/>
      <c r="AM12" s="475"/>
      <c r="AN12" s="475"/>
      <c r="AO12" s="475"/>
      <c r="AP12" s="190"/>
      <c r="AQ12" s="504"/>
      <c r="AR12" s="504"/>
      <c r="AS12" s="504"/>
      <c r="AT12" s="190"/>
      <c r="AU12" s="477"/>
      <c r="AV12" s="477"/>
      <c r="AW12" s="477"/>
      <c r="AX12" s="190"/>
      <c r="AY12" s="161"/>
      <c r="AZ12" s="161"/>
      <c r="BA12" s="161"/>
      <c r="BB12" s="161"/>
      <c r="BC12" s="161"/>
      <c r="BD12" s="161"/>
      <c r="BE12" s="161"/>
      <c r="BG12" s="506" t="str">
        <f ca="1">Horarios!Q11</f>
        <v>Cabo Verde</v>
      </c>
      <c r="BH12" s="507">
        <f t="shared" ca="1" si="0"/>
        <v>1</v>
      </c>
      <c r="BI12" s="507">
        <f ca="1">COUNTIF(Pool!$C$130:$C$161,Fixture!BG12)-BJ12-BK12-BL12-BM12-BN12-BO12</f>
        <v>0</v>
      </c>
      <c r="BJ12" s="508">
        <f ca="1">COUNTIF(Pool!$C$182:$C$197,Fixture!BG12)-BK12-BL12-BM12-BN12-BO12</f>
        <v>0</v>
      </c>
      <c r="BK12" s="509">
        <f ca="1">COUNTIF(Pool!$C$210:$C$217,Fixture!BG12)-BL12-BM12-BN12-BO12</f>
        <v>0</v>
      </c>
      <c r="BL12" s="509">
        <f ca="1">COUNTIF(Pool!$C$226:$C$229,Fixture!BG12)-BM12-BN12-BO12</f>
        <v>0</v>
      </c>
      <c r="BM12" s="507">
        <f ca="1">COUNTIF(Pool!$C$252,Fixture!BG12)</f>
        <v>0</v>
      </c>
      <c r="BN12" s="507">
        <f ca="1">COUNTIF(Pool!$C$251,Fixture!BG12)</f>
        <v>0</v>
      </c>
      <c r="BO12" s="510">
        <f ca="1">COUNTIF(Pool!$C$250,Fixture!BG12)</f>
        <v>0</v>
      </c>
    </row>
    <row r="13" spans="1:67" ht="15" thickBot="1">
      <c r="A13" s="190">
        <v>26</v>
      </c>
      <c r="B13" s="548"/>
      <c r="C13" s="488" t="str">
        <f ca="1">+MID(INDEX(WORLDCUP!$AA$4:$AA$147,MATCH(A13,WORLDCUP!$AH$4:$AH$147,0)),1,3)</f>
        <v>Sui</v>
      </c>
      <c r="D13" s="489">
        <f>IF(ISBLANK(INDEX(WORLDCUP!$AC$4:$AC$147,MATCH(A13,WORLDCUP!$AH$4:$AH$147,0))),"",INDEX(WORLDCUP!$AC$4:$AC$147,MATCH(A13,WORLDCUP!$AH$4:$AH$147,0)))</f>
        <v>1</v>
      </c>
      <c r="E13" s="489">
        <f>IF(ISBLANK(INDEX(WORLDCUP!$AD$4:$AD$147,MATCH(A13,WORLDCUP!$AH$4:$AH$147,0))),"",INDEX(WORLDCUP!$AD$4:$AD$147,MATCH(A13,WORLDCUP!$AH$4:$AH$147,0)))</f>
        <v>0</v>
      </c>
      <c r="F13" s="490" t="str">
        <f ca="1">+MID(INDEX(WORLDCUP!$AF$4:$AF$147,MATCH(A13,WORLDCUP!$AH$4:$AH$147,0)),1,3)</f>
        <v xml:space="preserve">PO </v>
      </c>
      <c r="G13" s="511">
        <v>2</v>
      </c>
      <c r="H13" s="512" t="str">
        <f ca="1">+MID(INDEX(WORLDCUP!$AL$6:$AL$97,MATCH(L13,WORLDCUP!$AI$6:$AI$97,0)),1,3)</f>
        <v>Can</v>
      </c>
      <c r="I13" s="41">
        <f ca="1">+INDEX(WORLDCUP!$AM$6:$AM$97,MATCH(L13,WORLDCUP!$AI$6:$AI$97,0))</f>
        <v>4</v>
      </c>
      <c r="J13" s="42">
        <f ca="1">+INDEX(WORLDCUP!$AT$6:$AT$97,MATCH(L13,WORLDCUP!$AI$6:$AI$97,0))</f>
        <v>0</v>
      </c>
      <c r="K13" s="48" t="str">
        <f ca="1">+INDEX(WORLDCUP!$AR$6:$AR$97,MATCH(L13,WORLDCUP!$AI$6:$AI$97,0))&amp;"-"&amp;INDEX(WORLDCUP!$AS$6:$AS$97,MATCH(L13,WORLDCUP!$AI$6:$AI$97,0))</f>
        <v>2-2</v>
      </c>
      <c r="L13" s="190" t="s">
        <v>668</v>
      </c>
      <c r="M13" s="190">
        <v>37</v>
      </c>
      <c r="N13" s="549"/>
      <c r="O13" s="488" t="str">
        <f ca="1">+MID(INDEX(WORLDCUP!$AA$4:$AA$147,MATCH(M13,WORLDCUP!$AH$4:$AH$147,0)),1,3)</f>
        <v>Esp</v>
      </c>
      <c r="P13" s="489">
        <f>IF(ISBLANK(INDEX(WORLDCUP!$AC$4:$AC$147,MATCH(M13,WORLDCUP!$AH$4:$AH$147,0))),"",INDEX(WORLDCUP!$AC$4:$AC$147,MATCH(M13,WORLDCUP!$AH$4:$AH$147,0)))</f>
        <v>1</v>
      </c>
      <c r="Q13" s="489">
        <f>IF(ISBLANK(INDEX(WORLDCUP!$AD$4:$AD$147,MATCH(M13,WORLDCUP!$AH$4:$AH$147,0))),"",INDEX(WORLDCUP!$AD$4:$AD$147,MATCH(M13,WORLDCUP!$AH$4:$AH$147,0)))</f>
        <v>0</v>
      </c>
      <c r="R13" s="490" t="str">
        <f ca="1">+MID(INDEX(WORLDCUP!$AF$4:$AF$147,MATCH(M13,WORLDCUP!$AH$4:$AH$147,0)),1,3)</f>
        <v>Ara</v>
      </c>
      <c r="S13" s="511">
        <v>2</v>
      </c>
      <c r="T13" s="512" t="str">
        <f ca="1">+MID(INDEX(WORLDCUP!$AL$6:$AL$97,MATCH(X13,WORLDCUP!$AI$6:$AI$97,0)),1,3)</f>
        <v>Uru</v>
      </c>
      <c r="U13" s="41">
        <f ca="1">+INDEX(WORLDCUP!$AM$6:$AM$97,MATCH(X13,WORLDCUP!$AI$6:$AI$97,0))</f>
        <v>4</v>
      </c>
      <c r="V13" s="42">
        <f ca="1">+INDEX(WORLDCUP!$AT$6:$AT$97,MATCH(X13,WORLDCUP!$AI$6:$AI$97,0))</f>
        <v>-1</v>
      </c>
      <c r="W13" s="48" t="str">
        <f ca="1">+INDEX(WORLDCUP!$AR$6:$AR$97,MATCH(X13,WORLDCUP!$AI$6:$AI$97,0))&amp;"-"&amp;INDEX(WORLDCUP!$AS$6:$AS$97,MATCH(X13,WORLDCUP!$AI$6:$AI$97,0))</f>
        <v>1-2</v>
      </c>
      <c r="X13" s="190" t="s">
        <v>690</v>
      </c>
      <c r="Y13" s="190">
        <v>75</v>
      </c>
      <c r="Z13" s="469" t="s">
        <v>675</v>
      </c>
      <c r="AA13" s="524" t="str">
        <f ca="1">+MID(INDEX(WORLDCUP!$AF$101:$AF$147,MATCH(Y13,WORLDCUP!$Z$101:$Z$147,0)),1,3)</f>
        <v>Mar</v>
      </c>
      <c r="AB13" s="525">
        <f>+IF(ISBLANK(INDEX(WORLDCUP!$AD$101:$AD$147,MATCH(Y13,WORLDCUP!$Z$101:$Z$147))),"",INDEX(WORLDCUP!$AD$101:$AD$147,MATCH(Y13,WORLDCUP!$Z$101:$Z$147)))</f>
        <v>1</v>
      </c>
      <c r="AC13" s="551" t="str">
        <f>+IF(ISBLANK(INDEX(WORLDCUP!$AE$101:$AE$147,MATCH(Y13,WORLDCUP!$Z$101:$Z$147))),"","( "&amp;INDEX(WORLDCUP!$AE$101:$AE$147,MATCH(Y13,WORLDCUP!$Z$101:$Z$147))&amp;" )")</f>
        <v/>
      </c>
      <c r="AD13" s="190"/>
      <c r="AE13" s="473"/>
      <c r="AF13" s="473"/>
      <c r="AG13" s="473"/>
      <c r="AH13" s="190"/>
      <c r="AI13" s="503"/>
      <c r="AJ13" s="503"/>
      <c r="AK13" s="543"/>
      <c r="AL13" s="544">
        <v>101</v>
      </c>
      <c r="AM13" s="552" t="str">
        <f ca="1">+MID(INDEX(WORLDCUP!$AA$101:$AA$147,MATCH(AL13,WORLDCUP!$Z$101:$Z$147,0)),1,3)</f>
        <v>Ale</v>
      </c>
      <c r="AN13" s="553">
        <f>+IF(ISBLANK(INDEX(WORLDCUP!$AC$101:$AC$147,MATCH(AL13,WORLDCUP!$Z$101:$Z$147))),"",INDEX(WORLDCUP!$AC$101:$AC$147,MATCH(AL13,WORLDCUP!$Z$101:$Z$147)))</f>
        <v>2</v>
      </c>
      <c r="AO13" s="554" t="str">
        <f>+IF(ISBLANK(INDEX(WORLDCUP!$AB$101:$AB$147,MATCH(AL13,WORLDCUP!$Z$101:$Z$147))),"","( "&amp;INDEX(WORLDCUP!$AB$101:$AB$147,MATCH(AL13,WORLDCUP!$Z$101:$Z$147))&amp;" )")</f>
        <v/>
      </c>
      <c r="AP13" s="190"/>
      <c r="AQ13" s="504"/>
      <c r="AR13" s="504"/>
      <c r="AS13" s="504"/>
      <c r="AT13" s="190"/>
      <c r="AU13" s="477"/>
      <c r="AV13" s="477"/>
      <c r="AW13" s="477"/>
      <c r="AX13" s="190"/>
      <c r="AY13" s="161"/>
      <c r="AZ13" s="161"/>
      <c r="BA13" s="161"/>
      <c r="BB13" s="161"/>
      <c r="BC13" s="161"/>
      <c r="BD13" s="161"/>
      <c r="BE13" s="161"/>
      <c r="BG13" s="506" t="str">
        <f ca="1">Horarios!Q12</f>
        <v>Canadá</v>
      </c>
      <c r="BH13" s="507">
        <f t="shared" ca="1" si="0"/>
        <v>0</v>
      </c>
      <c r="BI13" s="507">
        <f ca="1">COUNTIF(Pool!$C$130:$C$161,Fixture!BG13)-BJ13-BK13-BL13-BM13-BN13-BO13</f>
        <v>1</v>
      </c>
      <c r="BJ13" s="508">
        <f ca="1">COUNTIF(Pool!$C$182:$C$197,Fixture!BG13)-BK13-BL13-BM13-BN13-BO13</f>
        <v>0</v>
      </c>
      <c r="BK13" s="509">
        <f ca="1">COUNTIF(Pool!$C$210:$C$217,Fixture!BG13)-BL13-BM13-BN13-BO13</f>
        <v>0</v>
      </c>
      <c r="BL13" s="509">
        <f ca="1">COUNTIF(Pool!$C$226:$C$229,Fixture!BG13)-BM13-BN13-BO13</f>
        <v>0</v>
      </c>
      <c r="BM13" s="507">
        <f ca="1">COUNTIF(Pool!$C$252,Fixture!BG13)</f>
        <v>0</v>
      </c>
      <c r="BN13" s="507">
        <f ca="1">COUNTIF(Pool!$C$251,Fixture!BG13)</f>
        <v>0</v>
      </c>
      <c r="BO13" s="510">
        <f ca="1">COUNTIF(Pool!$C$250,Fixture!BG13)</f>
        <v>0</v>
      </c>
    </row>
    <row r="14" spans="1:67">
      <c r="A14" s="190">
        <v>27</v>
      </c>
      <c r="B14" s="548"/>
      <c r="C14" s="488" t="str">
        <f ca="1">+MID(INDEX(WORLDCUP!$AA$4:$AA$147,MATCH(A14,WORLDCUP!$AH$4:$AH$147,0)),1,3)</f>
        <v>Can</v>
      </c>
      <c r="D14" s="489">
        <f>IF(ISBLANK(INDEX(WORLDCUP!$AC$4:$AC$147,MATCH(A14,WORLDCUP!$AH$4:$AH$147,0))),"",INDEX(WORLDCUP!$AC$4:$AC$147,MATCH(A14,WORLDCUP!$AH$4:$AH$147,0)))</f>
        <v>1</v>
      </c>
      <c r="E14" s="489">
        <f>IF(ISBLANK(INDEX(WORLDCUP!$AD$4:$AD$147,MATCH(A14,WORLDCUP!$AH$4:$AH$147,0))),"",INDEX(WORLDCUP!$AD$4:$AD$147,MATCH(A14,WORLDCUP!$AH$4:$AH$147,0)))</f>
        <v>0</v>
      </c>
      <c r="F14" s="490" t="str">
        <f ca="1">+MID(INDEX(WORLDCUP!$AF$4:$AF$147,MATCH(A14,WORLDCUP!$AH$4:$AH$147,0)),1,3)</f>
        <v>Cat</v>
      </c>
      <c r="G14" s="511">
        <v>3</v>
      </c>
      <c r="H14" s="512" t="str">
        <f ca="1">+MID(INDEX(WORLDCUP!$AL$6:$AL$97,MATCH(L14,WORLDCUP!$AI$6:$AI$97,0)),1,3)</f>
        <v>Cat</v>
      </c>
      <c r="I14" s="41">
        <f ca="1">+INDEX(WORLDCUP!$AM$6:$AM$97,MATCH(L14,WORLDCUP!$AI$6:$AI$97,0))</f>
        <v>3</v>
      </c>
      <c r="J14" s="42">
        <f ca="1">+INDEX(WORLDCUP!$AT$6:$AT$97,MATCH(L14,WORLDCUP!$AI$6:$AI$97,0))</f>
        <v>-2</v>
      </c>
      <c r="K14" s="48" t="str">
        <f ca="1">+INDEX(WORLDCUP!$AR$6:$AR$97,MATCH(L14,WORLDCUP!$AI$6:$AI$97,0))&amp;"-"&amp;INDEX(WORLDCUP!$AS$6:$AS$97,MATCH(L14,WORLDCUP!$AI$6:$AI$97,0))</f>
        <v>1-3</v>
      </c>
      <c r="L14" s="190" t="s">
        <v>92</v>
      </c>
      <c r="M14" s="190">
        <v>38</v>
      </c>
      <c r="N14" s="549"/>
      <c r="O14" s="488" t="str">
        <f ca="1">+MID(INDEX(WORLDCUP!$AA$4:$AA$147,MATCH(M14,WORLDCUP!$AH$4:$AH$147,0)),1,3)</f>
        <v>Uru</v>
      </c>
      <c r="P14" s="489">
        <f>IF(ISBLANK(INDEX(WORLDCUP!$AC$4:$AC$147,MATCH(M14,WORLDCUP!$AH$4:$AH$147,0))),"",INDEX(WORLDCUP!$AC$4:$AC$147,MATCH(M14,WORLDCUP!$AH$4:$AH$147,0)))</f>
        <v>1</v>
      </c>
      <c r="Q14" s="489">
        <f>IF(ISBLANK(INDEX(WORLDCUP!$AD$4:$AD$147,MATCH(M14,WORLDCUP!$AH$4:$AH$147,0))),"",INDEX(WORLDCUP!$AD$4:$AD$147,MATCH(M14,WORLDCUP!$AH$4:$AH$147,0)))</f>
        <v>0</v>
      </c>
      <c r="R14" s="490" t="str">
        <f ca="1">+MID(INDEX(WORLDCUP!$AF$4:$AF$147,MATCH(M14,WORLDCUP!$AH$4:$AH$147,0)),1,3)</f>
        <v>Cab</v>
      </c>
      <c r="S14" s="511">
        <v>3</v>
      </c>
      <c r="T14" s="512" t="str">
        <f ca="1">+MID(INDEX(WORLDCUP!$AL$6:$AL$97,MATCH(X14,WORLDCUP!$AI$6:$AI$97,0)),1,3)</f>
        <v>Ara</v>
      </c>
      <c r="U14" s="41">
        <f ca="1">+INDEX(WORLDCUP!$AM$6:$AM$97,MATCH(X14,WORLDCUP!$AI$6:$AI$97,0))</f>
        <v>2</v>
      </c>
      <c r="V14" s="42">
        <f ca="1">+INDEX(WORLDCUP!$AT$6:$AT$97,MATCH(X14,WORLDCUP!$AI$6:$AI$97,0))</f>
        <v>-1</v>
      </c>
      <c r="W14" s="48" t="str">
        <f ca="1">+INDEX(WORLDCUP!$AR$6:$AR$97,MATCH(X14,WORLDCUP!$AI$6:$AI$97,0))&amp;"-"&amp;INDEX(WORLDCUP!$AS$6:$AS$97,MATCH(X14,WORLDCUP!$AI$6:$AI$97,0))</f>
        <v>0-1</v>
      </c>
      <c r="X14" s="190" t="s">
        <v>453</v>
      </c>
      <c r="Y14" s="190"/>
      <c r="Z14" s="469"/>
      <c r="AA14" s="538"/>
      <c r="AB14" s="538"/>
      <c r="AC14" s="538"/>
      <c r="AD14" s="190"/>
      <c r="AE14" s="473"/>
      <c r="AF14" s="473"/>
      <c r="AG14" s="473"/>
      <c r="AH14" s="190"/>
      <c r="AI14" s="503"/>
      <c r="AJ14" s="503"/>
      <c r="AK14" s="543"/>
      <c r="AL14" s="190">
        <v>101</v>
      </c>
      <c r="AM14" s="552" t="str">
        <f ca="1">+MID(INDEX(WORLDCUP!$AF$101:$AF$147,MATCH(AL14,WORLDCUP!$Z$101:$Z$147,0)),1,3)</f>
        <v xml:space="preserve">PO </v>
      </c>
      <c r="AN14" s="553">
        <f>+IF(ISBLANK(INDEX(WORLDCUP!$AD$101:$AD$147,MATCH(AL14,WORLDCUP!$Z$101:$Z$147))),"",INDEX(WORLDCUP!$AD$101:$AD$147,MATCH(AL14,WORLDCUP!$Z$101:$Z$147)))</f>
        <v>0</v>
      </c>
      <c r="AO14" s="555" t="str">
        <f>+IF(ISBLANK(INDEX(WORLDCUP!$AE$101:$AE$147,MATCH(AL14,WORLDCUP!$Z$101:$Z$147))),"","( "&amp;INDEX(WORLDCUP!$AE$101:$AE$147,MATCH(AL14,WORLDCUP!$Z$101:$Z$147))&amp;" )")</f>
        <v/>
      </c>
      <c r="AP14" s="190"/>
      <c r="AQ14" s="504"/>
      <c r="AR14" s="504"/>
      <c r="AS14" s="504"/>
      <c r="AT14" s="190"/>
      <c r="AU14" s="477"/>
      <c r="AV14" s="477"/>
      <c r="AW14" s="477"/>
      <c r="AX14" s="190"/>
      <c r="AY14" s="161"/>
      <c r="AZ14" s="161"/>
      <c r="BA14" s="161"/>
      <c r="BB14" s="161"/>
      <c r="BC14" s="161"/>
      <c r="BD14" s="161"/>
      <c r="BE14" s="161"/>
      <c r="BG14" s="506" t="str">
        <f ca="1">Horarios!Q13</f>
        <v>Catar</v>
      </c>
      <c r="BH14" s="507">
        <f t="shared" ca="1" si="0"/>
        <v>0</v>
      </c>
      <c r="BI14" s="507">
        <f ca="1">COUNTIF(Pool!$C$130:$C$161,Fixture!BG14)-BJ14-BK14-BL14-BM14-BN14-BO14</f>
        <v>0</v>
      </c>
      <c r="BJ14" s="508">
        <f ca="1">COUNTIF(Pool!$C$182:$C$197,Fixture!BG14)-BK14-BL14-BM14-BN14-BO14</f>
        <v>1</v>
      </c>
      <c r="BK14" s="509">
        <f ca="1">COUNTIF(Pool!$C$210:$C$217,Fixture!BG14)-BL14-BM14-BN14-BO14</f>
        <v>0</v>
      </c>
      <c r="BL14" s="509">
        <f ca="1">COUNTIF(Pool!$C$226:$C$229,Fixture!BG14)-BM14-BN14-BO14</f>
        <v>0</v>
      </c>
      <c r="BM14" s="507">
        <f ca="1">COUNTIF(Pool!$C$252,Fixture!BG14)</f>
        <v>0</v>
      </c>
      <c r="BN14" s="507">
        <f ca="1">COUNTIF(Pool!$C$251,Fixture!BG14)</f>
        <v>0</v>
      </c>
      <c r="BO14" s="510">
        <f ca="1">COUNTIF(Pool!$C$250,Fixture!BG14)</f>
        <v>0</v>
      </c>
    </row>
    <row r="15" spans="1:67" ht="15" thickBot="1">
      <c r="A15" s="190">
        <v>51</v>
      </c>
      <c r="B15" s="548"/>
      <c r="C15" s="488" t="str">
        <f ca="1">+MID(INDEX(WORLDCUP!$AA$4:$AA$147,MATCH(A15,WORLDCUP!$AH$4:$AH$147,0)),1,3)</f>
        <v>Sui</v>
      </c>
      <c r="D15" s="489">
        <f>IF(ISBLANK(INDEX(WORLDCUP!$AC$4:$AC$147,MATCH(A15,WORLDCUP!$AH$4:$AH$147,0))),"",INDEX(WORLDCUP!$AC$4:$AC$147,MATCH(A15,WORLDCUP!$AH$4:$AH$147,0)))</f>
        <v>1</v>
      </c>
      <c r="E15" s="489">
        <f>IF(ISBLANK(INDEX(WORLDCUP!$AD$4:$AD$147,MATCH(A15,WORLDCUP!$AH$4:$AH$147,0))),"",INDEX(WORLDCUP!$AD$4:$AD$147,MATCH(A15,WORLDCUP!$AH$4:$AH$147,0)))</f>
        <v>0</v>
      </c>
      <c r="F15" s="490" t="str">
        <f ca="1">+MID(INDEX(WORLDCUP!$AF$4:$AF$147,MATCH(A15,WORLDCUP!$AH$4:$AH$147,0)),1,3)</f>
        <v>Can</v>
      </c>
      <c r="G15" s="511">
        <v>4</v>
      </c>
      <c r="H15" s="520" t="str">
        <f ca="1">+MID(INDEX(WORLDCUP!$AL$6:$AL$97,MATCH(L15,WORLDCUP!$AI$6:$AI$97,0)),1,3)</f>
        <v xml:space="preserve">PO </v>
      </c>
      <c r="I15" s="521">
        <f ca="1">+INDEX(WORLDCUP!$AM$6:$AM$97,MATCH(L15,WORLDCUP!$AI$6:$AI$97,0))</f>
        <v>1</v>
      </c>
      <c r="J15" s="522">
        <f ca="1">+INDEX(WORLDCUP!$AT$6:$AT$97,MATCH(L15,WORLDCUP!$AI$6:$AI$97,0))</f>
        <v>-2</v>
      </c>
      <c r="K15" s="523" t="str">
        <f ca="1">+INDEX(WORLDCUP!$AR$6:$AR$97,MATCH(L15,WORLDCUP!$AI$6:$AI$97,0))&amp;"-"&amp;INDEX(WORLDCUP!$AS$6:$AS$97,MATCH(L15,WORLDCUP!$AI$6:$AI$97,0))</f>
        <v>1-3</v>
      </c>
      <c r="L15" s="190" t="s">
        <v>669</v>
      </c>
      <c r="M15" s="190">
        <v>65</v>
      </c>
      <c r="N15" s="549"/>
      <c r="O15" s="488" t="str">
        <f ca="1">+MID(INDEX(WORLDCUP!$AA$4:$AA$147,MATCH(M15,WORLDCUP!$AH$4:$AH$147,0)),1,3)</f>
        <v>Cab</v>
      </c>
      <c r="P15" s="489">
        <f>IF(ISBLANK(INDEX(WORLDCUP!$AC$4:$AC$147,MATCH(M15,WORLDCUP!$AH$4:$AH$147,0))),"",INDEX(WORLDCUP!$AC$4:$AC$147,MATCH(M15,WORLDCUP!$AH$4:$AH$147,0)))</f>
        <v>0</v>
      </c>
      <c r="Q15" s="489">
        <f>IF(ISBLANK(INDEX(WORLDCUP!$AD$4:$AD$147,MATCH(M15,WORLDCUP!$AH$4:$AH$147,0))),"",INDEX(WORLDCUP!$AD$4:$AD$147,MATCH(M15,WORLDCUP!$AH$4:$AH$147,0)))</f>
        <v>0</v>
      </c>
      <c r="R15" s="490" t="str">
        <f ca="1">+MID(INDEX(WORLDCUP!$AF$4:$AF$147,MATCH(M15,WORLDCUP!$AH$4:$AH$147,0)),1,3)</f>
        <v>Ara</v>
      </c>
      <c r="S15" s="511">
        <v>4</v>
      </c>
      <c r="T15" s="520" t="str">
        <f ca="1">+MID(INDEX(WORLDCUP!$AL$6:$AL$97,MATCH(X15,WORLDCUP!$AI$6:$AI$97,0)),1,3)</f>
        <v>Cab</v>
      </c>
      <c r="U15" s="521">
        <f ca="1">+INDEX(WORLDCUP!$AM$6:$AM$97,MATCH(X15,WORLDCUP!$AI$6:$AI$97,0))</f>
        <v>1</v>
      </c>
      <c r="V15" s="522">
        <f ca="1">+INDEX(WORLDCUP!$AT$6:$AT$97,MATCH(X15,WORLDCUP!$AI$6:$AI$97,0))</f>
        <v>-4</v>
      </c>
      <c r="W15" s="523" t="str">
        <f ca="1">+INDEX(WORLDCUP!$AR$6:$AR$97,MATCH(X15,WORLDCUP!$AI$6:$AI$97,0))&amp;"-"&amp;INDEX(WORLDCUP!$AS$6:$AS$97,MATCH(X15,WORLDCUP!$AI$6:$AI$97,0))</f>
        <v>0-4</v>
      </c>
      <c r="X15" s="190" t="s">
        <v>691</v>
      </c>
      <c r="Y15" s="190">
        <v>83</v>
      </c>
      <c r="Z15" s="469" t="s">
        <v>699</v>
      </c>
      <c r="AA15" s="470" t="str">
        <f ca="1">+MID(INDEX(WORLDCUP!$AA$101:$AA$147,MATCH(Y15,WORLDCUP!$Z$101:$Z$147,0)),1,3)</f>
        <v>Por</v>
      </c>
      <c r="AB15" s="471">
        <f>+IF(ISBLANK(INDEX(WORLDCUP!$AC$101:$AC$147,MATCH(Y15,WORLDCUP!$Z$101:$Z$147))),"",INDEX(WORLDCUP!$AC$101:$AC$147,MATCH(Y15,WORLDCUP!$Z$101:$Z$147)))</f>
        <v>0</v>
      </c>
      <c r="AC15" s="542" t="str">
        <f>+IF(ISBLANK(INDEX(WORLDCUP!$AB$101:$AB$147,MATCH(Y15,WORLDCUP!$Z$101:$Z$147))),"","( "&amp;INDEX(WORLDCUP!$AB$101:$AB$147,MATCH(Y15,WORLDCUP!$Z$101:$Z$147))&amp;" )")</f>
        <v/>
      </c>
      <c r="AD15" s="188"/>
      <c r="AE15" s="473"/>
      <c r="AF15" s="473"/>
      <c r="AG15" s="473"/>
      <c r="AH15" s="190"/>
      <c r="AI15" s="503"/>
      <c r="AJ15" s="503"/>
      <c r="AK15" s="543"/>
      <c r="AL15" s="459"/>
      <c r="AM15" s="475"/>
      <c r="AN15" s="475"/>
      <c r="AO15" s="556"/>
      <c r="AP15" s="459"/>
      <c r="AQ15" s="504"/>
      <c r="AR15" s="504"/>
      <c r="AS15" s="504"/>
      <c r="AT15" s="190"/>
      <c r="AU15" s="477"/>
      <c r="AV15" s="477"/>
      <c r="AW15" s="477"/>
      <c r="AX15" s="190"/>
      <c r="AY15" s="161"/>
      <c r="AZ15" s="161"/>
      <c r="BA15" s="161"/>
      <c r="BB15" s="161"/>
      <c r="BC15" s="161"/>
      <c r="BD15" s="161"/>
      <c r="BE15" s="161"/>
      <c r="BG15" s="506" t="str">
        <f ca="1">Horarios!Q14</f>
        <v>Colombia</v>
      </c>
      <c r="BH15" s="507">
        <f t="shared" ca="1" si="0"/>
        <v>0</v>
      </c>
      <c r="BI15" s="507">
        <f ca="1">COUNTIF(Pool!$C$130:$C$161,Fixture!BG15)-BJ15-BK15-BL15-BM15-BN15-BO15</f>
        <v>1</v>
      </c>
      <c r="BJ15" s="508">
        <f ca="1">COUNTIF(Pool!$C$182:$C$197,Fixture!BG15)-BK15-BL15-BM15-BN15-BO15</f>
        <v>0</v>
      </c>
      <c r="BK15" s="509">
        <f ca="1">COUNTIF(Pool!$C$210:$C$217,Fixture!BG15)-BL15-BM15-BN15-BO15</f>
        <v>0</v>
      </c>
      <c r="BL15" s="509">
        <f ca="1">COUNTIF(Pool!$C$226:$C$229,Fixture!BG15)-BM15-BN15-BO15</f>
        <v>0</v>
      </c>
      <c r="BM15" s="507">
        <f ca="1">COUNTIF(Pool!$C$252,Fixture!BG15)</f>
        <v>0</v>
      </c>
      <c r="BN15" s="507">
        <f ca="1">COUNTIF(Pool!$C$251,Fixture!BG15)</f>
        <v>0</v>
      </c>
      <c r="BO15" s="510">
        <f ca="1">COUNTIF(Pool!$C$250,Fixture!BG15)</f>
        <v>0</v>
      </c>
    </row>
    <row r="16" spans="1:67" ht="15" thickBot="1">
      <c r="A16" s="190">
        <v>52</v>
      </c>
      <c r="B16" s="557"/>
      <c r="C16" s="531" t="str">
        <f ca="1">+MID(INDEX(WORLDCUP!$AA$4:$AA$147,MATCH(A16,WORLDCUP!$AH$4:$AH$147,0)),1,3)</f>
        <v xml:space="preserve">PO </v>
      </c>
      <c r="D16" s="532">
        <f>IF(ISBLANK(INDEX(WORLDCUP!$AC$4:$AC$147,MATCH(A16,WORLDCUP!$AH$4:$AH$147,0))),"",INDEX(WORLDCUP!$AC$4:$AC$147,MATCH(A16,WORLDCUP!$AH$4:$AH$147,0)))</f>
        <v>0</v>
      </c>
      <c r="E16" s="532">
        <f>IF(ISBLANK(INDEX(WORLDCUP!$AD$4:$AD$147,MATCH(A16,WORLDCUP!$AH$4:$AH$147,0))),"",INDEX(WORLDCUP!$AD$4:$AD$147,MATCH(A16,WORLDCUP!$AH$4:$AH$147,0)))</f>
        <v>1</v>
      </c>
      <c r="F16" s="533" t="str">
        <f ca="1">+MID(INDEX(WORLDCUP!$AF$4:$AF$147,MATCH(A16,WORLDCUP!$AH$4:$AH$147,0)),1,3)</f>
        <v>Cat</v>
      </c>
      <c r="G16" s="534"/>
      <c r="H16" s="534"/>
      <c r="I16" s="535"/>
      <c r="J16" s="535"/>
      <c r="K16" s="536"/>
      <c r="L16" s="190"/>
      <c r="M16" s="190">
        <v>66</v>
      </c>
      <c r="N16" s="558"/>
      <c r="O16" s="531" t="str">
        <f ca="1">+MID(INDEX(WORLDCUP!$AA$4:$AA$147,MATCH(M16,WORLDCUP!$AH$4:$AH$147,0)),1,3)</f>
        <v>Uru</v>
      </c>
      <c r="P16" s="532">
        <f>IF(ISBLANK(INDEX(WORLDCUP!$AC$4:$AC$147,MATCH(M16,WORLDCUP!$AH$4:$AH$147,0))),"",INDEX(WORLDCUP!$AC$4:$AC$147,MATCH(M16,WORLDCUP!$AH$4:$AH$147,0)))</f>
        <v>0</v>
      </c>
      <c r="Q16" s="532">
        <f>IF(ISBLANK(INDEX(WORLDCUP!$AD$4:$AD$147,MATCH(M16,WORLDCUP!$AH$4:$AH$147,0))),"",INDEX(WORLDCUP!$AD$4:$AD$147,MATCH(M16,WORLDCUP!$AH$4:$AH$147,0)))</f>
        <v>2</v>
      </c>
      <c r="R16" s="533" t="str">
        <f ca="1">+MID(INDEX(WORLDCUP!$AF$4:$AF$147,MATCH(M16,WORLDCUP!$AH$4:$AH$147,0)),1,3)</f>
        <v>Esp</v>
      </c>
      <c r="S16" s="534"/>
      <c r="T16" s="534"/>
      <c r="U16" s="535"/>
      <c r="V16" s="535"/>
      <c r="W16" s="536"/>
      <c r="X16" s="190"/>
      <c r="Y16" s="190">
        <v>83</v>
      </c>
      <c r="Z16" s="469" t="s">
        <v>702</v>
      </c>
      <c r="AA16" s="470" t="str">
        <f ca="1">+MID(INDEX(WORLDCUP!$AF$101:$AF$147,MATCH(Y16,WORLDCUP!$Z$101:$Z$147,0)),1,3)</f>
        <v>Cro</v>
      </c>
      <c r="AB16" s="497">
        <f>+IF(ISBLANK(INDEX(WORLDCUP!$AD$101:$AD$147,MATCH(Y16,WORLDCUP!$Z$101:$Z$147))),"",INDEX(WORLDCUP!$AD$101:$AD$147,MATCH(Y16,WORLDCUP!$Z$101:$Z$147)))</f>
        <v>1</v>
      </c>
      <c r="AC16" s="498" t="str">
        <f>+IF(ISBLANK(INDEX(WORLDCUP!$AE$101:$AE$147,MATCH(Y16,WORLDCUP!$Z$101:$Z$147))),"","( "&amp;INDEX(WORLDCUP!$AE$101:$AE$147,MATCH(Y16,WORLDCUP!$Z$101:$Z$147))&amp;" )")</f>
        <v/>
      </c>
      <c r="AD16" s="499">
        <v>93</v>
      </c>
      <c r="AE16" s="500" t="str">
        <f ca="1">+MID(INDEX(WORLDCUP!$AA$101:$AA$147,MATCH(AD16,WORLDCUP!$Z$101:$Z$147,0)),1,3)</f>
        <v>Cro</v>
      </c>
      <c r="AF16" s="501">
        <f>+IF(ISBLANK(INDEX(WORLDCUP!$AC$101:$AC$147,MATCH(AD16,WORLDCUP!$Z$101:$Z$147))),"",INDEX(WORLDCUP!$AC$101:$AC$147,MATCH(AD16,WORLDCUP!$Z$101:$Z$147)))</f>
        <v>3</v>
      </c>
      <c r="AG16" s="502" t="str">
        <f>+IF(ISBLANK(INDEX(WORLDCUP!$AB$101:$AB$147,MATCH(AD16,WORLDCUP!$Z$101:$Z$147))),"","( "&amp;INDEX(WORLDCUP!$AB$101:$AB$147,MATCH(AD16,WORLDCUP!$Z$101:$Z$147))&amp;" )")</f>
        <v/>
      </c>
      <c r="AH16" s="190"/>
      <c r="AI16" s="503"/>
      <c r="AJ16" s="503"/>
      <c r="AK16" s="543"/>
      <c r="AL16" s="190"/>
      <c r="AM16" s="475"/>
      <c r="AN16" s="475"/>
      <c r="AO16" s="556"/>
      <c r="AP16" s="459"/>
      <c r="AQ16" s="504"/>
      <c r="AR16" s="504"/>
      <c r="AS16" s="504"/>
      <c r="AT16" s="190"/>
      <c r="AU16" s="477"/>
      <c r="AV16" s="477"/>
      <c r="AW16" s="477"/>
      <c r="AX16" s="190"/>
      <c r="AY16" s="161"/>
      <c r="AZ16" s="161"/>
      <c r="BA16" s="161"/>
      <c r="BB16" s="161"/>
      <c r="BC16" s="161"/>
      <c r="BD16" s="161"/>
      <c r="BE16" s="161"/>
      <c r="BG16" s="506" t="str">
        <f ca="1">Horarios!Q15</f>
        <v>Corea del Sur</v>
      </c>
      <c r="BH16" s="507">
        <f t="shared" ca="1" si="0"/>
        <v>1</v>
      </c>
      <c r="BI16" s="507">
        <f ca="1">COUNTIF(Pool!$C$130:$C$161,Fixture!BG16)-BJ16-BK16-BL16-BM16-BN16-BO16</f>
        <v>0</v>
      </c>
      <c r="BJ16" s="508">
        <f ca="1">COUNTIF(Pool!$C$182:$C$197,Fixture!BG16)-BK16-BL16-BM16-BN16-BO16</f>
        <v>0</v>
      </c>
      <c r="BK16" s="509">
        <f ca="1">COUNTIF(Pool!$C$210:$C$217,Fixture!BG16)-BL16-BM16-BN16-BO16</f>
        <v>0</v>
      </c>
      <c r="BL16" s="509">
        <f ca="1">COUNTIF(Pool!$C$226:$C$229,Fixture!BG16)-BM16-BN16-BO16</f>
        <v>0</v>
      </c>
      <c r="BM16" s="507">
        <f ca="1">COUNTIF(Pool!$C$252,Fixture!BG16)</f>
        <v>0</v>
      </c>
      <c r="BN16" s="507">
        <f ca="1">COUNTIF(Pool!$C$251,Fixture!BG16)</f>
        <v>0</v>
      </c>
      <c r="BO16" s="510">
        <f ca="1">COUNTIF(Pool!$C$250,Fixture!BG16)</f>
        <v>0</v>
      </c>
    </row>
    <row r="17" spans="1:67">
      <c r="A17" s="190"/>
      <c r="B17" s="455"/>
      <c r="C17" s="540"/>
      <c r="D17" s="541"/>
      <c r="E17" s="541"/>
      <c r="F17" s="161"/>
      <c r="G17" s="161"/>
      <c r="H17" s="540"/>
      <c r="I17" s="161"/>
      <c r="J17" s="161"/>
      <c r="K17" s="161"/>
      <c r="L17" s="190"/>
      <c r="M17" s="190"/>
      <c r="N17" s="159"/>
      <c r="O17" s="540"/>
      <c r="P17" s="541"/>
      <c r="Q17" s="541"/>
      <c r="R17" s="161"/>
      <c r="S17" s="161"/>
      <c r="T17" s="540"/>
      <c r="U17" s="161"/>
      <c r="V17" s="161"/>
      <c r="W17" s="161"/>
      <c r="X17" s="190"/>
      <c r="Y17" s="190"/>
      <c r="Z17" s="469"/>
      <c r="AA17" s="513"/>
      <c r="AB17" s="513"/>
      <c r="AC17" s="514"/>
      <c r="AD17" s="190">
        <v>93</v>
      </c>
      <c r="AE17" s="500" t="str">
        <f ca="1">+MID(INDEX(WORLDCUP!$AF$101:$AF$147,MATCH(AD17,WORLDCUP!$Z$101:$Z$147,0)),1,3)</f>
        <v>Aus</v>
      </c>
      <c r="AF17" s="501">
        <f>+IF(ISBLANK(INDEX(WORLDCUP!$AD$101:$AD$147,MATCH(AD17,WORLDCUP!$Z$101:$Z$147))),"",INDEX(WORLDCUP!$AD$101:$AD$147,MATCH(AD17,WORLDCUP!$Z$101:$Z$147)))</f>
        <v>1</v>
      </c>
      <c r="AG17" s="559" t="str">
        <f>+IF(ISBLANK(INDEX(WORLDCUP!$AE$101:$AE$147,MATCH(AD17,WORLDCUP!$Z$101:$Z$147))),"","( "&amp;INDEX(WORLDCUP!$AE$101:$AE$147,MATCH(AD17,WORLDCUP!$Z$101:$Z$147))&amp;" )")</f>
        <v/>
      </c>
      <c r="AH17" s="190"/>
      <c r="AI17" s="503"/>
      <c r="AJ17" s="503"/>
      <c r="AK17" s="543"/>
      <c r="AL17" s="190"/>
      <c r="AM17" s="475"/>
      <c r="AN17" s="475"/>
      <c r="AO17" s="556"/>
      <c r="AP17" s="459"/>
      <c r="AQ17" s="504"/>
      <c r="AR17" s="504"/>
      <c r="AS17" s="504"/>
      <c r="AT17" s="190"/>
      <c r="AU17" s="477"/>
      <c r="AV17" s="477"/>
      <c r="AW17" s="477"/>
      <c r="AX17" s="190"/>
      <c r="AY17" s="161"/>
      <c r="AZ17" s="161"/>
      <c r="BA17" s="161"/>
      <c r="BB17" s="161"/>
      <c r="BC17" s="161"/>
      <c r="BD17" s="161"/>
      <c r="BE17" s="161"/>
      <c r="BG17" s="506" t="str">
        <f ca="1">Horarios!Q16</f>
        <v>Costa de Marfil</v>
      </c>
      <c r="BH17" s="507">
        <f t="shared" ca="1" si="0"/>
        <v>1</v>
      </c>
      <c r="BI17" s="507">
        <f ca="1">COUNTIF(Pool!$C$130:$C$161,Fixture!BG17)-BJ17-BK17-BL17-BM17-BN17-BO17</f>
        <v>0</v>
      </c>
      <c r="BJ17" s="508">
        <f ca="1">COUNTIF(Pool!$C$182:$C$197,Fixture!BG17)-BK17-BL17-BM17-BN17-BO17</f>
        <v>0</v>
      </c>
      <c r="BK17" s="509">
        <f ca="1">COUNTIF(Pool!$C$210:$C$217,Fixture!BG17)-BL17-BM17-BN17-BO17</f>
        <v>0</v>
      </c>
      <c r="BL17" s="509">
        <f ca="1">COUNTIF(Pool!$C$226:$C$229,Fixture!BG17)-BM17-BN17-BO17</f>
        <v>0</v>
      </c>
      <c r="BM17" s="507">
        <f ca="1">COUNTIF(Pool!$C$252,Fixture!BG17)</f>
        <v>0</v>
      </c>
      <c r="BN17" s="507">
        <f ca="1">COUNTIF(Pool!$C$251,Fixture!BG17)</f>
        <v>0</v>
      </c>
      <c r="BO17" s="510">
        <f ca="1">COUNTIF(Pool!$C$250,Fixture!BG17)</f>
        <v>0</v>
      </c>
    </row>
    <row r="18" spans="1:67" ht="15" thickBot="1">
      <c r="A18" s="190"/>
      <c r="B18" s="455"/>
      <c r="C18" s="540"/>
      <c r="D18" s="541"/>
      <c r="E18" s="541"/>
      <c r="F18" s="161"/>
      <c r="G18" s="161"/>
      <c r="H18" s="540"/>
      <c r="I18" s="161"/>
      <c r="J18" s="161"/>
      <c r="K18" s="161"/>
      <c r="L18" s="190"/>
      <c r="M18" s="190"/>
      <c r="N18" s="159"/>
      <c r="O18" s="540"/>
      <c r="P18" s="541"/>
      <c r="Q18" s="541"/>
      <c r="R18" s="161"/>
      <c r="S18" s="161"/>
      <c r="T18" s="540"/>
      <c r="U18" s="161"/>
      <c r="V18" s="161"/>
      <c r="W18" s="161"/>
      <c r="X18" s="190"/>
      <c r="Y18" s="190">
        <v>84</v>
      </c>
      <c r="Z18" s="469" t="s">
        <v>689</v>
      </c>
      <c r="AA18" s="470" t="str">
        <f ca="1">+MID(INDEX(WORLDCUP!$AA$101:$AA$147,MATCH(Y18,WORLDCUP!$Z$101:$Z$147,0)),1,3)</f>
        <v>Esp</v>
      </c>
      <c r="AB18" s="516">
        <f>+IF(ISBLANK(INDEX(WORLDCUP!$AC$101:$AC$147,MATCH(Y18,WORLDCUP!$Z$101:$Z$147))),"",INDEX(WORLDCUP!$AC$101:$AC$147,MATCH(Y18,WORLDCUP!$Z$101:$Z$147)))</f>
        <v>0</v>
      </c>
      <c r="AC18" s="550" t="str">
        <f>+IF(ISBLANK(INDEX(WORLDCUP!$AB$101:$AB$147,MATCH(Y18,WORLDCUP!$Z$101:$Z$147))),"","( "&amp;INDEX(WORLDCUP!$AB$101:$AB$147,MATCH(Y18,WORLDCUP!$Z$101:$Z$147))&amp;" )")</f>
        <v/>
      </c>
      <c r="AD18" s="190"/>
      <c r="AE18" s="518"/>
      <c r="AF18" s="518"/>
      <c r="AG18" s="519"/>
      <c r="AH18" s="190"/>
      <c r="AI18" s="503"/>
      <c r="AJ18" s="503"/>
      <c r="AK18" s="543"/>
      <c r="AL18" s="190"/>
      <c r="AM18" s="475"/>
      <c r="AN18" s="475"/>
      <c r="AO18" s="556"/>
      <c r="AP18" s="459"/>
      <c r="AQ18" s="504"/>
      <c r="AR18" s="504"/>
      <c r="AS18" s="504"/>
      <c r="AT18" s="190"/>
      <c r="AU18" s="477"/>
      <c r="AV18" s="477"/>
      <c r="AW18" s="477"/>
      <c r="AX18" s="560" t="str">
        <f>Idiomas!D8</f>
        <v>XXIII Mundial USA/MEX/CAN 2026</v>
      </c>
      <c r="AY18" s="560"/>
      <c r="AZ18" s="561"/>
      <c r="BA18" s="561"/>
      <c r="BB18" s="561"/>
      <c r="BC18" s="561"/>
      <c r="BD18" s="561"/>
      <c r="BE18" s="561"/>
      <c r="BG18" s="506" t="str">
        <f ca="1">Horarios!Q17</f>
        <v>Croacia</v>
      </c>
      <c r="BH18" s="507">
        <f t="shared" ca="1" si="0"/>
        <v>0</v>
      </c>
      <c r="BI18" s="507">
        <f ca="1">COUNTIF(Pool!$C$130:$C$161,Fixture!BG18)-BJ18-BK18-BL18-BM18-BN18-BO18</f>
        <v>0</v>
      </c>
      <c r="BJ18" s="508">
        <f ca="1">COUNTIF(Pool!$C$182:$C$197,Fixture!BG18)-BK18-BL18-BM18-BN18-BO18</f>
        <v>0</v>
      </c>
      <c r="BK18" s="509">
        <f ca="1">COUNTIF(Pool!$C$210:$C$217,Fixture!BG18)-BL18-BM18-BN18-BO18</f>
        <v>1</v>
      </c>
      <c r="BL18" s="509">
        <f ca="1">COUNTIF(Pool!$C$226:$C$229,Fixture!BG18)-BM18-BN18-BO18</f>
        <v>0</v>
      </c>
      <c r="BM18" s="507">
        <f ca="1">COUNTIF(Pool!$C$252,Fixture!BG18)</f>
        <v>0</v>
      </c>
      <c r="BN18" s="507">
        <f ca="1">COUNTIF(Pool!$C$251,Fixture!BG18)</f>
        <v>0</v>
      </c>
      <c r="BO18" s="510">
        <f ca="1">COUNTIF(Pool!$C$250,Fixture!BG18)</f>
        <v>0</v>
      </c>
    </row>
    <row r="19" spans="1:67" ht="15" thickBot="1">
      <c r="A19" s="190">
        <v>5</v>
      </c>
      <c r="B19" s="562" t="s">
        <v>2</v>
      </c>
      <c r="C19" s="461" t="str">
        <f ca="1">+MID(INDEX(WORLDCUP!$AA$4:$AA$147,MATCH(A19,WORLDCUP!$AH$4:$AH$147,0)),1,3)</f>
        <v>Bra</v>
      </c>
      <c r="D19" s="462">
        <f>IF(ISBLANK(INDEX(WORLDCUP!$AC$4:$AC$147,MATCH(A19,WORLDCUP!$AH$4:$AH$147,0))),"",INDEX(WORLDCUP!$AC$4:$AC$147,MATCH(A19,WORLDCUP!$AH$4:$AH$147,0)))</f>
        <v>2</v>
      </c>
      <c r="E19" s="462">
        <f>IF(ISBLANK(INDEX(WORLDCUP!$AD$4:$AD$147,MATCH(A19,WORLDCUP!$AH$4:$AH$147,0))),"",INDEX(WORLDCUP!$AD$4:$AD$147,MATCH(A19,WORLDCUP!$AH$4:$AH$147,0)))</f>
        <v>1</v>
      </c>
      <c r="F19" s="463" t="str">
        <f ca="1">+MID(INDEX(WORLDCUP!$AF$4:$AF$147,MATCH(A19,WORLDCUP!$AH$4:$AH$147,0)),1,3)</f>
        <v>Mar</v>
      </c>
      <c r="G19" s="464"/>
      <c r="H19" s="465" t="str">
        <f>+H11</f>
        <v>Sel</v>
      </c>
      <c r="I19" s="466" t="str">
        <f>+I11</f>
        <v>Pts</v>
      </c>
      <c r="J19" s="466" t="str">
        <f>+J11</f>
        <v>DG</v>
      </c>
      <c r="K19" s="467" t="str">
        <f>+K11</f>
        <v>GF-GC</v>
      </c>
      <c r="L19" s="190"/>
      <c r="M19" s="190">
        <v>17</v>
      </c>
      <c r="N19" s="563" t="s">
        <v>455</v>
      </c>
      <c r="O19" s="461" t="str">
        <f ca="1">+MID(INDEX(WORLDCUP!$AA$4:$AA$147,MATCH(M19,WORLDCUP!$AH$4:$AH$147,0)),1,3)</f>
        <v>Fra</v>
      </c>
      <c r="P19" s="462">
        <f>IF(ISBLANK(INDEX(WORLDCUP!$AC$4:$AC$147,MATCH(M19,WORLDCUP!$AH$4:$AH$147,0))),"",INDEX(WORLDCUP!$AC$4:$AC$147,MATCH(M19,WORLDCUP!$AH$4:$AH$147,0)))</f>
        <v>2</v>
      </c>
      <c r="Q19" s="462">
        <f>IF(ISBLANK(INDEX(WORLDCUP!$AD$4:$AD$147,MATCH(M19,WORLDCUP!$AH$4:$AH$147,0))),"",INDEX(WORLDCUP!$AD$4:$AD$147,MATCH(M19,WORLDCUP!$AH$4:$AH$147,0)))</f>
        <v>0</v>
      </c>
      <c r="R19" s="463" t="str">
        <f ca="1">+MID(INDEX(WORLDCUP!$AF$4:$AF$147,MATCH(M19,WORLDCUP!$AH$4:$AH$147,0)),1,3)</f>
        <v>Sen</v>
      </c>
      <c r="S19" s="464"/>
      <c r="T19" s="465" t="str">
        <f>+T11</f>
        <v>Sel</v>
      </c>
      <c r="U19" s="466" t="str">
        <f>+U11</f>
        <v>Pts</v>
      </c>
      <c r="V19" s="466" t="str">
        <f>+V11</f>
        <v>DG</v>
      </c>
      <c r="W19" s="467" t="str">
        <f>+W11</f>
        <v>GF-GC</v>
      </c>
      <c r="X19" s="190"/>
      <c r="Y19" s="190">
        <v>84</v>
      </c>
      <c r="Z19" s="469" t="s">
        <v>696</v>
      </c>
      <c r="AA19" s="524" t="str">
        <f ca="1">+MID(INDEX(WORLDCUP!$AF$101:$AF$147,MATCH(Y19,WORLDCUP!$Z$101:$Z$147,0)),1,3)</f>
        <v>Aus</v>
      </c>
      <c r="AB19" s="525">
        <f>+IF(ISBLANK(INDEX(WORLDCUP!$AD$101:$AD$147,MATCH(Y19,WORLDCUP!$Z$101:$Z$147))),"",INDEX(WORLDCUP!$AD$101:$AD$147,MATCH(Y19,WORLDCUP!$Z$101:$Z$147)))</f>
        <v>1</v>
      </c>
      <c r="AC19" s="551" t="str">
        <f>+IF(ISBLANK(INDEX(WORLDCUP!$AE$101:$AE$147,MATCH(Y19,WORLDCUP!$Z$101:$Z$147))),"","( "&amp;INDEX(WORLDCUP!$AE$101:$AE$147,MATCH(Y19,WORLDCUP!$Z$101:$Z$147))&amp;" )")</f>
        <v/>
      </c>
      <c r="AD19" s="190"/>
      <c r="AE19" s="518"/>
      <c r="AF19" s="518"/>
      <c r="AG19" s="519"/>
      <c r="AH19" s="544">
        <v>98</v>
      </c>
      <c r="AI19" s="527" t="str">
        <f ca="1">+MID(INDEX(WORLDCUP!$AA$101:$AA$147,MATCH(AH19,WORLDCUP!$Z$101:$Z$147,0)),1,3)</f>
        <v>Cro</v>
      </c>
      <c r="AJ19" s="528">
        <f>+IF(ISBLANK(INDEX(WORLDCUP!$AC$101:$AC$147,MATCH(AH19,WORLDCUP!$Z$101:$Z$147))),"",INDEX(WORLDCUP!$AC$101:$AC$147,MATCH(AH19,WORLDCUP!$Z$101:$Z$147)))</f>
        <v>1</v>
      </c>
      <c r="AK19" s="564" t="str">
        <f>+IF(ISBLANK(INDEX(WORLDCUP!$AB$101:$AB$147,MATCH(AH19,WORLDCUP!$Z$101:$Z$147))),"","( "&amp;INDEX(WORLDCUP!$AB$101:$AB$147,MATCH(AH19,WORLDCUP!$Z$101:$Z$147))&amp;" )")</f>
        <v/>
      </c>
      <c r="AL19" s="190"/>
      <c r="AM19" s="475"/>
      <c r="AN19" s="475"/>
      <c r="AO19" s="556"/>
      <c r="AP19" s="459"/>
      <c r="AQ19" s="504"/>
      <c r="AR19" s="504"/>
      <c r="AS19" s="504"/>
      <c r="AT19" s="190"/>
      <c r="AU19" s="477"/>
      <c r="AV19" s="477"/>
      <c r="AW19" s="477"/>
      <c r="AX19" s="190"/>
      <c r="AY19" s="161"/>
      <c r="AZ19" s="161"/>
      <c r="BA19" s="161"/>
      <c r="BB19" s="161"/>
      <c r="BC19" s="161"/>
      <c r="BD19" s="161"/>
      <c r="BE19" s="161"/>
      <c r="BG19" s="506" t="str">
        <f ca="1">Horarios!Q18</f>
        <v>Curazao</v>
      </c>
      <c r="BH19" s="507">
        <f t="shared" ca="1" si="0"/>
        <v>1</v>
      </c>
      <c r="BI19" s="507">
        <f ca="1">COUNTIF(Pool!$C$130:$C$161,Fixture!BG19)-BJ19-BK19-BL19-BM19-BN19-BO19</f>
        <v>0</v>
      </c>
      <c r="BJ19" s="508">
        <f ca="1">COUNTIF(Pool!$C$182:$C$197,Fixture!BG19)-BK19-BL19-BM19-BN19-BO19</f>
        <v>0</v>
      </c>
      <c r="BK19" s="509">
        <f ca="1">COUNTIF(Pool!$C$210:$C$217,Fixture!BG19)-BL19-BM19-BN19-BO19</f>
        <v>0</v>
      </c>
      <c r="BL19" s="509">
        <f ca="1">COUNTIF(Pool!$C$226:$C$229,Fixture!BG19)-BM19-BN19-BO19</f>
        <v>0</v>
      </c>
      <c r="BM19" s="507">
        <f ca="1">COUNTIF(Pool!$C$252,Fixture!BG19)</f>
        <v>0</v>
      </c>
      <c r="BN19" s="507">
        <f ca="1">COUNTIF(Pool!$C$251,Fixture!BG19)</f>
        <v>0</v>
      </c>
      <c r="BO19" s="510">
        <f ca="1">COUNTIF(Pool!$C$250,Fixture!BG19)</f>
        <v>0</v>
      </c>
    </row>
    <row r="20" spans="1:67">
      <c r="A20" s="190">
        <v>7</v>
      </c>
      <c r="B20" s="565"/>
      <c r="C20" s="488" t="str">
        <f ca="1">+MID(INDEX(WORLDCUP!$AA$4:$AA$147,MATCH(A20,WORLDCUP!$AH$4:$AH$147,0)),1,3)</f>
        <v>Hai</v>
      </c>
      <c r="D20" s="489">
        <f>IF(ISBLANK(INDEX(WORLDCUP!$AC$4:$AC$147,MATCH(A20,WORLDCUP!$AH$4:$AH$147,0))),"",INDEX(WORLDCUP!$AC$4:$AC$147,MATCH(A20,WORLDCUP!$AH$4:$AH$147,0)))</f>
        <v>0</v>
      </c>
      <c r="E20" s="489">
        <f>IF(ISBLANK(INDEX(WORLDCUP!$AD$4:$AD$147,MATCH(A20,WORLDCUP!$AH$4:$AH$147,0))),"",INDEX(WORLDCUP!$AD$4:$AD$147,MATCH(A20,WORLDCUP!$AH$4:$AH$147,0)))</f>
        <v>2</v>
      </c>
      <c r="F20" s="490" t="str">
        <f ca="1">+MID(INDEX(WORLDCUP!$AF$4:$AF$147,MATCH(A20,WORLDCUP!$AH$4:$AH$147,0)),1,3)</f>
        <v>Esc</v>
      </c>
      <c r="G20" s="491">
        <v>1</v>
      </c>
      <c r="H20" s="492" t="str">
        <f ca="1">+MID(INDEX(WORLDCUP!$AL$6:$AL$97,MATCH(L20,WORLDCUP!$AI$6:$AI$97,0)),1,3)</f>
        <v>Bra</v>
      </c>
      <c r="I20" s="493">
        <f ca="1">+INDEX(WORLDCUP!$AM$6:$AM$97,MATCH(L20,WORLDCUP!$AI$6:$AI$97,0))</f>
        <v>9</v>
      </c>
      <c r="J20" s="494">
        <f ca="1">+INDEX(WORLDCUP!$AT$6:$AT$97,MATCH(L20,WORLDCUP!$AI$6:$AI$97,0))</f>
        <v>4</v>
      </c>
      <c r="K20" s="495" t="str">
        <f ca="1">+INDEX(WORLDCUP!$AR$6:$AR$97,MATCH(L20,WORLDCUP!$AI$6:$AI$97,0))&amp;"-"&amp;INDEX(WORLDCUP!$AS$6:$AS$97,MATCH(L20,WORLDCUP!$AI$6:$AI$97,0))</f>
        <v>6-2</v>
      </c>
      <c r="L20" s="190" t="s">
        <v>670</v>
      </c>
      <c r="M20" s="190">
        <v>18</v>
      </c>
      <c r="N20" s="566"/>
      <c r="O20" s="488" t="str">
        <f ca="1">+MID(INDEX(WORLDCUP!$AA$4:$AA$147,MATCH(M20,WORLDCUP!$AH$4:$AH$147,0)),1,3)</f>
        <v xml:space="preserve">PO </v>
      </c>
      <c r="P20" s="489">
        <f>IF(ISBLANK(INDEX(WORLDCUP!$AC$4:$AC$147,MATCH(M20,WORLDCUP!$AH$4:$AH$147,0))),"",INDEX(WORLDCUP!$AC$4:$AC$147,MATCH(M20,WORLDCUP!$AH$4:$AH$147,0)))</f>
        <v>0</v>
      </c>
      <c r="Q20" s="489">
        <f>IF(ISBLANK(INDEX(WORLDCUP!$AD$4:$AD$147,MATCH(M20,WORLDCUP!$AH$4:$AH$147,0))),"",INDEX(WORLDCUP!$AD$4:$AD$147,MATCH(M20,WORLDCUP!$AH$4:$AH$147,0)))</f>
        <v>0</v>
      </c>
      <c r="R20" s="490" t="str">
        <f ca="1">+MID(INDEX(WORLDCUP!$AF$4:$AF$147,MATCH(M20,WORLDCUP!$AH$4:$AH$147,0)),1,3)</f>
        <v>Nor</v>
      </c>
      <c r="S20" s="491">
        <v>1</v>
      </c>
      <c r="T20" s="492" t="str">
        <f ca="1">+MID(INDEX(WORLDCUP!$AL$6:$AL$97,MATCH(X20,WORLDCUP!$AI$6:$AI$97,0)),1,3)</f>
        <v>Fra</v>
      </c>
      <c r="U20" s="493">
        <f ca="1">+INDEX(WORLDCUP!$AM$6:$AM$97,MATCH(X20,WORLDCUP!$AI$6:$AI$97,0))</f>
        <v>6</v>
      </c>
      <c r="V20" s="494">
        <f ca="1">+INDEX(WORLDCUP!$AT$6:$AT$97,MATCH(X20,WORLDCUP!$AI$6:$AI$97,0))</f>
        <v>3</v>
      </c>
      <c r="W20" s="495" t="str">
        <f ca="1">+INDEX(WORLDCUP!$AR$6:$AR$97,MATCH(X20,WORLDCUP!$AI$6:$AI$97,0))&amp;"-"&amp;INDEX(WORLDCUP!$AS$6:$AS$97,MATCH(X20,WORLDCUP!$AI$6:$AI$97,0))</f>
        <v>4-1</v>
      </c>
      <c r="X20" s="190" t="s">
        <v>692</v>
      </c>
      <c r="Y20" s="190"/>
      <c r="Z20" s="469"/>
      <c r="AA20" s="538"/>
      <c r="AB20" s="538"/>
      <c r="AC20" s="538"/>
      <c r="AD20" s="190"/>
      <c r="AE20" s="473"/>
      <c r="AF20" s="473"/>
      <c r="AG20" s="519"/>
      <c r="AH20" s="190">
        <v>98</v>
      </c>
      <c r="AI20" s="527" t="str">
        <f ca="1">+MID(INDEX(WORLDCUP!$AF$101:$AF$147,MATCH(AH20,WORLDCUP!$Z$101:$Z$147,0)),1,3)</f>
        <v xml:space="preserve">PO </v>
      </c>
      <c r="AJ20" s="528">
        <f>+IF(ISBLANK(INDEX(WORLDCUP!$AD$101:$AD$147,MATCH(AH20,WORLDCUP!$Z$101:$Z$147))),"",INDEX(WORLDCUP!$AD$101:$AD$147,MATCH(AH20,WORLDCUP!$Z$101:$Z$147)))</f>
        <v>2</v>
      </c>
      <c r="AK20" s="503" t="str">
        <f>+IF(ISBLANK(INDEX(WORLDCUP!$AE$101:$AE$147,MATCH(AH20,WORLDCUP!$Z$101:$Z$147))),"","( "&amp;INDEX(WORLDCUP!$AE$101:$AE$147,MATCH(AH20,WORLDCUP!$Z$101:$Z$147))&amp;" )")</f>
        <v/>
      </c>
      <c r="AL20" s="190"/>
      <c r="AM20" s="475"/>
      <c r="AN20" s="475"/>
      <c r="AO20" s="556"/>
      <c r="AP20" s="190"/>
      <c r="AQ20" s="504"/>
      <c r="AR20" s="504"/>
      <c r="AS20" s="504"/>
      <c r="AT20" s="190"/>
      <c r="AU20" s="567"/>
      <c r="AV20" s="372"/>
      <c r="AW20" s="477"/>
      <c r="AX20" s="190"/>
      <c r="AY20" s="568"/>
      <c r="AZ20" s="569"/>
      <c r="BA20" s="569"/>
      <c r="BB20" s="569"/>
      <c r="BC20" s="570"/>
      <c r="BD20" s="161"/>
      <c r="BE20" s="161"/>
      <c r="BG20" s="506" t="str">
        <f ca="1">Horarios!Q19</f>
        <v>Ecuador</v>
      </c>
      <c r="BH20" s="507">
        <f t="shared" ca="1" si="0"/>
        <v>0</v>
      </c>
      <c r="BI20" s="507">
        <f ca="1">COUNTIF(Pool!$C$130:$C$161,Fixture!BG20)-BJ20-BK20-BL20-BM20-BN20-BO20</f>
        <v>1</v>
      </c>
      <c r="BJ20" s="508">
        <f ca="1">COUNTIF(Pool!$C$182:$C$197,Fixture!BG20)-BK20-BL20-BM20-BN20-BO20</f>
        <v>0</v>
      </c>
      <c r="BK20" s="509">
        <f ca="1">COUNTIF(Pool!$C$210:$C$217,Fixture!BG20)-BL20-BM20-BN20-BO20</f>
        <v>0</v>
      </c>
      <c r="BL20" s="509">
        <f ca="1">COUNTIF(Pool!$C$226:$C$229,Fixture!BG20)-BM20-BN20-BO20</f>
        <v>0</v>
      </c>
      <c r="BM20" s="507">
        <f ca="1">COUNTIF(Pool!$C$252,Fixture!BG20)</f>
        <v>0</v>
      </c>
      <c r="BN20" s="507">
        <f ca="1">COUNTIF(Pool!$C$251,Fixture!BG20)</f>
        <v>0</v>
      </c>
      <c r="BO20" s="510">
        <f ca="1">COUNTIF(Pool!$C$250,Fixture!BG20)</f>
        <v>0</v>
      </c>
    </row>
    <row r="21" spans="1:67" ht="15" thickBot="1">
      <c r="A21" s="190">
        <v>29</v>
      </c>
      <c r="B21" s="565"/>
      <c r="C21" s="488" t="str">
        <f ca="1">+MID(INDEX(WORLDCUP!$AA$4:$AA$147,MATCH(A21,WORLDCUP!$AH$4:$AH$147,0)),1,3)</f>
        <v>Esc</v>
      </c>
      <c r="D21" s="489">
        <f>IF(ISBLANK(INDEX(WORLDCUP!$AC$4:$AC$147,MATCH(A21,WORLDCUP!$AH$4:$AH$147,0))),"",INDEX(WORLDCUP!$AC$4:$AC$147,MATCH(A21,WORLDCUP!$AH$4:$AH$147,0)))</f>
        <v>0</v>
      </c>
      <c r="E21" s="489">
        <f>IF(ISBLANK(INDEX(WORLDCUP!$AD$4:$AD$147,MATCH(A21,WORLDCUP!$AH$4:$AH$147,0))),"",INDEX(WORLDCUP!$AD$4:$AD$147,MATCH(A21,WORLDCUP!$AH$4:$AH$147,0)))</f>
        <v>1</v>
      </c>
      <c r="F21" s="490" t="str">
        <f ca="1">+MID(INDEX(WORLDCUP!$AF$4:$AF$147,MATCH(A21,WORLDCUP!$AH$4:$AH$147,0)),1,3)</f>
        <v>Mar</v>
      </c>
      <c r="G21" s="511">
        <v>2</v>
      </c>
      <c r="H21" s="512" t="str">
        <f ca="1">+MID(INDEX(WORLDCUP!$AL$6:$AL$97,MATCH(L21,WORLDCUP!$AI$6:$AI$97,0)),1,3)</f>
        <v>Mar</v>
      </c>
      <c r="I21" s="41">
        <f ca="1">+INDEX(WORLDCUP!$AM$6:$AM$97,MATCH(L21,WORLDCUP!$AI$6:$AI$97,0))</f>
        <v>6</v>
      </c>
      <c r="J21" s="42">
        <f ca="1">+INDEX(WORLDCUP!$AT$6:$AT$97,MATCH(L21,WORLDCUP!$AI$6:$AI$97,0))</f>
        <v>1</v>
      </c>
      <c r="K21" s="48" t="str">
        <f ca="1">+INDEX(WORLDCUP!$AR$6:$AR$97,MATCH(L21,WORLDCUP!$AI$6:$AI$97,0))&amp;"-"&amp;INDEX(WORLDCUP!$AS$6:$AS$97,MATCH(L21,WORLDCUP!$AI$6:$AI$97,0))</f>
        <v>3-2</v>
      </c>
      <c r="L21" s="190" t="s">
        <v>675</v>
      </c>
      <c r="M21" s="190">
        <v>41</v>
      </c>
      <c r="N21" s="566"/>
      <c r="O21" s="488" t="str">
        <f ca="1">+MID(INDEX(WORLDCUP!$AA$4:$AA$147,MATCH(M21,WORLDCUP!$AH$4:$AH$147,0)),1,3)</f>
        <v>Fra</v>
      </c>
      <c r="P21" s="489">
        <f>IF(ISBLANK(INDEX(WORLDCUP!$AC$4:$AC$147,MATCH(M21,WORLDCUP!$AH$4:$AH$147,0))),"",INDEX(WORLDCUP!$AC$4:$AC$147,MATCH(M21,WORLDCUP!$AH$4:$AH$147,0)))</f>
        <v>2</v>
      </c>
      <c r="Q21" s="489">
        <f>IF(ISBLANK(INDEX(WORLDCUP!$AD$4:$AD$147,MATCH(M21,WORLDCUP!$AH$4:$AH$147,0))),"",INDEX(WORLDCUP!$AD$4:$AD$147,MATCH(M21,WORLDCUP!$AH$4:$AH$147,0)))</f>
        <v>0</v>
      </c>
      <c r="R21" s="490" t="str">
        <f ca="1">+MID(INDEX(WORLDCUP!$AF$4:$AF$147,MATCH(M21,WORLDCUP!$AH$4:$AH$147,0)),1,3)</f>
        <v xml:space="preserve">PO </v>
      </c>
      <c r="S21" s="511">
        <v>2</v>
      </c>
      <c r="T21" s="512" t="str">
        <f ca="1">+MID(INDEX(WORLDCUP!$AL$6:$AL$97,MATCH(X21,WORLDCUP!$AI$6:$AI$97,0)),1,3)</f>
        <v>Sen</v>
      </c>
      <c r="U21" s="41">
        <f ca="1">+INDEX(WORLDCUP!$AM$6:$AM$97,MATCH(X21,WORLDCUP!$AI$6:$AI$97,0))</f>
        <v>6</v>
      </c>
      <c r="V21" s="42">
        <f ca="1">+INDEX(WORLDCUP!$AT$6:$AT$97,MATCH(X21,WORLDCUP!$AI$6:$AI$97,0))</f>
        <v>0</v>
      </c>
      <c r="W21" s="48" t="str">
        <f ca="1">+INDEX(WORLDCUP!$AR$6:$AR$97,MATCH(X21,WORLDCUP!$AI$6:$AI$97,0))&amp;"-"&amp;INDEX(WORLDCUP!$AS$6:$AS$97,MATCH(X21,WORLDCUP!$AI$6:$AI$97,0))</f>
        <v>2-2</v>
      </c>
      <c r="X21" s="190" t="s">
        <v>693</v>
      </c>
      <c r="Y21" s="190">
        <v>81</v>
      </c>
      <c r="Z21" s="469" t="s">
        <v>677</v>
      </c>
      <c r="AA21" s="470" t="str">
        <f ca="1">+MID(INDEX(WORLDCUP!$AA$101:$AA$147,MATCH(Y21,WORLDCUP!$Z$101:$Z$147,0)),1,3)</f>
        <v>Est</v>
      </c>
      <c r="AB21" s="471">
        <f>+IF(ISBLANK(INDEX(WORLDCUP!$AC$101:$AC$147,MATCH(Y21,WORLDCUP!$Z$101:$Z$147))),"",INDEX(WORLDCUP!$AC$101:$AC$147,MATCH(Y21,WORLDCUP!$Z$101:$Z$147)))</f>
        <v>0</v>
      </c>
      <c r="AC21" s="542" t="str">
        <f>+IF(ISBLANK(INDEX(WORLDCUP!$AB$101:$AB$147,MATCH(Y21,WORLDCUP!$Z$101:$Z$147))),"","( "&amp;INDEX(WORLDCUP!$AB$101:$AB$147,MATCH(Y21,WORLDCUP!$Z$101:$Z$147))&amp;" )")</f>
        <v/>
      </c>
      <c r="AD21" s="188"/>
      <c r="AE21" s="473"/>
      <c r="AF21" s="473"/>
      <c r="AG21" s="519"/>
      <c r="AH21" s="190"/>
      <c r="AI21" s="503"/>
      <c r="AJ21" s="503"/>
      <c r="AK21" s="503"/>
      <c r="AL21" s="190"/>
      <c r="AM21" s="475"/>
      <c r="AN21" s="475"/>
      <c r="AO21" s="556"/>
      <c r="AP21" s="190"/>
      <c r="AQ21" s="504"/>
      <c r="AR21" s="504"/>
      <c r="AS21" s="504"/>
      <c r="AT21" s="190"/>
      <c r="AU21" s="567"/>
      <c r="AV21" s="372"/>
      <c r="AW21" s="477"/>
      <c r="AX21" s="190"/>
      <c r="AY21" s="571"/>
      <c r="AZ21" s="572"/>
      <c r="BA21" s="572" t="str">
        <f ca="1">WORLDCUP!AA150</f>
        <v>Alemania</v>
      </c>
      <c r="BB21" s="572"/>
      <c r="BC21" s="573"/>
      <c r="BD21" s="161"/>
      <c r="BE21" s="161"/>
      <c r="BG21" s="506" t="str">
        <f ca="1">Horarios!Q20</f>
        <v>Egipto</v>
      </c>
      <c r="BH21" s="507">
        <f t="shared" ca="1" si="0"/>
        <v>0</v>
      </c>
      <c r="BI21" s="507">
        <f ca="1">COUNTIF(Pool!$C$130:$C$161,Fixture!BG21)-BJ21-BK21-BL21-BM21-BN21-BO21</f>
        <v>0</v>
      </c>
      <c r="BJ21" s="508">
        <f ca="1">COUNTIF(Pool!$C$182:$C$197,Fixture!BG21)-BK21-BL21-BM21-BN21-BO21</f>
        <v>1</v>
      </c>
      <c r="BK21" s="509">
        <f ca="1">COUNTIF(Pool!$C$210:$C$217,Fixture!BG21)-BL21-BM21-BN21-BO21</f>
        <v>0</v>
      </c>
      <c r="BL21" s="509">
        <f ca="1">COUNTIF(Pool!$C$226:$C$229,Fixture!BG21)-BM21-BN21-BO21</f>
        <v>0</v>
      </c>
      <c r="BM21" s="507">
        <f ca="1">COUNTIF(Pool!$C$252,Fixture!BG21)</f>
        <v>0</v>
      </c>
      <c r="BN21" s="507">
        <f ca="1">COUNTIF(Pool!$C$251,Fixture!BG21)</f>
        <v>0</v>
      </c>
      <c r="BO21" s="510">
        <f ca="1">COUNTIF(Pool!$C$250,Fixture!BG21)</f>
        <v>0</v>
      </c>
    </row>
    <row r="22" spans="1:67" ht="15" thickBot="1">
      <c r="A22" s="190">
        <v>30</v>
      </c>
      <c r="B22" s="565"/>
      <c r="C22" s="488" t="str">
        <f ca="1">+MID(INDEX(WORLDCUP!$AA$4:$AA$147,MATCH(A22,WORLDCUP!$AH$4:$AH$147,0)),1,3)</f>
        <v>Bra</v>
      </c>
      <c r="D22" s="489">
        <f>IF(ISBLANK(INDEX(WORLDCUP!$AC$4:$AC$147,MATCH(A22,WORLDCUP!$AH$4:$AH$147,0))),"",INDEX(WORLDCUP!$AC$4:$AC$147,MATCH(A22,WORLDCUP!$AH$4:$AH$147,0)))</f>
        <v>3</v>
      </c>
      <c r="E22" s="489">
        <f>IF(ISBLANK(INDEX(WORLDCUP!$AD$4:$AD$147,MATCH(A22,WORLDCUP!$AH$4:$AH$147,0))),"",INDEX(WORLDCUP!$AD$4:$AD$147,MATCH(A22,WORLDCUP!$AH$4:$AH$147,0)))</f>
        <v>1</v>
      </c>
      <c r="F22" s="490" t="str">
        <f ca="1">+MID(INDEX(WORLDCUP!$AF$4:$AF$147,MATCH(A22,WORLDCUP!$AH$4:$AH$147,0)),1,3)</f>
        <v>Hai</v>
      </c>
      <c r="G22" s="511">
        <v>3</v>
      </c>
      <c r="H22" s="512" t="str">
        <f ca="1">+MID(INDEX(WORLDCUP!$AL$6:$AL$97,MATCH(L22,WORLDCUP!$AI$6:$AI$97,0)),1,3)</f>
        <v>Esc</v>
      </c>
      <c r="I22" s="41">
        <f ca="1">+INDEX(WORLDCUP!$AM$6:$AM$97,MATCH(L22,WORLDCUP!$AI$6:$AI$97,0))</f>
        <v>3</v>
      </c>
      <c r="J22" s="42">
        <f ca="1">+INDEX(WORLDCUP!$AT$6:$AT$97,MATCH(L22,WORLDCUP!$AI$6:$AI$97,0))</f>
        <v>0</v>
      </c>
      <c r="K22" s="48" t="str">
        <f ca="1">+INDEX(WORLDCUP!$AR$6:$AR$97,MATCH(L22,WORLDCUP!$AI$6:$AI$97,0))&amp;"-"&amp;INDEX(WORLDCUP!$AS$6:$AS$97,MATCH(L22,WORLDCUP!$AI$6:$AI$97,0))</f>
        <v>2-2</v>
      </c>
      <c r="L22" s="190" t="s">
        <v>93</v>
      </c>
      <c r="M22" s="190">
        <v>42</v>
      </c>
      <c r="N22" s="566"/>
      <c r="O22" s="488" t="str">
        <f ca="1">+MID(INDEX(WORLDCUP!$AA$4:$AA$147,MATCH(M22,WORLDCUP!$AH$4:$AH$147,0)),1,3)</f>
        <v>Nor</v>
      </c>
      <c r="P22" s="489">
        <f>IF(ISBLANK(INDEX(WORLDCUP!$AC$4:$AC$147,MATCH(M22,WORLDCUP!$AH$4:$AH$147,0))),"",INDEX(WORLDCUP!$AC$4:$AC$147,MATCH(M22,WORLDCUP!$AH$4:$AH$147,0)))</f>
        <v>0</v>
      </c>
      <c r="Q22" s="489">
        <f>IF(ISBLANK(INDEX(WORLDCUP!$AD$4:$AD$147,MATCH(M22,WORLDCUP!$AH$4:$AH$147,0))),"",INDEX(WORLDCUP!$AD$4:$AD$147,MATCH(M22,WORLDCUP!$AH$4:$AH$147,0)))</f>
        <v>1</v>
      </c>
      <c r="R22" s="490" t="str">
        <f ca="1">+MID(INDEX(WORLDCUP!$AF$4:$AF$147,MATCH(M22,WORLDCUP!$AH$4:$AH$147,0)),1,3)</f>
        <v>Sen</v>
      </c>
      <c r="S22" s="511">
        <v>3</v>
      </c>
      <c r="T22" s="512" t="str">
        <f ca="1">+MID(INDEX(WORLDCUP!$AL$6:$AL$97,MATCH(X22,WORLDCUP!$AI$6:$AI$97,0)),1,3)</f>
        <v>Nor</v>
      </c>
      <c r="U22" s="41">
        <f ca="1">+INDEX(WORLDCUP!$AM$6:$AM$97,MATCH(X22,WORLDCUP!$AI$6:$AI$97,0))</f>
        <v>4</v>
      </c>
      <c r="V22" s="42">
        <f ca="1">+INDEX(WORLDCUP!$AT$6:$AT$97,MATCH(X22,WORLDCUP!$AI$6:$AI$97,0))</f>
        <v>0</v>
      </c>
      <c r="W22" s="48" t="str">
        <f ca="1">+INDEX(WORLDCUP!$AR$6:$AR$97,MATCH(X22,WORLDCUP!$AI$6:$AI$97,0))&amp;"-"&amp;INDEX(WORLDCUP!$AS$6:$AS$97,MATCH(X22,WORLDCUP!$AI$6:$AI$97,0))</f>
        <v>1-1</v>
      </c>
      <c r="X22" s="190" t="s">
        <v>457</v>
      </c>
      <c r="Y22" s="190">
        <v>81</v>
      </c>
      <c r="Z22" s="469" t="s">
        <v>745</v>
      </c>
      <c r="AA22" s="470" t="str">
        <f ca="1">+MID(INDEX(WORLDCUP!$AF$101:$AF$147,MATCH(Y22,WORLDCUP!$Z$101:$Z$147,0)),1,IF(WORLDCUP!$H$113&lt;144,6,3))</f>
        <v>Cat</v>
      </c>
      <c r="AB22" s="497">
        <f>+IF(ISBLANK(INDEX(WORLDCUP!$AD$101:$AD$147,MATCH(Y22,WORLDCUP!$Z$101:$Z$147))),"",INDEX(WORLDCUP!$AD$101:$AD$147,MATCH(Y22,WORLDCUP!$Z$101:$Z$147)))</f>
        <v>1</v>
      </c>
      <c r="AC22" s="498" t="str">
        <f>+IF(ISBLANK(INDEX(WORLDCUP!$AE$101:$AE$147,MATCH(Y22,WORLDCUP!$Z$101:$Z$147))),"","( "&amp;INDEX(WORLDCUP!$AE$101:$AE$147,MATCH(Y22,WORLDCUP!$Z$101:$Z$147))&amp;" )")</f>
        <v/>
      </c>
      <c r="AD22" s="499">
        <v>94</v>
      </c>
      <c r="AE22" s="500" t="str">
        <f ca="1">+MID(INDEX(WORLDCUP!$AA$101:$AA$147,MATCH(AD22,WORLDCUP!$Z$101:$Z$147,0)),1,3)</f>
        <v>Cat</v>
      </c>
      <c r="AF22" s="501">
        <f>+IF(ISBLANK(INDEX(WORLDCUP!$AC$101:$AC$147,MATCH(AD22,WORLDCUP!$Z$101:$Z$147))),"",INDEX(WORLDCUP!$AC$101:$AC$147,MATCH(AD22,WORLDCUP!$Z$101:$Z$147)))</f>
        <v>1</v>
      </c>
      <c r="AG22" s="545" t="str">
        <f>+IF(ISBLANK(INDEX(WORLDCUP!$AB$101:$AB$147,MATCH(AD22,WORLDCUP!$Z$101:$Z$147))),"","( "&amp;INDEX(WORLDCUP!$AB$101:$AB$147,MATCH(AD22,WORLDCUP!$Z$101:$Z$147))&amp;" )")</f>
        <v/>
      </c>
      <c r="AH22" s="190"/>
      <c r="AI22" s="503"/>
      <c r="AJ22" s="503"/>
      <c r="AK22" s="503"/>
      <c r="AL22" s="190"/>
      <c r="AM22" s="475"/>
      <c r="AN22" s="475"/>
      <c r="AO22" s="556"/>
      <c r="AP22" s="190"/>
      <c r="AQ22" s="504"/>
      <c r="AR22" s="504"/>
      <c r="AS22" s="504"/>
      <c r="AT22" s="190"/>
      <c r="AU22" s="567"/>
      <c r="AV22" s="372"/>
      <c r="AW22" s="477"/>
      <c r="AX22" s="190"/>
      <c r="AY22" s="571"/>
      <c r="AZ22" s="572"/>
      <c r="BA22" s="574"/>
      <c r="BB22" s="572"/>
      <c r="BC22" s="573"/>
      <c r="BD22" s="161"/>
      <c r="BE22" s="161"/>
      <c r="BG22" s="506" t="str">
        <f ca="1">Horarios!Q21</f>
        <v>Escocia</v>
      </c>
      <c r="BH22" s="507">
        <f t="shared" ca="1" si="0"/>
        <v>0</v>
      </c>
      <c r="BI22" s="507">
        <f ca="1">COUNTIF(Pool!$C$130:$C$161,Fixture!BG22)-BJ22-BK22-BL22-BM22-BN22-BO22</f>
        <v>1</v>
      </c>
      <c r="BJ22" s="508">
        <f ca="1">COUNTIF(Pool!$C$182:$C$197,Fixture!BG22)-BK22-BL22-BM22-BN22-BO22</f>
        <v>0</v>
      </c>
      <c r="BK22" s="509">
        <f ca="1">COUNTIF(Pool!$C$210:$C$217,Fixture!BG22)-BL22-BM22-BN22-BO22</f>
        <v>0</v>
      </c>
      <c r="BL22" s="509">
        <f ca="1">COUNTIF(Pool!$C$226:$C$229,Fixture!BG22)-BM22-BN22-BO22</f>
        <v>0</v>
      </c>
      <c r="BM22" s="507">
        <f ca="1">COUNTIF(Pool!$C$252,Fixture!BG22)</f>
        <v>0</v>
      </c>
      <c r="BN22" s="507">
        <f ca="1">COUNTIF(Pool!$C$251,Fixture!BG22)</f>
        <v>0</v>
      </c>
      <c r="BO22" s="510">
        <f ca="1">COUNTIF(Pool!$C$250,Fixture!BG22)</f>
        <v>0</v>
      </c>
    </row>
    <row r="23" spans="1:67">
      <c r="A23" s="190">
        <v>49</v>
      </c>
      <c r="B23" s="565"/>
      <c r="C23" s="488" t="str">
        <f ca="1">+MID(INDEX(WORLDCUP!$AA$4:$AA$147,MATCH(A23,WORLDCUP!$AH$4:$AH$147,0)),1,3)</f>
        <v>Esc</v>
      </c>
      <c r="D23" s="489">
        <f>IF(ISBLANK(INDEX(WORLDCUP!$AC$4:$AC$147,MATCH(A23,WORLDCUP!$AH$4:$AH$147,0))),"",INDEX(WORLDCUP!$AC$4:$AC$147,MATCH(A23,WORLDCUP!$AH$4:$AH$147,0)))</f>
        <v>0</v>
      </c>
      <c r="E23" s="489">
        <f>IF(ISBLANK(INDEX(WORLDCUP!$AD$4:$AD$147,MATCH(A23,WORLDCUP!$AH$4:$AH$147,0))),"",INDEX(WORLDCUP!$AD$4:$AD$147,MATCH(A23,WORLDCUP!$AH$4:$AH$147,0)))</f>
        <v>1</v>
      </c>
      <c r="F23" s="490" t="str">
        <f ca="1">+MID(INDEX(WORLDCUP!$AF$4:$AF$147,MATCH(A23,WORLDCUP!$AH$4:$AH$147,0)),1,3)</f>
        <v>Bra</v>
      </c>
      <c r="G23" s="511">
        <v>4</v>
      </c>
      <c r="H23" s="520" t="str">
        <f ca="1">+MID(INDEX(WORLDCUP!$AL$6:$AL$97,MATCH(L23,WORLDCUP!$AI$6:$AI$97,0)),1,3)</f>
        <v>Hai</v>
      </c>
      <c r="I23" s="521">
        <f ca="1">+INDEX(WORLDCUP!$AM$6:$AM$97,MATCH(L23,WORLDCUP!$AI$6:$AI$97,0))</f>
        <v>0</v>
      </c>
      <c r="J23" s="522">
        <f ca="1">+INDEX(WORLDCUP!$AT$6:$AT$97,MATCH(L23,WORLDCUP!$AI$6:$AI$97,0))</f>
        <v>-5</v>
      </c>
      <c r="K23" s="523" t="str">
        <f ca="1">+INDEX(WORLDCUP!$AR$6:$AR$97,MATCH(L23,WORLDCUP!$AI$6:$AI$97,0))&amp;"-"&amp;INDEX(WORLDCUP!$AS$6:$AS$97,MATCH(L23,WORLDCUP!$AI$6:$AI$97,0))</f>
        <v>1-6</v>
      </c>
      <c r="L23" s="190" t="s">
        <v>676</v>
      </c>
      <c r="M23" s="190">
        <v>61</v>
      </c>
      <c r="N23" s="566"/>
      <c r="O23" s="488" t="str">
        <f ca="1">+MID(INDEX(WORLDCUP!$AA$4:$AA$147,MATCH(M23,WORLDCUP!$AH$4:$AH$147,0)),1,3)</f>
        <v>Nor</v>
      </c>
      <c r="P23" s="489">
        <f>IF(ISBLANK(INDEX(WORLDCUP!$AC$4:$AC$147,MATCH(M23,WORLDCUP!$AH$4:$AH$147,0))),"",INDEX(WORLDCUP!$AC$4:$AC$147,MATCH(M23,WORLDCUP!$AH$4:$AH$147,0)))</f>
        <v>1</v>
      </c>
      <c r="Q23" s="489">
        <f>IF(ISBLANK(INDEX(WORLDCUP!$AD$4:$AD$147,MATCH(M23,WORLDCUP!$AH$4:$AH$147,0))),"",INDEX(WORLDCUP!$AD$4:$AD$147,MATCH(M23,WORLDCUP!$AH$4:$AH$147,0)))</f>
        <v>0</v>
      </c>
      <c r="R23" s="490" t="str">
        <f ca="1">+MID(INDEX(WORLDCUP!$AF$4:$AF$147,MATCH(M23,WORLDCUP!$AH$4:$AH$147,0)),1,3)</f>
        <v>Fra</v>
      </c>
      <c r="S23" s="511">
        <v>4</v>
      </c>
      <c r="T23" s="520" t="str">
        <f ca="1">+MID(INDEX(WORLDCUP!$AL$6:$AL$97,MATCH(X23,WORLDCUP!$AI$6:$AI$97,0)),1,3)</f>
        <v xml:space="preserve">PO </v>
      </c>
      <c r="U23" s="521">
        <f ca="1">+INDEX(WORLDCUP!$AM$6:$AM$97,MATCH(X23,WORLDCUP!$AI$6:$AI$97,0))</f>
        <v>1</v>
      </c>
      <c r="V23" s="522">
        <f ca="1">+INDEX(WORLDCUP!$AT$6:$AT$97,MATCH(X23,WORLDCUP!$AI$6:$AI$97,0))</f>
        <v>-3</v>
      </c>
      <c r="W23" s="523" t="str">
        <f ca="1">+INDEX(WORLDCUP!$AR$6:$AR$97,MATCH(X23,WORLDCUP!$AI$6:$AI$97,0))&amp;"-"&amp;INDEX(WORLDCUP!$AS$6:$AS$97,MATCH(X23,WORLDCUP!$AI$6:$AI$97,0))</f>
        <v>0-3</v>
      </c>
      <c r="X23" s="190" t="s">
        <v>694</v>
      </c>
      <c r="Y23" s="190"/>
      <c r="Z23" s="469"/>
      <c r="AA23" s="513"/>
      <c r="AB23" s="513"/>
      <c r="AC23" s="514"/>
      <c r="AD23" s="190">
        <v>94</v>
      </c>
      <c r="AE23" s="500" t="str">
        <f ca="1">+MID(INDEX(WORLDCUP!$AF$101:$AF$147,MATCH(AD23,WORLDCUP!$Z$101:$Z$147,0)),1,3)</f>
        <v xml:space="preserve">PO </v>
      </c>
      <c r="AF23" s="501">
        <f>+IF(ISBLANK(INDEX(WORLDCUP!$AD$101:$AD$147,MATCH(AD23,WORLDCUP!$Z$101:$Z$147))),"",INDEX(WORLDCUP!$AD$101:$AD$147,MATCH(AD23,WORLDCUP!$Z$101:$Z$147)))</f>
        <v>2</v>
      </c>
      <c r="AG23" s="518" t="str">
        <f>+IF(ISBLANK(INDEX(WORLDCUP!$AE$101:$AE$147,MATCH(AD23,WORLDCUP!$Z$101:$Z$147))),"","( "&amp;INDEX(WORLDCUP!$AE$101:$AE$147,MATCH(AD23,WORLDCUP!$Z$101:$Z$147))&amp;" )")</f>
        <v/>
      </c>
      <c r="AH23" s="190"/>
      <c r="AI23" s="503"/>
      <c r="AJ23" s="503"/>
      <c r="AK23" s="503"/>
      <c r="AL23" s="190"/>
      <c r="AM23" s="475"/>
      <c r="AN23" s="475"/>
      <c r="AO23" s="556"/>
      <c r="AP23" s="459"/>
      <c r="AQ23" s="504"/>
      <c r="AR23" s="504"/>
      <c r="AS23" s="504"/>
      <c r="AT23" s="190"/>
      <c r="AU23" s="477"/>
      <c r="AV23" s="477"/>
      <c r="AW23" s="477"/>
      <c r="AX23" s="190"/>
      <c r="AY23" s="571"/>
      <c r="AZ23" s="572"/>
      <c r="BA23" s="574"/>
      <c r="BB23" s="572" t="str">
        <f ca="1">+WORLDCUP!AA151</f>
        <v>Ghana</v>
      </c>
      <c r="BC23" s="573"/>
      <c r="BD23" s="161"/>
      <c r="BE23" s="161"/>
      <c r="BG23" s="506" t="str">
        <f ca="1">Horarios!Q22</f>
        <v>España</v>
      </c>
      <c r="BH23" s="507">
        <f t="shared" ca="1" si="0"/>
        <v>0</v>
      </c>
      <c r="BI23" s="507">
        <f ca="1">COUNTIF(Pool!$C$130:$C$161,Fixture!BG23)-BJ23-BK23-BL23-BM23-BN23-BO23</f>
        <v>1</v>
      </c>
      <c r="BJ23" s="508">
        <f ca="1">COUNTIF(Pool!$C$182:$C$197,Fixture!BG23)-BK23-BL23-BM23-BN23-BO23</f>
        <v>0</v>
      </c>
      <c r="BK23" s="509">
        <f ca="1">COUNTIF(Pool!$C$210:$C$217,Fixture!BG23)-BL23-BM23-BN23-BO23</f>
        <v>0</v>
      </c>
      <c r="BL23" s="509">
        <f ca="1">COUNTIF(Pool!$C$226:$C$229,Fixture!BG23)-BM23-BN23-BO23</f>
        <v>0</v>
      </c>
      <c r="BM23" s="507">
        <f ca="1">COUNTIF(Pool!$C$252,Fixture!BG23)</f>
        <v>0</v>
      </c>
      <c r="BN23" s="507">
        <f ca="1">COUNTIF(Pool!$C$251,Fixture!BG23)</f>
        <v>0</v>
      </c>
      <c r="BO23" s="510">
        <f ca="1">COUNTIF(Pool!$C$250,Fixture!BG23)</f>
        <v>0</v>
      </c>
    </row>
    <row r="24" spans="1:67" ht="15" thickBot="1">
      <c r="A24" s="190">
        <v>50</v>
      </c>
      <c r="B24" s="575"/>
      <c r="C24" s="531" t="str">
        <f ca="1">+MID(INDEX(WORLDCUP!$AA$4:$AA$147,MATCH(A24,WORLDCUP!$AH$4:$AH$147,0)),1,3)</f>
        <v>Mar</v>
      </c>
      <c r="D24" s="532">
        <f>IF(ISBLANK(INDEX(WORLDCUP!$AC$4:$AC$147,MATCH(A24,WORLDCUP!$AH$4:$AH$147,0))),"",INDEX(WORLDCUP!$AC$4:$AC$147,MATCH(A24,WORLDCUP!$AH$4:$AH$147,0)))</f>
        <v>1</v>
      </c>
      <c r="E24" s="532">
        <f>IF(ISBLANK(INDEX(WORLDCUP!$AD$4:$AD$147,MATCH(A24,WORLDCUP!$AH$4:$AH$147,0))),"",INDEX(WORLDCUP!$AD$4:$AD$147,MATCH(A24,WORLDCUP!$AH$4:$AH$147,0)))</f>
        <v>0</v>
      </c>
      <c r="F24" s="533" t="str">
        <f ca="1">+MID(INDEX(WORLDCUP!$AF$4:$AF$147,MATCH(A24,WORLDCUP!$AH$4:$AH$147,0)),1,3)</f>
        <v>Hai</v>
      </c>
      <c r="G24" s="534"/>
      <c r="H24" s="534"/>
      <c r="I24" s="535"/>
      <c r="J24" s="535"/>
      <c r="K24" s="536"/>
      <c r="L24" s="190"/>
      <c r="M24" s="190">
        <v>62</v>
      </c>
      <c r="N24" s="576"/>
      <c r="O24" s="531" t="str">
        <f ca="1">+MID(INDEX(WORLDCUP!$AA$4:$AA$147,MATCH(M24,WORLDCUP!$AH$4:$AH$147,0)),1,3)</f>
        <v>Sen</v>
      </c>
      <c r="P24" s="532">
        <f>IF(ISBLANK(INDEX(WORLDCUP!$AC$4:$AC$147,MATCH(M24,WORLDCUP!$AH$4:$AH$147,0))),"",INDEX(WORLDCUP!$AC$4:$AC$147,MATCH(M24,WORLDCUP!$AH$4:$AH$147,0)))</f>
        <v>1</v>
      </c>
      <c r="Q24" s="532">
        <f>IF(ISBLANK(INDEX(WORLDCUP!$AD$4:$AD$147,MATCH(M24,WORLDCUP!$AH$4:$AH$147,0))),"",INDEX(WORLDCUP!$AD$4:$AD$147,MATCH(M24,WORLDCUP!$AH$4:$AH$147,0)))</f>
        <v>0</v>
      </c>
      <c r="R24" s="533" t="str">
        <f ca="1">+MID(INDEX(WORLDCUP!$AF$4:$AF$147,MATCH(M24,WORLDCUP!$AH$4:$AH$147,0)),1,3)</f>
        <v xml:space="preserve">PO </v>
      </c>
      <c r="S24" s="534"/>
      <c r="T24" s="534"/>
      <c r="U24" s="535"/>
      <c r="V24" s="535"/>
      <c r="W24" s="536"/>
      <c r="X24" s="190"/>
      <c r="Y24" s="190">
        <v>82</v>
      </c>
      <c r="Z24" s="469" t="s">
        <v>686</v>
      </c>
      <c r="AA24" s="470" t="str">
        <f ca="1">+MID(INDEX(WORLDCUP!$AA$101:$AA$147,MATCH(Y24,WORLDCUP!$Z$101:$Z$147,0)),1,3)</f>
        <v>Bél</v>
      </c>
      <c r="AB24" s="516">
        <f>+IF(ISBLANK(INDEX(WORLDCUP!$AC$101:$AC$147,MATCH(Y24,WORLDCUP!$Z$101:$Z$147))),"",INDEX(WORLDCUP!$AC$101:$AC$147,MATCH(Y24,WORLDCUP!$Z$101:$Z$147)))</f>
        <v>0</v>
      </c>
      <c r="AC24" s="550" t="str">
        <f>+IF(ISBLANK(INDEX(WORLDCUP!$AB$101:$AB$147,MATCH(Y24,WORLDCUP!$Z$101:$Z$147))),"","( "&amp;INDEX(WORLDCUP!$AB$101:$AB$147,MATCH(Y24,WORLDCUP!$Z$101:$Z$147))&amp;" )")</f>
        <v/>
      </c>
      <c r="AD24" s="190"/>
      <c r="AE24" s="473"/>
      <c r="AF24" s="473"/>
      <c r="AG24" s="473"/>
      <c r="AH24" s="190"/>
      <c r="AI24" s="503"/>
      <c r="AJ24" s="503"/>
      <c r="AK24" s="503"/>
      <c r="AL24" s="190"/>
      <c r="AM24" s="475"/>
      <c r="AN24" s="475"/>
      <c r="AO24" s="556"/>
      <c r="AP24" s="459"/>
      <c r="AQ24" s="504"/>
      <c r="AR24" s="504"/>
      <c r="AS24" s="504"/>
      <c r="AT24" s="190"/>
      <c r="AU24" s="477"/>
      <c r="AV24" s="477"/>
      <c r="AW24" s="477"/>
      <c r="AX24" s="190"/>
      <c r="AY24" s="571"/>
      <c r="AZ24" s="572"/>
      <c r="BA24" s="574"/>
      <c r="BB24" s="577"/>
      <c r="BC24" s="573"/>
      <c r="BD24" s="161"/>
      <c r="BE24" s="161"/>
      <c r="BG24" s="506" t="str">
        <f ca="1">Horarios!Q23</f>
        <v>Estados Unidos</v>
      </c>
      <c r="BH24" s="507">
        <f t="shared" ca="1" si="0"/>
        <v>0</v>
      </c>
      <c r="BI24" s="507">
        <f ca="1">COUNTIF(Pool!$C$130:$C$161,Fixture!BG24)-BJ24-BK24-BL24-BM24-BN24-BO24</f>
        <v>1</v>
      </c>
      <c r="BJ24" s="508">
        <f ca="1">COUNTIF(Pool!$C$182:$C$197,Fixture!BG24)-BK24-BL24-BM24-BN24-BO24</f>
        <v>0</v>
      </c>
      <c r="BK24" s="509">
        <f ca="1">COUNTIF(Pool!$C$210:$C$217,Fixture!BG24)-BL24-BM24-BN24-BO24</f>
        <v>0</v>
      </c>
      <c r="BL24" s="509">
        <f ca="1">COUNTIF(Pool!$C$226:$C$229,Fixture!BG24)-BM24-BN24-BO24</f>
        <v>0</v>
      </c>
      <c r="BM24" s="507">
        <f ca="1">COUNTIF(Pool!$C$252,Fixture!BG24)</f>
        <v>0</v>
      </c>
      <c r="BN24" s="507">
        <f ca="1">COUNTIF(Pool!$C$251,Fixture!BG24)</f>
        <v>0</v>
      </c>
      <c r="BO24" s="510">
        <f ca="1">COUNTIF(Pool!$C$250,Fixture!BG24)</f>
        <v>0</v>
      </c>
    </row>
    <row r="25" spans="1:67" ht="15" thickBot="1">
      <c r="A25" s="190"/>
      <c r="B25" s="455"/>
      <c r="C25" s="540"/>
      <c r="D25" s="541"/>
      <c r="E25" s="541"/>
      <c r="F25" s="161"/>
      <c r="G25" s="161"/>
      <c r="H25" s="540"/>
      <c r="I25" s="161"/>
      <c r="J25" s="161"/>
      <c r="K25" s="161"/>
      <c r="L25" s="190"/>
      <c r="M25" s="190"/>
      <c r="N25" s="159"/>
      <c r="O25" s="161"/>
      <c r="P25" s="161"/>
      <c r="Q25" s="161"/>
      <c r="R25" s="161"/>
      <c r="S25" s="161"/>
      <c r="T25" s="161"/>
      <c r="U25" s="161"/>
      <c r="V25" s="161"/>
      <c r="W25" s="161"/>
      <c r="X25" s="190"/>
      <c r="Y25" s="190">
        <v>82</v>
      </c>
      <c r="Z25" s="469" t="s">
        <v>746</v>
      </c>
      <c r="AA25" s="524" t="str">
        <f ca="1">+MID(INDEX(WORLDCUP!$AF$101:$AF$147,MATCH(Y25,WORLDCUP!$Z$101:$Z$147,0)),1,IF(WORLDCUP!$H$113&lt;144,6,3))</f>
        <v xml:space="preserve">PO </v>
      </c>
      <c r="AB25" s="525">
        <f>+IF(ISBLANK(INDEX(WORLDCUP!$AD$101:$AD$147,MATCH(Y25,WORLDCUP!$Z$101:$Z$147))),"",INDEX(WORLDCUP!$AD$101:$AD$147,MATCH(Y25,WORLDCUP!$Z$101:$Z$147)))</f>
        <v>1</v>
      </c>
      <c r="AC25" s="551" t="str">
        <f>+IF(ISBLANK(INDEX(WORLDCUP!$AE$101:$AE$147,MATCH(Y25,WORLDCUP!$Z$101:$Z$147))),"","( "&amp;INDEX(WORLDCUP!$AE$101:$AE$147,MATCH(Y25,WORLDCUP!$Z$101:$Z$147))&amp;" )")</f>
        <v/>
      </c>
      <c r="AD25" s="190"/>
      <c r="AE25" s="473"/>
      <c r="AF25" s="473"/>
      <c r="AG25" s="473"/>
      <c r="AH25" s="190"/>
      <c r="AI25" s="503"/>
      <c r="AJ25" s="503"/>
      <c r="AK25" s="503"/>
      <c r="AL25" s="190"/>
      <c r="AM25" s="475"/>
      <c r="AN25" s="475"/>
      <c r="AO25" s="556"/>
      <c r="AP25" s="578"/>
      <c r="AQ25" s="579"/>
      <c r="AR25" s="579"/>
      <c r="AS25" s="579"/>
      <c r="AT25" s="580">
        <v>104</v>
      </c>
      <c r="AU25" s="581" t="str">
        <f ca="1">+MID(INDEX(WORLDCUP!$AA$101:$AA$147,MATCH(AT25,WORLDCUP!$Z$101:$Z$147,0)),1,4)</f>
        <v>Alem</v>
      </c>
      <c r="AV25" s="582">
        <f>+IF(ISBLANK(INDEX(WORLDCUP!$AC$101:$AC$147,MATCH(AT25,WORLDCUP!$Z$101:$Z$147))),"",INDEX(WORLDCUP!$AC$101:$AC$147,MATCH(AT25,WORLDCUP!$Z$101:$Z$147)))</f>
        <v>2</v>
      </c>
      <c r="AW25" s="583" t="str">
        <f>+IF(ISBLANK(INDEX(WORLDCUP!$AB$101:$AB$147,MATCH(AT25,WORLDCUP!$Z$101:$Z$147))),"","( "&amp;INDEX(WORLDCUP!$AB$101:$AB$147,MATCH(AT25,WORLDCUP!$Z$101:$Z$147))&amp;" )")</f>
        <v/>
      </c>
      <c r="AX25" s="584"/>
      <c r="AY25" s="571"/>
      <c r="AZ25" s="572" t="str">
        <f ca="1">+WORLDCUP!AA152</f>
        <v>PO D: DEN/MKD/CZE/IRL</v>
      </c>
      <c r="BA25" s="574"/>
      <c r="BB25" s="577"/>
      <c r="BC25" s="573"/>
      <c r="BD25" s="161"/>
      <c r="BE25" s="161"/>
      <c r="BG25" s="506" t="str">
        <f ca="1">Horarios!Q24</f>
        <v>Francia</v>
      </c>
      <c r="BH25" s="507">
        <f t="shared" ca="1" si="0"/>
        <v>0</v>
      </c>
      <c r="BI25" s="507">
        <f ca="1">COUNTIF(Pool!$C$130:$C$161,Fixture!BG25)-BJ25-BK25-BL25-BM25-BN25-BO25</f>
        <v>1</v>
      </c>
      <c r="BJ25" s="508">
        <f ca="1">COUNTIF(Pool!$C$182:$C$197,Fixture!BG25)-BK25-BL25-BM25-BN25-BO25</f>
        <v>0</v>
      </c>
      <c r="BK25" s="509">
        <f ca="1">COUNTIF(Pool!$C$210:$C$217,Fixture!BG25)-BL25-BM25-BN25-BO25</f>
        <v>0</v>
      </c>
      <c r="BL25" s="509">
        <f ca="1">COUNTIF(Pool!$C$226:$C$229,Fixture!BG25)-BM25-BN25-BO25</f>
        <v>0</v>
      </c>
      <c r="BM25" s="507">
        <f ca="1">COUNTIF(Pool!$C$252,Fixture!BG25)</f>
        <v>0</v>
      </c>
      <c r="BN25" s="507">
        <f ca="1">COUNTIF(Pool!$C$251,Fixture!BG25)</f>
        <v>0</v>
      </c>
      <c r="BO25" s="510">
        <f ca="1">COUNTIF(Pool!$C$250,Fixture!BG25)</f>
        <v>0</v>
      </c>
    </row>
    <row r="26" spans="1:67" ht="15" thickBot="1">
      <c r="A26" s="190"/>
      <c r="B26" s="455"/>
      <c r="C26" s="540"/>
      <c r="D26" s="541"/>
      <c r="E26" s="541"/>
      <c r="F26" s="161"/>
      <c r="G26" s="161"/>
      <c r="H26" s="540"/>
      <c r="I26" s="161"/>
      <c r="J26" s="161"/>
      <c r="K26" s="161"/>
      <c r="L26" s="190"/>
      <c r="M26" s="190"/>
      <c r="N26" s="159"/>
      <c r="O26" s="161"/>
      <c r="P26" s="161"/>
      <c r="Q26" s="161"/>
      <c r="R26" s="161"/>
      <c r="S26" s="161"/>
      <c r="T26" s="161"/>
      <c r="U26" s="161"/>
      <c r="V26" s="161"/>
      <c r="W26" s="161"/>
      <c r="X26" s="190"/>
      <c r="Y26" s="190"/>
      <c r="Z26" s="469"/>
      <c r="AA26" s="538"/>
      <c r="AB26" s="538"/>
      <c r="AC26" s="538"/>
      <c r="AD26" s="190"/>
      <c r="AE26" s="473"/>
      <c r="AF26" s="473"/>
      <c r="AG26" s="518"/>
      <c r="AH26" s="190"/>
      <c r="AI26" s="503"/>
      <c r="AJ26" s="503"/>
      <c r="AK26" s="503"/>
      <c r="AL26" s="190"/>
      <c r="AM26" s="475"/>
      <c r="AN26" s="475"/>
      <c r="AO26" s="556"/>
      <c r="AP26" s="190"/>
      <c r="AQ26" s="504"/>
      <c r="AR26" s="504"/>
      <c r="AS26" s="504"/>
      <c r="AT26" s="190">
        <v>104</v>
      </c>
      <c r="AU26" s="581" t="str">
        <f ca="1">+MID(INDEX(WORLDCUP!$AF$101:$AF$147,MATCH(AT26,WORLDCUP!$Z$101:$Z$147,0)),1,4)</f>
        <v>Ghan</v>
      </c>
      <c r="AV26" s="582">
        <f>+IF(ISBLANK(INDEX(WORLDCUP!$AD$101:$AD$147,MATCH(AT26,WORLDCUP!$Z$101:$Z$147))),"",INDEX(WORLDCUP!$AD$101:$AD$147,MATCH(AT26,WORLDCUP!$Z$101:$Z$147)))</f>
        <v>1</v>
      </c>
      <c r="AW26" s="477" t="str">
        <f>+IF(ISBLANK(INDEX(WORLDCUP!$AE$101:$AE$147,MATCH(AT26,WORLDCUP!$Z$101:$Z$147))),"","( "&amp;INDEX(WORLDCUP!$AE$101:$AE$147,MATCH(AT26,WORLDCUP!$Z$101:$Z$147))&amp;" )")</f>
        <v/>
      </c>
      <c r="AX26" s="190"/>
      <c r="AY26" s="571"/>
      <c r="AZ26" s="585"/>
      <c r="BA26" s="574"/>
      <c r="BB26" s="577"/>
      <c r="BC26" s="573"/>
      <c r="BD26" s="161"/>
      <c r="BE26" s="161"/>
      <c r="BG26" s="506" t="str">
        <f ca="1">Horarios!Q25</f>
        <v>Ghana</v>
      </c>
      <c r="BH26" s="507">
        <f t="shared" ca="1" si="0"/>
        <v>0</v>
      </c>
      <c r="BI26" s="507">
        <f ca="1">COUNTIF(Pool!$C$130:$C$161,Fixture!BG26)-BJ26-BK26-BL26-BM26-BN26-BO26</f>
        <v>0</v>
      </c>
      <c r="BJ26" s="508">
        <f ca="1">COUNTIF(Pool!$C$182:$C$197,Fixture!BG26)-BK26-BL26-BM26-BN26-BO26</f>
        <v>0</v>
      </c>
      <c r="BK26" s="509">
        <f ca="1">COUNTIF(Pool!$C$210:$C$217,Fixture!BG26)-BL26-BM26-BN26-BO26</f>
        <v>0</v>
      </c>
      <c r="BL26" s="509">
        <f ca="1">COUNTIF(Pool!$C$226:$C$229,Fixture!BG26)-BM26-BN26-BO26</f>
        <v>0</v>
      </c>
      <c r="BM26" s="507">
        <f ca="1">COUNTIF(Pool!$C$252,Fixture!BG26)</f>
        <v>0</v>
      </c>
      <c r="BN26" s="507">
        <f ca="1">COUNTIF(Pool!$C$251,Fixture!BG26)</f>
        <v>1</v>
      </c>
      <c r="BO26" s="510">
        <f ca="1">COUNTIF(Pool!$C$250,Fixture!BG26)</f>
        <v>0</v>
      </c>
    </row>
    <row r="27" spans="1:67" ht="15" thickBot="1">
      <c r="A27" s="190">
        <v>4</v>
      </c>
      <c r="B27" s="586" t="s">
        <v>75</v>
      </c>
      <c r="C27" s="461" t="str">
        <f ca="1">+MID(INDEX(WORLDCUP!$AA$4:$AA$147,MATCH(A27,WORLDCUP!$AH$4:$AH$147,0)),1,3)</f>
        <v>Est</v>
      </c>
      <c r="D27" s="462">
        <f>IF(ISBLANK(INDEX(WORLDCUP!$AC$4:$AC$147,MATCH(A27,WORLDCUP!$AH$4:$AH$147,0))),"",INDEX(WORLDCUP!$AC$4:$AC$147,MATCH(A27,WORLDCUP!$AH$4:$AH$147,0)))</f>
        <v>1</v>
      </c>
      <c r="E27" s="462">
        <f>IF(ISBLANK(INDEX(WORLDCUP!$AD$4:$AD$147,MATCH(A27,WORLDCUP!$AH$4:$AH$147,0))),"",INDEX(WORLDCUP!$AD$4:$AD$147,MATCH(A27,WORLDCUP!$AH$4:$AH$147,0)))</f>
        <v>0</v>
      </c>
      <c r="F27" s="463" t="str">
        <f ca="1">+MID(INDEX(WORLDCUP!$AF$4:$AF$147,MATCH(A27,WORLDCUP!$AH$4:$AH$147,0)),1,3)</f>
        <v>Par</v>
      </c>
      <c r="G27" s="464"/>
      <c r="H27" s="465" t="str">
        <f>+H19</f>
        <v>Sel</v>
      </c>
      <c r="I27" s="466" t="str">
        <f>+I19</f>
        <v>Pts</v>
      </c>
      <c r="J27" s="466" t="str">
        <f>+J19</f>
        <v>DG</v>
      </c>
      <c r="K27" s="467" t="str">
        <f>+K19</f>
        <v>GF-GC</v>
      </c>
      <c r="L27" s="190"/>
      <c r="M27" s="190">
        <v>19</v>
      </c>
      <c r="N27" s="587" t="s">
        <v>5</v>
      </c>
      <c r="O27" s="461" t="str">
        <f ca="1">+MID(INDEX(WORLDCUP!$AA$4:$AA$147,MATCH(M27,WORLDCUP!$AH$4:$AH$147,0)),1,3)</f>
        <v>Aus</v>
      </c>
      <c r="P27" s="462">
        <f>IF(ISBLANK(INDEX(WORLDCUP!$AC$4:$AC$147,MATCH(M27,WORLDCUP!$AH$4:$AH$147,0))),"",INDEX(WORLDCUP!$AC$4:$AC$147,MATCH(M27,WORLDCUP!$AH$4:$AH$147,0)))</f>
        <v>1</v>
      </c>
      <c r="Q27" s="462">
        <f>IF(ISBLANK(INDEX(WORLDCUP!$AD$4:$AD$147,MATCH(M27,WORLDCUP!$AH$4:$AH$147,0))),"",INDEX(WORLDCUP!$AD$4:$AD$147,MATCH(M27,WORLDCUP!$AH$4:$AH$147,0)))</f>
        <v>0</v>
      </c>
      <c r="R27" s="463" t="str">
        <f ca="1">+MID(INDEX(WORLDCUP!$AF$4:$AF$147,MATCH(M27,WORLDCUP!$AH$4:$AH$147,0)),1,3)</f>
        <v>Jor</v>
      </c>
      <c r="S27" s="464"/>
      <c r="T27" s="465" t="str">
        <f>+T19</f>
        <v>Sel</v>
      </c>
      <c r="U27" s="466" t="str">
        <f>+U19</f>
        <v>Pts</v>
      </c>
      <c r="V27" s="466" t="str">
        <f>+V19</f>
        <v>DG</v>
      </c>
      <c r="W27" s="467" t="str">
        <f>+W19</f>
        <v>GF-GC</v>
      </c>
      <c r="X27" s="190"/>
      <c r="Y27" s="190">
        <v>76</v>
      </c>
      <c r="Z27" s="469" t="s">
        <v>670</v>
      </c>
      <c r="AA27" s="470" t="str">
        <f ca="1">+MID(INDEX(WORLDCUP!$AA$101:$AA$147,MATCH(Y27,WORLDCUP!$Z$101:$Z$147,0)),1,3)</f>
        <v>Bra</v>
      </c>
      <c r="AB27" s="471">
        <f>+IF(ISBLANK(INDEX(WORLDCUP!$AC$101:$AC$147,MATCH(Y27,WORLDCUP!$Z$101:$Z$147))),"",INDEX(WORLDCUP!$AC$101:$AC$147,MATCH(Y27,WORLDCUP!$Z$101:$Z$147)))</f>
        <v>0</v>
      </c>
      <c r="AC27" s="542" t="str">
        <f>+IF(ISBLANK(INDEX(WORLDCUP!$AB$101:$AB$147,MATCH(Y27,WORLDCUP!$Z$101:$Z$147))),"","( "&amp;INDEX(WORLDCUP!$AB$101:$AB$147,MATCH(Y27,WORLDCUP!$Z$101:$Z$147))&amp;" )")</f>
        <v/>
      </c>
      <c r="AD27" s="188"/>
      <c r="AE27" s="473"/>
      <c r="AF27" s="473"/>
      <c r="AG27" s="473"/>
      <c r="AH27" s="190"/>
      <c r="AI27" s="503"/>
      <c r="AJ27" s="503"/>
      <c r="AK27" s="503"/>
      <c r="AL27" s="190"/>
      <c r="AM27" s="475"/>
      <c r="AN27" s="475"/>
      <c r="AO27" s="556"/>
      <c r="AP27" s="459"/>
      <c r="AQ27" s="504"/>
      <c r="AR27" s="504"/>
      <c r="AS27" s="504"/>
      <c r="AT27" s="190"/>
      <c r="AU27" s="477"/>
      <c r="AV27" s="477"/>
      <c r="AW27" s="477"/>
      <c r="AX27" s="190"/>
      <c r="AY27" s="571"/>
      <c r="AZ27" s="585"/>
      <c r="BA27" s="574"/>
      <c r="BB27" s="577"/>
      <c r="BC27" s="573"/>
      <c r="BD27" s="161"/>
      <c r="BE27" s="161"/>
      <c r="BG27" s="506" t="str">
        <f ca="1">Horarios!Q26</f>
        <v>Haití</v>
      </c>
      <c r="BH27" s="507">
        <f t="shared" ca="1" si="0"/>
        <v>1</v>
      </c>
      <c r="BI27" s="507">
        <f ca="1">COUNTIF(Pool!$C$130:$C$161,Fixture!BG27)-BJ27-BK27-BL27-BM27-BN27-BO27</f>
        <v>0</v>
      </c>
      <c r="BJ27" s="508">
        <f ca="1">COUNTIF(Pool!$C$182:$C$197,Fixture!BG27)-BK27-BL27-BM27-BN27-BO27</f>
        <v>0</v>
      </c>
      <c r="BK27" s="509">
        <f ca="1">COUNTIF(Pool!$C$210:$C$217,Fixture!BG27)-BL27-BM27-BN27-BO27</f>
        <v>0</v>
      </c>
      <c r="BL27" s="509">
        <f ca="1">COUNTIF(Pool!$C$226:$C$229,Fixture!BG27)-BM27-BN27-BO27</f>
        <v>0</v>
      </c>
      <c r="BM27" s="507">
        <f ca="1">COUNTIF(Pool!$C$252,Fixture!BG27)</f>
        <v>0</v>
      </c>
      <c r="BN27" s="507">
        <f ca="1">COUNTIF(Pool!$C$251,Fixture!BG27)</f>
        <v>0</v>
      </c>
      <c r="BO27" s="510">
        <f ca="1">COUNTIF(Pool!$C$250,Fixture!BG27)</f>
        <v>0</v>
      </c>
    </row>
    <row r="28" spans="1:67" ht="15" thickBot="1">
      <c r="A28" s="190">
        <v>6</v>
      </c>
      <c r="B28" s="588"/>
      <c r="C28" s="488" t="str">
        <f ca="1">+MID(INDEX(WORLDCUP!$AA$4:$AA$147,MATCH(A28,WORLDCUP!$AH$4:$AH$147,0)),1,3)</f>
        <v>Aus</v>
      </c>
      <c r="D28" s="489">
        <f>IF(ISBLANK(INDEX(WORLDCUP!$AC$4:$AC$147,MATCH(A28,WORLDCUP!$AH$4:$AH$147,0))),"",INDEX(WORLDCUP!$AC$4:$AC$147,MATCH(A28,WORLDCUP!$AH$4:$AH$147,0)))</f>
        <v>0</v>
      </c>
      <c r="E28" s="489">
        <f>IF(ISBLANK(INDEX(WORLDCUP!$AD$4:$AD$147,MATCH(A28,WORLDCUP!$AH$4:$AH$147,0))),"",INDEX(WORLDCUP!$AD$4:$AD$147,MATCH(A28,WORLDCUP!$AH$4:$AH$147,0)))</f>
        <v>0</v>
      </c>
      <c r="F28" s="490" t="str">
        <f ca="1">+MID(INDEX(WORLDCUP!$AF$4:$AF$147,MATCH(A28,WORLDCUP!$AH$4:$AH$147,0)),1,3)</f>
        <v xml:space="preserve">PO </v>
      </c>
      <c r="G28" s="491">
        <v>1</v>
      </c>
      <c r="H28" s="492" t="str">
        <f ca="1">+MID(INDEX(WORLDCUP!$AL$6:$AL$97,MATCH(L28,WORLDCUP!$AI$6:$AI$97,0)),1,3)</f>
        <v>Est</v>
      </c>
      <c r="I28" s="493">
        <f ca="1">+INDEX(WORLDCUP!$AM$6:$AM$97,MATCH(L28,WORLDCUP!$AI$6:$AI$97,0))</f>
        <v>9</v>
      </c>
      <c r="J28" s="494">
        <f ca="1">+INDEX(WORLDCUP!$AT$6:$AT$97,MATCH(L28,WORLDCUP!$AI$6:$AI$97,0))</f>
        <v>4</v>
      </c>
      <c r="K28" s="495" t="str">
        <f ca="1">+INDEX(WORLDCUP!$AR$6:$AR$97,MATCH(L28,WORLDCUP!$AI$6:$AI$97,0))&amp;"-"&amp;INDEX(WORLDCUP!$AS$6:$AS$97,MATCH(L28,WORLDCUP!$AI$6:$AI$97,0))</f>
        <v>4-0</v>
      </c>
      <c r="L28" s="190" t="s">
        <v>677</v>
      </c>
      <c r="M28" s="190">
        <v>20</v>
      </c>
      <c r="N28" s="589"/>
      <c r="O28" s="488" t="str">
        <f ca="1">+MID(INDEX(WORLDCUP!$AA$4:$AA$147,MATCH(M28,WORLDCUP!$AH$4:$AH$147,0)),1,3)</f>
        <v>Arg</v>
      </c>
      <c r="P28" s="489">
        <f>IF(ISBLANK(INDEX(WORLDCUP!$AC$4:$AC$147,MATCH(M28,WORLDCUP!$AH$4:$AH$147,0))),"",INDEX(WORLDCUP!$AC$4:$AC$147,MATCH(M28,WORLDCUP!$AH$4:$AH$147,0)))</f>
        <v>2</v>
      </c>
      <c r="Q28" s="489">
        <f>IF(ISBLANK(INDEX(WORLDCUP!$AD$4:$AD$147,MATCH(M28,WORLDCUP!$AH$4:$AH$147,0))),"",INDEX(WORLDCUP!$AD$4:$AD$147,MATCH(M28,WORLDCUP!$AH$4:$AH$147,0)))</f>
        <v>1</v>
      </c>
      <c r="R28" s="490" t="str">
        <f ca="1">+MID(INDEX(WORLDCUP!$AF$4:$AF$147,MATCH(M28,WORLDCUP!$AH$4:$AH$147,0)),1,3)</f>
        <v>Arg</v>
      </c>
      <c r="S28" s="491">
        <v>1</v>
      </c>
      <c r="T28" s="492" t="str">
        <f ca="1">+MID(INDEX(WORLDCUP!$AL$6:$AL$97,MATCH(X28,WORLDCUP!$AI$6:$AI$97,0)),1,3)</f>
        <v>Arg</v>
      </c>
      <c r="U28" s="493">
        <f ca="1">+INDEX(WORLDCUP!$AM$6:$AM$97,MATCH(X28,WORLDCUP!$AI$6:$AI$97,0))</f>
        <v>9</v>
      </c>
      <c r="V28" s="494">
        <f ca="1">+INDEX(WORLDCUP!$AT$6:$AT$97,MATCH(X28,WORLDCUP!$AI$6:$AI$97,0))</f>
        <v>4</v>
      </c>
      <c r="W28" s="495" t="str">
        <f ca="1">+INDEX(WORLDCUP!$AR$6:$AR$97,MATCH(X28,WORLDCUP!$AI$6:$AI$97,0))&amp;"-"&amp;INDEX(WORLDCUP!$AS$6:$AS$97,MATCH(X28,WORLDCUP!$AI$6:$AI$97,0))</f>
        <v>5-1</v>
      </c>
      <c r="X28" s="190" t="s">
        <v>695</v>
      </c>
      <c r="Y28" s="190">
        <v>76</v>
      </c>
      <c r="Z28" s="469" t="s">
        <v>684</v>
      </c>
      <c r="AA28" s="470" t="str">
        <f ca="1">+MID(INDEX(WORLDCUP!$AF$101:$AF$147,MATCH(Y28,WORLDCUP!$Z$101:$Z$147,0)),1,3)</f>
        <v>Paí</v>
      </c>
      <c r="AB28" s="497">
        <f>+IF(ISBLANK(INDEX(WORLDCUP!$AD$101:$AD$147,MATCH(Y28,WORLDCUP!$Z$101:$Z$147))),"",INDEX(WORLDCUP!$AD$101:$AD$147,MATCH(Y28,WORLDCUP!$Z$101:$Z$147)))</f>
        <v>1</v>
      </c>
      <c r="AC28" s="498" t="str">
        <f>+IF(ISBLANK(INDEX(WORLDCUP!$AE$101:$AE$147,MATCH(Y28,WORLDCUP!$Z$101:$Z$147))),"","( "&amp;INDEX(WORLDCUP!$AE$101:$AE$147,MATCH(Y28,WORLDCUP!$Z$101:$Z$147))&amp;" )")</f>
        <v/>
      </c>
      <c r="AD28" s="499">
        <v>91</v>
      </c>
      <c r="AE28" s="500" t="str">
        <f ca="1">+MID(INDEX(WORLDCUP!$AA$101:$AA$147,MATCH(AD28,WORLDCUP!$Z$101:$Z$147,0)),1,3)</f>
        <v>Bra</v>
      </c>
      <c r="AF28" s="501">
        <f>+IF(ISBLANK(INDEX(WORLDCUP!$AC$101:$AC$147,MATCH(AD28,WORLDCUP!$Z$101:$Z$147))),"",INDEX(WORLDCUP!$AC$101:$AC$147,MATCH(AD28,WORLDCUP!$Z$101:$Z$147)))</f>
        <v>1</v>
      </c>
      <c r="AG28" s="502" t="str">
        <f>+IF(ISBLANK(INDEX(WORLDCUP!$AB$101:$AB$147,MATCH(AD28,WORLDCUP!$Z$101:$Z$147))),"","( "&amp;INDEX(WORLDCUP!$AB$101:$AB$147,MATCH(AD28,WORLDCUP!$Z$101:$Z$147))&amp;" )")</f>
        <v>( 1 )</v>
      </c>
      <c r="AH28" s="190"/>
      <c r="AI28" s="503"/>
      <c r="AJ28" s="503"/>
      <c r="AK28" s="503"/>
      <c r="AL28" s="190"/>
      <c r="AM28" s="475"/>
      <c r="AN28" s="475"/>
      <c r="AO28" s="556"/>
      <c r="AP28" s="459"/>
      <c r="AQ28" s="504"/>
      <c r="AR28" s="504"/>
      <c r="AS28" s="504"/>
      <c r="AT28" s="190"/>
      <c r="AU28" s="477"/>
      <c r="AV28" s="477"/>
      <c r="AW28" s="477"/>
      <c r="AX28" s="190"/>
      <c r="AY28" s="571"/>
      <c r="AZ28" s="585"/>
      <c r="BA28" s="574"/>
      <c r="BB28" s="577"/>
      <c r="BC28" s="573"/>
      <c r="BD28" s="161"/>
      <c r="BE28" s="161"/>
      <c r="BG28" s="506" t="str">
        <f ca="1">Horarios!Q27</f>
        <v>Inglaterra</v>
      </c>
      <c r="BH28" s="507">
        <f t="shared" ca="1" si="0"/>
        <v>0</v>
      </c>
      <c r="BI28" s="507">
        <f ca="1">COUNTIF(Pool!$C$130:$C$161,Fixture!BG28)-BJ28-BK28-BL28-BM28-BN28-BO28</f>
        <v>1</v>
      </c>
      <c r="BJ28" s="508">
        <f ca="1">COUNTIF(Pool!$C$182:$C$197,Fixture!BG28)-BK28-BL28-BM28-BN28-BO28</f>
        <v>0</v>
      </c>
      <c r="BK28" s="509">
        <f ca="1">COUNTIF(Pool!$C$210:$C$217,Fixture!BG28)-BL28-BM28-BN28-BO28</f>
        <v>0</v>
      </c>
      <c r="BL28" s="509">
        <f ca="1">COUNTIF(Pool!$C$226:$C$229,Fixture!BG28)-BM28-BN28-BO28</f>
        <v>0</v>
      </c>
      <c r="BM28" s="507">
        <f ca="1">COUNTIF(Pool!$C$252,Fixture!BG28)</f>
        <v>0</v>
      </c>
      <c r="BN28" s="507">
        <f ca="1">COUNTIF(Pool!$C$251,Fixture!BG28)</f>
        <v>0</v>
      </c>
      <c r="BO28" s="510">
        <f ca="1">COUNTIF(Pool!$C$250,Fixture!BG28)</f>
        <v>0</v>
      </c>
    </row>
    <row r="29" spans="1:67">
      <c r="A29" s="190">
        <v>31</v>
      </c>
      <c r="B29" s="588"/>
      <c r="C29" s="488" t="str">
        <f ca="1">+MID(INDEX(WORLDCUP!$AA$4:$AA$147,MATCH(A29,WORLDCUP!$AH$4:$AH$147,0)),1,3)</f>
        <v xml:space="preserve">PO </v>
      </c>
      <c r="D29" s="489">
        <f>IF(ISBLANK(INDEX(WORLDCUP!$AC$4:$AC$147,MATCH(A29,WORLDCUP!$AH$4:$AH$147,0))),"",INDEX(WORLDCUP!$AC$4:$AC$147,MATCH(A29,WORLDCUP!$AH$4:$AH$147,0)))</f>
        <v>0</v>
      </c>
      <c r="E29" s="489">
        <f>IF(ISBLANK(INDEX(WORLDCUP!$AD$4:$AD$147,MATCH(A29,WORLDCUP!$AH$4:$AH$147,0))),"",INDEX(WORLDCUP!$AD$4:$AD$147,MATCH(A29,WORLDCUP!$AH$4:$AH$147,0)))</f>
        <v>1</v>
      </c>
      <c r="F29" s="490" t="str">
        <f ca="1">+MID(INDEX(WORLDCUP!$AF$4:$AF$147,MATCH(A29,WORLDCUP!$AH$4:$AH$147,0)),1,3)</f>
        <v>Par</v>
      </c>
      <c r="G29" s="511">
        <v>2</v>
      </c>
      <c r="H29" s="512" t="str">
        <f ca="1">+MID(INDEX(WORLDCUP!$AL$6:$AL$97,MATCH(L29,WORLDCUP!$AI$6:$AI$97,0)),1,3)</f>
        <v>Par</v>
      </c>
      <c r="I29" s="41">
        <f ca="1">+INDEX(WORLDCUP!$AM$6:$AM$97,MATCH(L29,WORLDCUP!$AI$6:$AI$97,0))</f>
        <v>4</v>
      </c>
      <c r="J29" s="42">
        <f ca="1">+INDEX(WORLDCUP!$AT$6:$AT$97,MATCH(L29,WORLDCUP!$AI$6:$AI$97,0))</f>
        <v>0</v>
      </c>
      <c r="K29" s="48" t="str">
        <f ca="1">+INDEX(WORLDCUP!$AR$6:$AR$97,MATCH(L29,WORLDCUP!$AI$6:$AI$97,0))&amp;"-"&amp;INDEX(WORLDCUP!$AS$6:$AS$97,MATCH(L29,WORLDCUP!$AI$6:$AI$97,0))</f>
        <v>2-2</v>
      </c>
      <c r="L29" s="190" t="s">
        <v>678</v>
      </c>
      <c r="M29" s="190">
        <v>43</v>
      </c>
      <c r="N29" s="589"/>
      <c r="O29" s="488" t="str">
        <f ca="1">+MID(INDEX(WORLDCUP!$AA$4:$AA$147,MATCH(M29,WORLDCUP!$AH$4:$AH$147,0)),1,3)</f>
        <v>Arg</v>
      </c>
      <c r="P29" s="489">
        <f>IF(ISBLANK(INDEX(WORLDCUP!$AC$4:$AC$147,MATCH(M29,WORLDCUP!$AH$4:$AH$147,0))),"",INDEX(WORLDCUP!$AC$4:$AC$147,MATCH(M29,WORLDCUP!$AH$4:$AH$147,0)))</f>
        <v>1</v>
      </c>
      <c r="Q29" s="489">
        <f>IF(ISBLANK(INDEX(WORLDCUP!$AD$4:$AD$147,MATCH(M29,WORLDCUP!$AH$4:$AH$147,0))),"",INDEX(WORLDCUP!$AD$4:$AD$147,MATCH(M29,WORLDCUP!$AH$4:$AH$147,0)))</f>
        <v>0</v>
      </c>
      <c r="R29" s="490" t="str">
        <f ca="1">+MID(INDEX(WORLDCUP!$AF$4:$AF$147,MATCH(M29,WORLDCUP!$AH$4:$AH$147,0)),1,3)</f>
        <v>Aus</v>
      </c>
      <c r="S29" s="511">
        <v>2</v>
      </c>
      <c r="T29" s="512" t="str">
        <f ca="1">+MID(INDEX(WORLDCUP!$AL$6:$AL$97,MATCH(X29,WORLDCUP!$AI$6:$AI$97,0)),1,3)</f>
        <v>Aus</v>
      </c>
      <c r="U29" s="41">
        <f ca="1">+INDEX(WORLDCUP!$AM$6:$AM$97,MATCH(X29,WORLDCUP!$AI$6:$AI$97,0))</f>
        <v>6</v>
      </c>
      <c r="V29" s="42">
        <f ca="1">+INDEX(WORLDCUP!$AT$6:$AT$97,MATCH(X29,WORLDCUP!$AI$6:$AI$97,0))</f>
        <v>1</v>
      </c>
      <c r="W29" s="48" t="str">
        <f ca="1">+INDEX(WORLDCUP!$AR$6:$AR$97,MATCH(X29,WORLDCUP!$AI$6:$AI$97,0))&amp;"-"&amp;INDEX(WORLDCUP!$AS$6:$AS$97,MATCH(X29,WORLDCUP!$AI$6:$AI$97,0))</f>
        <v>2-1</v>
      </c>
      <c r="X29" s="190" t="s">
        <v>696</v>
      </c>
      <c r="Y29" s="190"/>
      <c r="Z29" s="469"/>
      <c r="AA29" s="513"/>
      <c r="AB29" s="513"/>
      <c r="AC29" s="514"/>
      <c r="AD29" s="190">
        <v>91</v>
      </c>
      <c r="AE29" s="500" t="str">
        <f ca="1">+MID(INDEX(WORLDCUP!$AF$101:$AF$147,MATCH(AD29,WORLDCUP!$Z$101:$Z$147,0)),1,3)</f>
        <v>Sen</v>
      </c>
      <c r="AF29" s="501">
        <f>+IF(ISBLANK(INDEX(WORLDCUP!$AD$101:$AD$147,MATCH(AD29,WORLDCUP!$Z$101:$Z$147))),"",INDEX(WORLDCUP!$AD$101:$AD$147,MATCH(AD29,WORLDCUP!$Z$101:$Z$147)))</f>
        <v>1</v>
      </c>
      <c r="AG29" s="559" t="str">
        <f>+IF(ISBLANK(INDEX(WORLDCUP!$AE$101:$AE$147,MATCH(AD29,WORLDCUP!$Z$101:$Z$147))),"","( "&amp;INDEX(WORLDCUP!$AE$101:$AE$147,MATCH(AD29,WORLDCUP!$Z$101:$Z$147))&amp;" )")</f>
        <v>( 3 )</v>
      </c>
      <c r="AH29" s="190"/>
      <c r="AI29" s="503"/>
      <c r="AJ29" s="503"/>
      <c r="AK29" s="503"/>
      <c r="AL29" s="190"/>
      <c r="AM29" s="475"/>
      <c r="AN29" s="475"/>
      <c r="AO29" s="556"/>
      <c r="AP29" s="459"/>
      <c r="AQ29" s="504"/>
      <c r="AR29" s="504"/>
      <c r="AS29" s="504"/>
      <c r="AT29" s="190"/>
      <c r="AU29" s="477"/>
      <c r="AV29" s="477"/>
      <c r="AW29" s="477"/>
      <c r="AX29" s="190"/>
      <c r="AY29" s="571"/>
      <c r="AZ29" s="585"/>
      <c r="BA29" s="574"/>
      <c r="BB29" s="577"/>
      <c r="BC29" s="573"/>
      <c r="BD29" s="161"/>
      <c r="BE29" s="161"/>
      <c r="BG29" s="506" t="str">
        <f ca="1">Horarios!Q28</f>
        <v>Irán</v>
      </c>
      <c r="BH29" s="507">
        <f t="shared" ca="1" si="0"/>
        <v>1</v>
      </c>
      <c r="BI29" s="507">
        <f ca="1">COUNTIF(Pool!$C$130:$C$161,Fixture!BG29)-BJ29-BK29-BL29-BM29-BN29-BO29</f>
        <v>0</v>
      </c>
      <c r="BJ29" s="508">
        <f ca="1">COUNTIF(Pool!$C$182:$C$197,Fixture!BG29)-BK29-BL29-BM29-BN29-BO29</f>
        <v>0</v>
      </c>
      <c r="BK29" s="509">
        <f ca="1">COUNTIF(Pool!$C$210:$C$217,Fixture!BG29)-BL29-BM29-BN29-BO29</f>
        <v>0</v>
      </c>
      <c r="BL29" s="509">
        <f ca="1">COUNTIF(Pool!$C$226:$C$229,Fixture!BG29)-BM29-BN29-BO29</f>
        <v>0</v>
      </c>
      <c r="BM29" s="507">
        <f ca="1">COUNTIF(Pool!$C$252,Fixture!BG29)</f>
        <v>0</v>
      </c>
      <c r="BN29" s="507">
        <f ca="1">COUNTIF(Pool!$C$251,Fixture!BG29)</f>
        <v>0</v>
      </c>
      <c r="BO29" s="510">
        <f ca="1">COUNTIF(Pool!$C$250,Fixture!BG29)</f>
        <v>0</v>
      </c>
    </row>
    <row r="30" spans="1:67" ht="15" thickBot="1">
      <c r="A30" s="190">
        <v>32</v>
      </c>
      <c r="B30" s="588"/>
      <c r="C30" s="488" t="str">
        <f ca="1">+MID(INDEX(WORLDCUP!$AA$4:$AA$147,MATCH(A30,WORLDCUP!$AH$4:$AH$147,0)),1,3)</f>
        <v>Est</v>
      </c>
      <c r="D30" s="489">
        <f>IF(ISBLANK(INDEX(WORLDCUP!$AC$4:$AC$147,MATCH(A30,WORLDCUP!$AH$4:$AH$147,0))),"",INDEX(WORLDCUP!$AC$4:$AC$147,MATCH(A30,WORLDCUP!$AH$4:$AH$147,0)))</f>
        <v>2</v>
      </c>
      <c r="E30" s="489">
        <f>IF(ISBLANK(INDEX(WORLDCUP!$AD$4:$AD$147,MATCH(A30,WORLDCUP!$AH$4:$AH$147,0))),"",INDEX(WORLDCUP!$AD$4:$AD$147,MATCH(A30,WORLDCUP!$AH$4:$AH$147,0)))</f>
        <v>0</v>
      </c>
      <c r="F30" s="490" t="str">
        <f ca="1">+MID(INDEX(WORLDCUP!$AF$4:$AF$147,MATCH(A30,WORLDCUP!$AH$4:$AH$147,0)),1,3)</f>
        <v>Aus</v>
      </c>
      <c r="G30" s="511">
        <v>3</v>
      </c>
      <c r="H30" s="512" t="str">
        <f ca="1">+MID(INDEX(WORLDCUP!$AL$6:$AL$97,MATCH(L30,WORLDCUP!$AI$6:$AI$97,0)),1,3)</f>
        <v>Aus</v>
      </c>
      <c r="I30" s="41">
        <f ca="1">+INDEX(WORLDCUP!$AM$6:$AM$97,MATCH(L30,WORLDCUP!$AI$6:$AI$97,0))</f>
        <v>2</v>
      </c>
      <c r="J30" s="42">
        <f ca="1">+INDEX(WORLDCUP!$AT$6:$AT$97,MATCH(L30,WORLDCUP!$AI$6:$AI$97,0))</f>
        <v>-2</v>
      </c>
      <c r="K30" s="48" t="str">
        <f ca="1">+INDEX(WORLDCUP!$AR$6:$AR$97,MATCH(L30,WORLDCUP!$AI$6:$AI$97,0))&amp;"-"&amp;INDEX(WORLDCUP!$AS$6:$AS$97,MATCH(L30,WORLDCUP!$AI$6:$AI$97,0))</f>
        <v>1-3</v>
      </c>
      <c r="L30" s="190" t="s">
        <v>94</v>
      </c>
      <c r="M30" s="190">
        <v>44</v>
      </c>
      <c r="N30" s="589"/>
      <c r="O30" s="488" t="str">
        <f ca="1">+MID(INDEX(WORLDCUP!$AA$4:$AA$147,MATCH(M30,WORLDCUP!$AH$4:$AH$147,0)),1,3)</f>
        <v>Jor</v>
      </c>
      <c r="P30" s="489">
        <f>IF(ISBLANK(INDEX(WORLDCUP!$AC$4:$AC$147,MATCH(M30,WORLDCUP!$AH$4:$AH$147,0))),"",INDEX(WORLDCUP!$AC$4:$AC$147,MATCH(M30,WORLDCUP!$AH$4:$AH$147,0)))</f>
        <v>0</v>
      </c>
      <c r="Q30" s="489">
        <f>IF(ISBLANK(INDEX(WORLDCUP!$AD$4:$AD$147,MATCH(M30,WORLDCUP!$AH$4:$AH$147,0))),"",INDEX(WORLDCUP!$AD$4:$AD$147,MATCH(M30,WORLDCUP!$AH$4:$AH$147,0)))</f>
        <v>0</v>
      </c>
      <c r="R30" s="490" t="str">
        <f ca="1">+MID(INDEX(WORLDCUP!$AF$4:$AF$147,MATCH(M30,WORLDCUP!$AH$4:$AH$147,0)),1,3)</f>
        <v>Arg</v>
      </c>
      <c r="S30" s="511">
        <v>3</v>
      </c>
      <c r="T30" s="512" t="str">
        <f ca="1">+MID(INDEX(WORLDCUP!$AL$6:$AL$97,MATCH(X30,WORLDCUP!$AI$6:$AI$97,0)),1,3)</f>
        <v>Arg</v>
      </c>
      <c r="U30" s="41">
        <f ca="1">+INDEX(WORLDCUP!$AM$6:$AM$97,MATCH(X30,WORLDCUP!$AI$6:$AI$97,0))</f>
        <v>1</v>
      </c>
      <c r="V30" s="42">
        <f ca="1">+INDEX(WORLDCUP!$AT$6:$AT$97,MATCH(X30,WORLDCUP!$AI$6:$AI$97,0))</f>
        <v>-2</v>
      </c>
      <c r="W30" s="48" t="str">
        <f ca="1">+INDEX(WORLDCUP!$AR$6:$AR$97,MATCH(X30,WORLDCUP!$AI$6:$AI$97,0))&amp;"-"&amp;INDEX(WORLDCUP!$AS$6:$AS$97,MATCH(X30,WORLDCUP!$AI$6:$AI$97,0))</f>
        <v>1-3</v>
      </c>
      <c r="X30" s="190" t="s">
        <v>458</v>
      </c>
      <c r="Y30" s="190">
        <v>78</v>
      </c>
      <c r="Z30" s="469" t="s">
        <v>681</v>
      </c>
      <c r="AA30" s="470" t="str">
        <f ca="1">+MID(INDEX(WORLDCUP!$AA$101:$AA$147,MATCH(Y30,WORLDCUP!$Z$101:$Z$147,0)),1,3)</f>
        <v>Ecu</v>
      </c>
      <c r="AB30" s="516">
        <f>+IF(ISBLANK(INDEX(WORLDCUP!$AC$101:$AC$147,MATCH(Y30,WORLDCUP!$Z$101:$Z$147))),"",INDEX(WORLDCUP!$AC$101:$AC$147,MATCH(Y30,WORLDCUP!$Z$101:$Z$147)))</f>
        <v>0</v>
      </c>
      <c r="AC30" s="550" t="str">
        <f>+IF(ISBLANK(INDEX(WORLDCUP!$AB$101:$AB$147,MATCH(Y30,WORLDCUP!$Z$101:$Z$147))),"","( "&amp;INDEX(WORLDCUP!$AB$101:$AB$147,MATCH(Y30,WORLDCUP!$Z$101:$Z$147))&amp;" )")</f>
        <v/>
      </c>
      <c r="AD30" s="190"/>
      <c r="AE30" s="518"/>
      <c r="AF30" s="518"/>
      <c r="AG30" s="519"/>
      <c r="AH30" s="190"/>
      <c r="AI30" s="503"/>
      <c r="AJ30" s="503"/>
      <c r="AK30" s="503"/>
      <c r="AL30" s="190"/>
      <c r="AM30" s="475"/>
      <c r="AN30" s="475"/>
      <c r="AO30" s="556"/>
      <c r="AP30" s="190"/>
      <c r="AQ30" s="504"/>
      <c r="AR30" s="504"/>
      <c r="AS30" s="504"/>
      <c r="AT30" s="190"/>
      <c r="AU30" s="477"/>
      <c r="AV30" s="477"/>
      <c r="AW30" s="477"/>
      <c r="AX30" s="190"/>
      <c r="AY30" s="571"/>
      <c r="AZ30" s="585"/>
      <c r="BA30" s="574"/>
      <c r="BB30" s="577"/>
      <c r="BC30" s="573"/>
      <c r="BD30" s="161"/>
      <c r="BE30" s="161"/>
      <c r="BG30" s="506" t="str">
        <f ca="1">Horarios!Q29</f>
        <v>Japón</v>
      </c>
      <c r="BH30" s="507">
        <f t="shared" ca="1" si="0"/>
        <v>0</v>
      </c>
      <c r="BI30" s="507">
        <f ca="1">COUNTIF(Pool!$C$130:$C$161,Fixture!BG30)-BJ30-BK30-BL30-BM30-BN30-BO30</f>
        <v>0</v>
      </c>
      <c r="BJ30" s="508">
        <f ca="1">COUNTIF(Pool!$C$182:$C$197,Fixture!BG30)-BK30-BL30-BM30-BN30-BO30</f>
        <v>1</v>
      </c>
      <c r="BK30" s="509">
        <f ca="1">COUNTIF(Pool!$C$210:$C$217,Fixture!BG30)-BL30-BM30-BN30-BO30</f>
        <v>0</v>
      </c>
      <c r="BL30" s="509">
        <f ca="1">COUNTIF(Pool!$C$226:$C$229,Fixture!BG30)-BM30-BN30-BO30</f>
        <v>0</v>
      </c>
      <c r="BM30" s="507">
        <f ca="1">COUNTIF(Pool!$C$252,Fixture!BG30)</f>
        <v>0</v>
      </c>
      <c r="BN30" s="507">
        <f ca="1">COUNTIF(Pool!$C$251,Fixture!BG30)</f>
        <v>0</v>
      </c>
      <c r="BO30" s="510">
        <f ca="1">COUNTIF(Pool!$C$250,Fixture!BG30)</f>
        <v>0</v>
      </c>
    </row>
    <row r="31" spans="1:67" ht="15" thickBot="1">
      <c r="A31" s="190">
        <v>59</v>
      </c>
      <c r="B31" s="588"/>
      <c r="C31" s="488" t="str">
        <f ca="1">+MID(INDEX(WORLDCUP!$AA$4:$AA$147,MATCH(A31,WORLDCUP!$AH$4:$AH$147,0)),1,3)</f>
        <v xml:space="preserve">PO </v>
      </c>
      <c r="D31" s="489">
        <f>IF(ISBLANK(INDEX(WORLDCUP!$AC$4:$AC$147,MATCH(A31,WORLDCUP!$AH$4:$AH$147,0))),"",INDEX(WORLDCUP!$AC$4:$AC$147,MATCH(A31,WORLDCUP!$AH$4:$AH$147,0)))</f>
        <v>0</v>
      </c>
      <c r="E31" s="489">
        <f>IF(ISBLANK(INDEX(WORLDCUP!$AD$4:$AD$147,MATCH(A31,WORLDCUP!$AH$4:$AH$147,0))),"",INDEX(WORLDCUP!$AD$4:$AD$147,MATCH(A31,WORLDCUP!$AH$4:$AH$147,0)))</f>
        <v>1</v>
      </c>
      <c r="F31" s="490" t="str">
        <f ca="1">+MID(INDEX(WORLDCUP!$AF$4:$AF$147,MATCH(A31,WORLDCUP!$AH$4:$AH$147,0)),1,3)</f>
        <v>Est</v>
      </c>
      <c r="G31" s="511">
        <v>4</v>
      </c>
      <c r="H31" s="520" t="str">
        <f ca="1">+MID(INDEX(WORLDCUP!$AL$6:$AL$97,MATCH(L31,WORLDCUP!$AI$6:$AI$97,0)),1,3)</f>
        <v xml:space="preserve">PO </v>
      </c>
      <c r="I31" s="521">
        <f ca="1">+INDEX(WORLDCUP!$AM$6:$AM$97,MATCH(L31,WORLDCUP!$AI$6:$AI$97,0))</f>
        <v>1</v>
      </c>
      <c r="J31" s="522">
        <f ca="1">+INDEX(WORLDCUP!$AT$6:$AT$97,MATCH(L31,WORLDCUP!$AI$6:$AI$97,0))</f>
        <v>-2</v>
      </c>
      <c r="K31" s="523" t="str">
        <f ca="1">+INDEX(WORLDCUP!$AR$6:$AR$97,MATCH(L31,WORLDCUP!$AI$6:$AI$97,0))&amp;"-"&amp;INDEX(WORLDCUP!$AS$6:$AS$97,MATCH(L31,WORLDCUP!$AI$6:$AI$97,0))</f>
        <v>0-2</v>
      </c>
      <c r="L31" s="190" t="s">
        <v>679</v>
      </c>
      <c r="M31" s="190">
        <v>69</v>
      </c>
      <c r="N31" s="589"/>
      <c r="O31" s="488" t="str">
        <f ca="1">+MID(INDEX(WORLDCUP!$AA$4:$AA$147,MATCH(M31,WORLDCUP!$AH$4:$AH$147,0)),1,3)</f>
        <v>Arg</v>
      </c>
      <c r="P31" s="489">
        <f>IF(ISBLANK(INDEX(WORLDCUP!$AC$4:$AC$147,MATCH(M31,WORLDCUP!$AH$4:$AH$147,0))),"",INDEX(WORLDCUP!$AC$4:$AC$147,MATCH(M31,WORLDCUP!$AH$4:$AH$147,0)))</f>
        <v>0</v>
      </c>
      <c r="Q31" s="489">
        <f>IF(ISBLANK(INDEX(WORLDCUP!$AD$4:$AD$147,MATCH(M31,WORLDCUP!$AH$4:$AH$147,0))),"",INDEX(WORLDCUP!$AD$4:$AD$147,MATCH(M31,WORLDCUP!$AH$4:$AH$147,0)))</f>
        <v>1</v>
      </c>
      <c r="R31" s="490" t="str">
        <f ca="1">+MID(INDEX(WORLDCUP!$AF$4:$AF$147,MATCH(M31,WORLDCUP!$AH$4:$AH$147,0)),1,3)</f>
        <v>Aus</v>
      </c>
      <c r="S31" s="511">
        <v>4</v>
      </c>
      <c r="T31" s="520" t="str">
        <f ca="1">+MID(INDEX(WORLDCUP!$AL$6:$AL$97,MATCH(X31,WORLDCUP!$AI$6:$AI$97,0)),1,3)</f>
        <v>Jor</v>
      </c>
      <c r="U31" s="521">
        <f ca="1">+INDEX(WORLDCUP!$AM$6:$AM$97,MATCH(X31,WORLDCUP!$AI$6:$AI$97,0))</f>
        <v>1</v>
      </c>
      <c r="V31" s="522">
        <f ca="1">+INDEX(WORLDCUP!$AT$6:$AT$97,MATCH(X31,WORLDCUP!$AI$6:$AI$97,0))</f>
        <v>-3</v>
      </c>
      <c r="W31" s="523" t="str">
        <f ca="1">+INDEX(WORLDCUP!$AR$6:$AR$97,MATCH(X31,WORLDCUP!$AI$6:$AI$97,0))&amp;"-"&amp;INDEX(WORLDCUP!$AS$6:$AS$97,MATCH(X31,WORLDCUP!$AI$6:$AI$97,0))</f>
        <v>0-3</v>
      </c>
      <c r="X31" s="190" t="s">
        <v>697</v>
      </c>
      <c r="Y31" s="190">
        <v>78</v>
      </c>
      <c r="Z31" s="469" t="s">
        <v>693</v>
      </c>
      <c r="AA31" s="524" t="str">
        <f ca="1">+MID(INDEX(WORLDCUP!$AF$101:$AF$147,MATCH(Y31,WORLDCUP!$Z$101:$Z$147,0)),1,3)</f>
        <v>Sen</v>
      </c>
      <c r="AB31" s="525">
        <f>+IF(ISBLANK(INDEX(WORLDCUP!$AD$101:$AD$147,MATCH(Y31,WORLDCUP!$Z$101:$Z$147))),"",INDEX(WORLDCUP!$AD$101:$AD$147,MATCH(Y31,WORLDCUP!$Z$101:$Z$147)))</f>
        <v>1</v>
      </c>
      <c r="AC31" s="551" t="str">
        <f>+IF(ISBLANK(INDEX(WORLDCUP!$AE$101:$AE$147,MATCH(Y31,WORLDCUP!$Z$101:$Z$147))),"","( "&amp;INDEX(WORLDCUP!$AE$101:$AE$147,MATCH(Y31,WORLDCUP!$Z$101:$Z$147))&amp;" )")</f>
        <v/>
      </c>
      <c r="AD31" s="190"/>
      <c r="AE31" s="518"/>
      <c r="AF31" s="518"/>
      <c r="AG31" s="519"/>
      <c r="AH31" s="544">
        <v>99</v>
      </c>
      <c r="AI31" s="527" t="str">
        <f ca="1">+MID(INDEX(WORLDCUP!$AA$101:$AA$147,MATCH(AH31,WORLDCUP!$Z$101:$Z$147,0)),1,3)</f>
        <v>Sen</v>
      </c>
      <c r="AJ31" s="528">
        <f>+IF(ISBLANK(INDEX(WORLDCUP!$AC$101:$AC$147,MATCH(AH31,WORLDCUP!$Z$101:$Z$147))),"",INDEX(WORLDCUP!$AC$101:$AC$147,MATCH(AH31,WORLDCUP!$Z$101:$Z$147)))</f>
        <v>2</v>
      </c>
      <c r="AK31" s="529" t="str">
        <f>+IF(ISBLANK(INDEX(WORLDCUP!$AB$101:$AB$147,MATCH(AH31,WORLDCUP!$Z$101:$Z$147))),"","( "&amp;INDEX(WORLDCUP!$AB$101:$AB$147,MATCH(AH31,WORLDCUP!$Z$101:$Z$147))&amp;" )")</f>
        <v/>
      </c>
      <c r="AL31" s="190"/>
      <c r="AM31" s="475"/>
      <c r="AN31" s="475"/>
      <c r="AO31" s="556"/>
      <c r="AP31" s="590">
        <v>103</v>
      </c>
      <c r="AQ31" s="591" t="str">
        <f ca="1">+MID(INDEX(WORLDCUP!$AA$101:$AA$147,MATCH(AP31,WORLDCUP!$Z$101:$Z$147,0)),1,4)</f>
        <v>PO D</v>
      </c>
      <c r="AR31" s="592">
        <f>+IF(ISBLANK(INDEX(WORLDCUP!$AC$101:$AC$147,MATCH(AP31,WORLDCUP!$Z$101:$Z$147))),"",INDEX(WORLDCUP!$AC$101:$AC$147,MATCH(AP31,WORLDCUP!$Z$101:$Z$147)))</f>
        <v>2</v>
      </c>
      <c r="AS31" s="593" t="str">
        <f>+IF(ISBLANK(INDEX(WORLDCUP!$AB$101:$AB$147,MATCH(AP31,WORLDCUP!$Z$101:$Z$147))),"","( "&amp;INDEX(WORLDCUP!$AB$101:$AB$147,MATCH(AP31,WORLDCUP!$Z$101:$Z$147))&amp;" )")</f>
        <v/>
      </c>
      <c r="AT31" s="594"/>
      <c r="AU31" s="595"/>
      <c r="AV31" s="595"/>
      <c r="AW31" s="595"/>
      <c r="AX31" s="594"/>
      <c r="AY31" s="596"/>
      <c r="AZ31" s="597"/>
      <c r="BA31" s="597"/>
      <c r="BB31" s="597"/>
      <c r="BC31" s="598"/>
      <c r="BD31" s="161"/>
      <c r="BE31" s="161"/>
      <c r="BG31" s="506" t="str">
        <f ca="1">Horarios!Q30</f>
        <v>Jordania</v>
      </c>
      <c r="BH31" s="507">
        <f t="shared" ca="1" si="0"/>
        <v>1</v>
      </c>
      <c r="BI31" s="507">
        <f ca="1">COUNTIF(Pool!$C$130:$C$161,Fixture!BG31)-BJ31-BK31-BL31-BM31-BN31-BO31</f>
        <v>0</v>
      </c>
      <c r="BJ31" s="508">
        <f ca="1">COUNTIF(Pool!$C$182:$C$197,Fixture!BG31)-BK31-BL31-BM31-BN31-BO31</f>
        <v>0</v>
      </c>
      <c r="BK31" s="509">
        <f ca="1">COUNTIF(Pool!$C$210:$C$217,Fixture!BG31)-BL31-BM31-BN31-BO31</f>
        <v>0</v>
      </c>
      <c r="BL31" s="509">
        <f ca="1">COUNTIF(Pool!$C$226:$C$229,Fixture!BG31)-BM31-BN31-BO31</f>
        <v>0</v>
      </c>
      <c r="BM31" s="507">
        <f ca="1">COUNTIF(Pool!$C$252,Fixture!BG31)</f>
        <v>0</v>
      </c>
      <c r="BN31" s="507">
        <f ca="1">COUNTIF(Pool!$C$251,Fixture!BG31)</f>
        <v>0</v>
      </c>
      <c r="BO31" s="510">
        <f ca="1">COUNTIF(Pool!$C$250,Fixture!BG31)</f>
        <v>0</v>
      </c>
    </row>
    <row r="32" spans="1:67" ht="15" thickBot="1">
      <c r="A32" s="190">
        <v>60</v>
      </c>
      <c r="B32" s="599"/>
      <c r="C32" s="531" t="str">
        <f ca="1">+MID(INDEX(WORLDCUP!$AA$4:$AA$147,MATCH(A32,WORLDCUP!$AH$4:$AH$147,0)),1,3)</f>
        <v>Par</v>
      </c>
      <c r="D32" s="532">
        <f>IF(ISBLANK(INDEX(WORLDCUP!$AC$4:$AC$147,MATCH(A32,WORLDCUP!$AH$4:$AH$147,0))),"",INDEX(WORLDCUP!$AC$4:$AC$147,MATCH(A32,WORLDCUP!$AH$4:$AH$147,0)))</f>
        <v>1</v>
      </c>
      <c r="E32" s="532">
        <f>IF(ISBLANK(INDEX(WORLDCUP!$AD$4:$AD$147,MATCH(A32,WORLDCUP!$AH$4:$AH$147,0))),"",INDEX(WORLDCUP!$AD$4:$AD$147,MATCH(A32,WORLDCUP!$AH$4:$AH$147,0)))</f>
        <v>1</v>
      </c>
      <c r="F32" s="533" t="str">
        <f ca="1">+MID(INDEX(WORLDCUP!$AF$4:$AF$147,MATCH(A32,WORLDCUP!$AH$4:$AH$147,0)),1,3)</f>
        <v>Aus</v>
      </c>
      <c r="G32" s="534"/>
      <c r="H32" s="534"/>
      <c r="I32" s="535"/>
      <c r="J32" s="535"/>
      <c r="K32" s="536"/>
      <c r="L32" s="190"/>
      <c r="M32" s="190">
        <v>70</v>
      </c>
      <c r="N32" s="600"/>
      <c r="O32" s="531" t="str">
        <f ca="1">+MID(INDEX(WORLDCUP!$AA$4:$AA$147,MATCH(M32,WORLDCUP!$AH$4:$AH$147,0)),1,3)</f>
        <v>Jor</v>
      </c>
      <c r="P32" s="532">
        <f>IF(ISBLANK(INDEX(WORLDCUP!$AC$4:$AC$147,MATCH(M32,WORLDCUP!$AH$4:$AH$147,0))),"",INDEX(WORLDCUP!$AC$4:$AC$147,MATCH(M32,WORLDCUP!$AH$4:$AH$147,0)))</f>
        <v>0</v>
      </c>
      <c r="Q32" s="532">
        <f>IF(ISBLANK(INDEX(WORLDCUP!$AD$4:$AD$147,MATCH(M32,WORLDCUP!$AH$4:$AH$147,0))),"",INDEX(WORLDCUP!$AD$4:$AD$147,MATCH(M32,WORLDCUP!$AH$4:$AH$147,0)))</f>
        <v>2</v>
      </c>
      <c r="R32" s="533" t="str">
        <f ca="1">+MID(INDEX(WORLDCUP!$AF$4:$AF$147,MATCH(M32,WORLDCUP!$AH$4:$AH$147,0)),1,3)</f>
        <v>Arg</v>
      </c>
      <c r="S32" s="534"/>
      <c r="T32" s="534"/>
      <c r="U32" s="535"/>
      <c r="V32" s="535"/>
      <c r="W32" s="536"/>
      <c r="X32" s="190"/>
      <c r="Y32" s="190"/>
      <c r="Z32" s="469"/>
      <c r="AA32" s="538"/>
      <c r="AB32" s="538"/>
      <c r="AC32" s="538"/>
      <c r="AD32" s="190"/>
      <c r="AE32" s="473"/>
      <c r="AF32" s="473"/>
      <c r="AG32" s="519"/>
      <c r="AH32" s="190">
        <v>99</v>
      </c>
      <c r="AI32" s="527" t="str">
        <f ca="1">+MID(INDEX(WORLDCUP!$AF$101:$AF$147,MATCH(AH32,WORLDCUP!$Z$101:$Z$147,0)),1,3)</f>
        <v>Nor</v>
      </c>
      <c r="AJ32" s="528">
        <f>+IF(ISBLANK(INDEX(WORLDCUP!$AD$101:$AD$147,MATCH(AH32,WORLDCUP!$Z$101:$Z$147))),"",INDEX(WORLDCUP!$AD$101:$AD$147,MATCH(AH32,WORLDCUP!$Z$101:$Z$147)))</f>
        <v>1</v>
      </c>
      <c r="AK32" s="539" t="str">
        <f>+IF(ISBLANK(INDEX(WORLDCUP!$AE$101:$AE$147,MATCH(AH32,WORLDCUP!$Z$101:$Z$147))),"","( "&amp;INDEX(WORLDCUP!$AE$101:$AE$147,MATCH(AH32,WORLDCUP!$Z$101:$Z$147))&amp;" )")</f>
        <v/>
      </c>
      <c r="AL32" s="190"/>
      <c r="AM32" s="475"/>
      <c r="AN32" s="475"/>
      <c r="AO32" s="556"/>
      <c r="AP32" s="459">
        <v>103</v>
      </c>
      <c r="AQ32" s="591" t="str">
        <f ca="1">+MID(INDEX(WORLDCUP!$AF$101:$AF$147,MATCH(AP32,WORLDCUP!$Z$101:$Z$147,0)),1,4)</f>
        <v>Sene</v>
      </c>
      <c r="AR32" s="592">
        <f>+IF(ISBLANK(INDEX(WORLDCUP!$AD$101:$AD$147,MATCH(AP32,WORLDCUP!$Z$101:$Z$147))),"",INDEX(WORLDCUP!$AD$101:$AD$147,MATCH(AP32,WORLDCUP!$Z$101:$Z$147)))</f>
        <v>1</v>
      </c>
      <c r="AS32" s="504" t="str">
        <f>+IF(ISBLANK(INDEX(WORLDCUP!$AE$101:$AE$147,MATCH(AP32,WORLDCUP!$Z$101:$Z$147))),"","( "&amp;INDEX(WORLDCUP!$AE$101:$AE$147,MATCH(AP32,WORLDCUP!$Z$101:$Z$147))&amp;" )")</f>
        <v/>
      </c>
      <c r="AT32" s="190"/>
      <c r="AU32" s="477"/>
      <c r="AV32" s="477"/>
      <c r="AW32" s="477"/>
      <c r="AX32" s="190"/>
      <c r="AY32" s="161"/>
      <c r="AZ32" s="161"/>
      <c r="BA32" s="161"/>
      <c r="BB32" s="161"/>
      <c r="BC32" s="161"/>
      <c r="BD32" s="161"/>
      <c r="BE32" s="161"/>
      <c r="BG32" s="506" t="str">
        <f ca="1">Horarios!Q31</f>
        <v>Marruecos</v>
      </c>
      <c r="BH32" s="507">
        <f t="shared" ca="1" si="0"/>
        <v>0</v>
      </c>
      <c r="BI32" s="507">
        <f ca="1">COUNTIF(Pool!$C$130:$C$161,Fixture!BG32)-BJ32-BK32-BL32-BM32-BN32-BO32</f>
        <v>0</v>
      </c>
      <c r="BJ32" s="508">
        <f ca="1">COUNTIF(Pool!$C$182:$C$197,Fixture!BG32)-BK32-BL32-BM32-BN32-BO32</f>
        <v>0</v>
      </c>
      <c r="BK32" s="509">
        <f ca="1">COUNTIF(Pool!$C$210:$C$217,Fixture!BG32)-BL32-BM32-BN32-BO32</f>
        <v>1</v>
      </c>
      <c r="BL32" s="509">
        <f ca="1">COUNTIF(Pool!$C$226:$C$229,Fixture!BG32)-BM32-BN32-BO32</f>
        <v>0</v>
      </c>
      <c r="BM32" s="507">
        <f ca="1">COUNTIF(Pool!$C$252,Fixture!BG32)</f>
        <v>0</v>
      </c>
      <c r="BN32" s="507">
        <f ca="1">COUNTIF(Pool!$C$251,Fixture!BG32)</f>
        <v>0</v>
      </c>
      <c r="BO32" s="510">
        <f ca="1">COUNTIF(Pool!$C$250,Fixture!BG32)</f>
        <v>0</v>
      </c>
    </row>
    <row r="33" spans="1:67" ht="15" thickBot="1">
      <c r="A33" s="190"/>
      <c r="B33" s="455"/>
      <c r="C33" s="540"/>
      <c r="D33" s="541"/>
      <c r="E33" s="541"/>
      <c r="F33" s="161"/>
      <c r="G33" s="161"/>
      <c r="H33" s="540"/>
      <c r="I33" s="161"/>
      <c r="J33" s="161"/>
      <c r="K33" s="161"/>
      <c r="L33" s="190"/>
      <c r="M33" s="190"/>
      <c r="N33" s="159"/>
      <c r="O33" s="540"/>
      <c r="P33" s="541"/>
      <c r="Q33" s="541"/>
      <c r="R33" s="161"/>
      <c r="S33" s="161"/>
      <c r="T33" s="540"/>
      <c r="U33" s="161"/>
      <c r="V33" s="161"/>
      <c r="W33" s="161"/>
      <c r="X33" s="190"/>
      <c r="Y33" s="190">
        <v>79</v>
      </c>
      <c r="Z33" s="469" t="s">
        <v>664</v>
      </c>
      <c r="AA33" s="470" t="str">
        <f ca="1">+MID(INDEX(WORLDCUP!$AA$101:$AA$147,MATCH(Y33,WORLDCUP!$Z$101:$Z$147,0)),1,3)</f>
        <v>Méx</v>
      </c>
      <c r="AB33" s="471">
        <f>+IF(ISBLANK(INDEX(WORLDCUP!$AC$101:$AC$147,MATCH(Y33,WORLDCUP!$Z$101:$Z$147))),"",INDEX(WORLDCUP!$AC$101:$AC$147,MATCH(Y33,WORLDCUP!$Z$101:$Z$147)))</f>
        <v>0</v>
      </c>
      <c r="AC33" s="542" t="str">
        <f>+IF(ISBLANK(INDEX(WORLDCUP!$AB$101:$AB$147,MATCH(Y33,WORLDCUP!$Z$101:$Z$147))),"","( "&amp;INDEX(WORLDCUP!$AB$101:$AB$147,MATCH(Y33,WORLDCUP!$Z$101:$Z$147))&amp;" )")</f>
        <v/>
      </c>
      <c r="AD33" s="188"/>
      <c r="AE33" s="473"/>
      <c r="AF33" s="473"/>
      <c r="AG33" s="519"/>
      <c r="AH33" s="190"/>
      <c r="AI33" s="503"/>
      <c r="AJ33" s="503"/>
      <c r="AK33" s="543"/>
      <c r="AL33" s="459"/>
      <c r="AM33" s="475"/>
      <c r="AN33" s="475"/>
      <c r="AO33" s="556"/>
      <c r="AP33" s="190"/>
      <c r="AQ33" s="504"/>
      <c r="AR33" s="504"/>
      <c r="AS33" s="504"/>
      <c r="AT33" s="190"/>
      <c r="AU33" s="477"/>
      <c r="AV33" s="477"/>
      <c r="AW33" s="477"/>
      <c r="AX33" s="190"/>
      <c r="AY33" s="161"/>
      <c r="AZ33" s="161"/>
      <c r="BA33" s="161"/>
      <c r="BB33" s="161"/>
      <c r="BC33" s="161"/>
      <c r="BD33" s="161"/>
      <c r="BE33" s="161"/>
      <c r="BG33" s="506" t="str">
        <f ca="1">Horarios!Q32</f>
        <v>México</v>
      </c>
      <c r="BH33" s="507">
        <f t="shared" ca="1" si="0"/>
        <v>0</v>
      </c>
      <c r="BI33" s="507">
        <f ca="1">COUNTIF(Pool!$C$130:$C$161,Fixture!BG33)-BJ33-BK33-BL33-BM33-BN33-BO33</f>
        <v>1</v>
      </c>
      <c r="BJ33" s="508">
        <f ca="1">COUNTIF(Pool!$C$182:$C$197,Fixture!BG33)-BK33-BL33-BM33-BN33-BO33</f>
        <v>0</v>
      </c>
      <c r="BK33" s="509">
        <f ca="1">COUNTIF(Pool!$C$210:$C$217,Fixture!BG33)-BL33-BM33-BN33-BO33</f>
        <v>0</v>
      </c>
      <c r="BL33" s="509">
        <f ca="1">COUNTIF(Pool!$C$226:$C$229,Fixture!BG33)-BM33-BN33-BO33</f>
        <v>0</v>
      </c>
      <c r="BM33" s="507">
        <f ca="1">COUNTIF(Pool!$C$252,Fixture!BG33)</f>
        <v>0</v>
      </c>
      <c r="BN33" s="507">
        <f ca="1">COUNTIF(Pool!$C$251,Fixture!BG33)</f>
        <v>0</v>
      </c>
      <c r="BO33" s="510">
        <f ca="1">COUNTIF(Pool!$C$250,Fixture!BG33)</f>
        <v>0</v>
      </c>
    </row>
    <row r="34" spans="1:67" ht="15" thickBot="1">
      <c r="A34" s="190"/>
      <c r="B34" s="455"/>
      <c r="C34" s="540"/>
      <c r="D34" s="541"/>
      <c r="E34" s="541"/>
      <c r="F34" s="161"/>
      <c r="G34" s="161"/>
      <c r="H34" s="540"/>
      <c r="I34" s="161"/>
      <c r="J34" s="161"/>
      <c r="K34" s="161"/>
      <c r="L34" s="190"/>
      <c r="M34" s="190"/>
      <c r="N34" s="159"/>
      <c r="O34" s="540"/>
      <c r="P34" s="541"/>
      <c r="Q34" s="541"/>
      <c r="R34" s="161"/>
      <c r="S34" s="161"/>
      <c r="T34" s="540"/>
      <c r="U34" s="161"/>
      <c r="V34" s="161"/>
      <c r="W34" s="161"/>
      <c r="X34" s="190"/>
      <c r="Y34" s="190">
        <v>79</v>
      </c>
      <c r="Z34" s="469" t="s">
        <v>743</v>
      </c>
      <c r="AA34" s="470" t="str">
        <f ca="1">+MID(INDEX(WORLDCUP!$AF$101:$AF$147,MATCH(Y34,WORLDCUP!$Z$101:$Z$147,0)),1,IF(WORLDCUP!$H$113&lt;144,6,3))</f>
        <v>Ara</v>
      </c>
      <c r="AB34" s="497">
        <f>+IF(ISBLANK(INDEX(WORLDCUP!$AD$101:$AD$147,MATCH(Y34,WORLDCUP!$Z$101:$Z$147))),"",INDEX(WORLDCUP!$AD$101:$AD$147,MATCH(Y34,WORLDCUP!$Z$101:$Z$147)))</f>
        <v>1</v>
      </c>
      <c r="AC34" s="498" t="str">
        <f>+IF(ISBLANK(INDEX(WORLDCUP!$AE$101:$AE$147,MATCH(Y34,WORLDCUP!$Z$101:$Z$147))),"","( "&amp;INDEX(WORLDCUP!$AE$101:$AE$147,MATCH(Y34,WORLDCUP!$Z$101:$Z$147))&amp;" )")</f>
        <v/>
      </c>
      <c r="AD34" s="499">
        <v>92</v>
      </c>
      <c r="AE34" s="500" t="str">
        <f ca="1">+MID(INDEX(WORLDCUP!$AA$101:$AA$147,MATCH(AD34,WORLDCUP!$Z$101:$Z$147,0)),1,3)</f>
        <v>Ara</v>
      </c>
      <c r="AF34" s="501">
        <f>+IF(ISBLANK(INDEX(WORLDCUP!$AC$101:$AC$147,MATCH(AD34,WORLDCUP!$Z$101:$Z$147))),"",INDEX(WORLDCUP!$AC$101:$AC$147,MATCH(AD34,WORLDCUP!$Z$101:$Z$147)))</f>
        <v>1</v>
      </c>
      <c r="AG34" s="545" t="str">
        <f>+IF(ISBLANK(INDEX(WORLDCUP!$AB$101:$AB$147,MATCH(AD34,WORLDCUP!$Z$101:$Z$147))),"","( "&amp;INDEX(WORLDCUP!$AB$101:$AB$147,MATCH(AD34,WORLDCUP!$Z$101:$Z$147))&amp;" )")</f>
        <v/>
      </c>
      <c r="AH34" s="190"/>
      <c r="AI34" s="503"/>
      <c r="AJ34" s="503"/>
      <c r="AK34" s="543"/>
      <c r="AL34" s="459"/>
      <c r="AM34" s="475"/>
      <c r="AN34" s="475"/>
      <c r="AO34" s="556"/>
      <c r="AP34" s="190"/>
      <c r="AQ34" s="504"/>
      <c r="AR34" s="504"/>
      <c r="AS34" s="504"/>
      <c r="AT34" s="190"/>
      <c r="AU34" s="477"/>
      <c r="AV34" s="477"/>
      <c r="AW34" s="477"/>
      <c r="AX34" s="190"/>
      <c r="AY34" s="161"/>
      <c r="AZ34" s="161"/>
      <c r="BA34" s="161"/>
      <c r="BB34" s="161"/>
      <c r="BC34" s="161"/>
      <c r="BD34" s="161"/>
      <c r="BE34" s="161"/>
      <c r="BG34" s="506" t="str">
        <f ca="1">Horarios!Q33</f>
        <v>Noruega</v>
      </c>
      <c r="BH34" s="507">
        <f t="shared" ca="1" si="0"/>
        <v>0</v>
      </c>
      <c r="BI34" s="507">
        <f ca="1">COUNTIF(Pool!$C$130:$C$161,Fixture!BG34)-BJ34-BK34-BL34-BM34-BN34-BO34</f>
        <v>0</v>
      </c>
      <c r="BJ34" s="508">
        <f ca="1">COUNTIF(Pool!$C$182:$C$197,Fixture!BG34)-BK34-BL34-BM34-BN34-BO34</f>
        <v>0</v>
      </c>
      <c r="BK34" s="509">
        <f ca="1">COUNTIF(Pool!$C$210:$C$217,Fixture!BG34)-BL34-BM34-BN34-BO34</f>
        <v>1</v>
      </c>
      <c r="BL34" s="509">
        <f ca="1">COUNTIF(Pool!$C$226:$C$229,Fixture!BG34)-BM34-BN34-BO34</f>
        <v>0</v>
      </c>
      <c r="BM34" s="507">
        <f ca="1">COUNTIF(Pool!$C$252,Fixture!BG34)</f>
        <v>0</v>
      </c>
      <c r="BN34" s="507">
        <f ca="1">COUNTIF(Pool!$C$251,Fixture!BG34)</f>
        <v>0</v>
      </c>
      <c r="BO34" s="510">
        <f ca="1">COUNTIF(Pool!$C$250,Fixture!BG34)</f>
        <v>0</v>
      </c>
    </row>
    <row r="35" spans="1:67">
      <c r="A35" s="190">
        <v>9</v>
      </c>
      <c r="B35" s="601" t="s">
        <v>3</v>
      </c>
      <c r="C35" s="461" t="str">
        <f ca="1">+MID(INDEX(WORLDCUP!$AA$4:$AA$147,MATCH(A35,WORLDCUP!$AH$4:$AH$147,0)),1,3)</f>
        <v>Ale</v>
      </c>
      <c r="D35" s="462">
        <f>IF(ISBLANK(INDEX(WORLDCUP!$AC$4:$AC$147,MATCH(A35,WORLDCUP!$AH$4:$AH$147,0))),"",INDEX(WORLDCUP!$AC$4:$AC$147,MATCH(A35,WORLDCUP!$AH$4:$AH$147,0)))</f>
        <v>3</v>
      </c>
      <c r="E35" s="462">
        <f>IF(ISBLANK(INDEX(WORLDCUP!$AD$4:$AD$147,MATCH(A35,WORLDCUP!$AH$4:$AH$147,0))),"",INDEX(WORLDCUP!$AD$4:$AD$147,MATCH(A35,WORLDCUP!$AH$4:$AH$147,0)))</f>
        <v>0</v>
      </c>
      <c r="F35" s="463" t="str">
        <f ca="1">+MID(INDEX(WORLDCUP!$AF$4:$AF$147,MATCH(A35,WORLDCUP!$AH$4:$AH$147,0)),1,3)</f>
        <v>Cur</v>
      </c>
      <c r="G35" s="464"/>
      <c r="H35" s="465" t="str">
        <f>+H27</f>
        <v>Sel</v>
      </c>
      <c r="I35" s="466" t="str">
        <f>+I27</f>
        <v>Pts</v>
      </c>
      <c r="J35" s="466" t="str">
        <f>+J27</f>
        <v>DG</v>
      </c>
      <c r="K35" s="467" t="str">
        <f>+K27</f>
        <v>GF-GC</v>
      </c>
      <c r="L35" s="190"/>
      <c r="M35" s="190">
        <v>23</v>
      </c>
      <c r="N35" s="602" t="s">
        <v>456</v>
      </c>
      <c r="O35" s="461" t="str">
        <f ca="1">+MID(INDEX(WORLDCUP!$AA$4:$AA$147,MATCH(M35,WORLDCUP!$AH$4:$AH$147,0)),1,3)</f>
        <v>Por</v>
      </c>
      <c r="P35" s="462">
        <f>IF(ISBLANK(INDEX(WORLDCUP!$AC$4:$AC$147,MATCH(M35,WORLDCUP!$AH$4:$AH$147,0))),"",INDEX(WORLDCUP!$AC$4:$AC$147,MATCH(M35,WORLDCUP!$AH$4:$AH$147,0)))</f>
        <v>1</v>
      </c>
      <c r="Q35" s="462">
        <f>IF(ISBLANK(INDEX(WORLDCUP!$AD$4:$AD$147,MATCH(M35,WORLDCUP!$AH$4:$AH$147,0))),"",INDEX(WORLDCUP!$AD$4:$AD$147,MATCH(M35,WORLDCUP!$AH$4:$AH$147,0)))</f>
        <v>0</v>
      </c>
      <c r="R35" s="463" t="str">
        <f ca="1">+MID(INDEX(WORLDCUP!$AF$4:$AF$147,MATCH(M35,WORLDCUP!$AH$4:$AH$147,0)),1,3)</f>
        <v xml:space="preserve">PO </v>
      </c>
      <c r="S35" s="464"/>
      <c r="T35" s="465" t="str">
        <f>+T27</f>
        <v>Sel</v>
      </c>
      <c r="U35" s="466" t="str">
        <f>+U27</f>
        <v>Pts</v>
      </c>
      <c r="V35" s="466" t="str">
        <f>+V27</f>
        <v>DG</v>
      </c>
      <c r="W35" s="467" t="str">
        <f>+W27</f>
        <v>GF-GC</v>
      </c>
      <c r="X35" s="190"/>
      <c r="Y35" s="190"/>
      <c r="Z35" s="469"/>
      <c r="AA35" s="513"/>
      <c r="AB35" s="513"/>
      <c r="AC35" s="514"/>
      <c r="AD35" s="190">
        <v>92</v>
      </c>
      <c r="AE35" s="500" t="str">
        <f ca="1">+MID(INDEX(WORLDCUP!$AF$101:$AF$147,MATCH(AD35,WORLDCUP!$Z$101:$Z$147,0)),1,3)</f>
        <v>Nor</v>
      </c>
      <c r="AF35" s="501">
        <f>+IF(ISBLANK(INDEX(WORLDCUP!$AD$101:$AD$147,MATCH(AD35,WORLDCUP!$Z$101:$Z$147))),"",INDEX(WORLDCUP!$AD$101:$AD$147,MATCH(AD35,WORLDCUP!$Z$101:$Z$147)))</f>
        <v>2</v>
      </c>
      <c r="AG35" s="518" t="str">
        <f>+IF(ISBLANK(INDEX(WORLDCUP!$AE$101:$AE$147,MATCH(AD35,WORLDCUP!$Z$101:$Z$147))),"","( "&amp;INDEX(WORLDCUP!$AE$101:$AE$147,MATCH(AD35,WORLDCUP!$Z$101:$Z$147))&amp;" )")</f>
        <v/>
      </c>
      <c r="AH35" s="190"/>
      <c r="AI35" s="503"/>
      <c r="AJ35" s="503"/>
      <c r="AK35" s="543"/>
      <c r="AL35" s="459"/>
      <c r="AM35" s="475"/>
      <c r="AN35" s="603"/>
      <c r="AO35" s="556"/>
      <c r="AP35" s="459"/>
      <c r="AQ35" s="504"/>
      <c r="AR35" s="504"/>
      <c r="AS35" s="504"/>
      <c r="AT35" s="190"/>
      <c r="AU35" s="477"/>
      <c r="AV35" s="477"/>
      <c r="AW35" s="477"/>
      <c r="AX35" s="190"/>
      <c r="AY35" s="161"/>
      <c r="AZ35" s="161"/>
      <c r="BA35" s="161"/>
      <c r="BB35" s="161"/>
      <c r="BC35" s="161"/>
      <c r="BD35" s="161"/>
      <c r="BE35" s="161"/>
      <c r="BG35" s="506" t="str">
        <f ca="1">Horarios!Q34</f>
        <v>Nueva Zelanda</v>
      </c>
      <c r="BH35" s="507">
        <f t="shared" ca="1" si="0"/>
        <v>0</v>
      </c>
      <c r="BI35" s="507">
        <f ca="1">COUNTIF(Pool!$C$130:$C$161,Fixture!BG35)-BJ35-BK35-BL35-BM35-BN35-BO35</f>
        <v>0</v>
      </c>
      <c r="BJ35" s="508">
        <f ca="1">COUNTIF(Pool!$C$182:$C$197,Fixture!BG35)-BK35-BL35-BM35-BN35-BO35</f>
        <v>0</v>
      </c>
      <c r="BK35" s="509">
        <f ca="1">COUNTIF(Pool!$C$210:$C$217,Fixture!BG35)-BL35-BM35-BN35-BO35</f>
        <v>1</v>
      </c>
      <c r="BL35" s="509">
        <f ca="1">COUNTIF(Pool!$C$226:$C$229,Fixture!BG35)-BM35-BN35-BO35</f>
        <v>0</v>
      </c>
      <c r="BM35" s="507">
        <f ca="1">COUNTIF(Pool!$C$252,Fixture!BG35)</f>
        <v>0</v>
      </c>
      <c r="BN35" s="507">
        <f ca="1">COUNTIF(Pool!$C$251,Fixture!BG35)</f>
        <v>0</v>
      </c>
      <c r="BO35" s="510">
        <f ca="1">COUNTIF(Pool!$C$250,Fixture!BG35)</f>
        <v>0</v>
      </c>
    </row>
    <row r="36" spans="1:67" ht="15" thickBot="1">
      <c r="A36" s="190">
        <v>10</v>
      </c>
      <c r="B36" s="604"/>
      <c r="C36" s="488" t="str">
        <f ca="1">+MID(INDEX(WORLDCUP!$AA$4:$AA$147,MATCH(A36,WORLDCUP!$AH$4:$AH$147,0)),1,3)</f>
        <v>Cos</v>
      </c>
      <c r="D36" s="489">
        <f>IF(ISBLANK(INDEX(WORLDCUP!$AC$4:$AC$147,MATCH(A36,WORLDCUP!$AH$4:$AH$147,0))),"",INDEX(WORLDCUP!$AC$4:$AC$147,MATCH(A36,WORLDCUP!$AH$4:$AH$147,0)))</f>
        <v>0</v>
      </c>
      <c r="E36" s="489">
        <f>IF(ISBLANK(INDEX(WORLDCUP!$AD$4:$AD$147,MATCH(A36,WORLDCUP!$AH$4:$AH$147,0))),"",INDEX(WORLDCUP!$AD$4:$AD$147,MATCH(A36,WORLDCUP!$AH$4:$AH$147,0)))</f>
        <v>2</v>
      </c>
      <c r="F36" s="490" t="str">
        <f ca="1">+MID(INDEX(WORLDCUP!$AF$4:$AF$147,MATCH(A36,WORLDCUP!$AH$4:$AH$147,0)),1,3)</f>
        <v>Ecu</v>
      </c>
      <c r="G36" s="491">
        <v>1</v>
      </c>
      <c r="H36" s="492" t="str">
        <f ca="1">+MID(INDEX(WORLDCUP!$AL$6:$AL$97,MATCH(L36,WORLDCUP!$AI$6:$AI$97,0)),1,3)</f>
        <v>Ale</v>
      </c>
      <c r="I36" s="493">
        <f ca="1">+INDEX(WORLDCUP!$AM$6:$AM$97,MATCH(L36,WORLDCUP!$AI$6:$AI$97,0))</f>
        <v>9</v>
      </c>
      <c r="J36" s="494">
        <f ca="1">+INDEX(WORLDCUP!$AT$6:$AT$97,MATCH(L36,WORLDCUP!$AI$6:$AI$97,0))</f>
        <v>7</v>
      </c>
      <c r="K36" s="495" t="str">
        <f ca="1">+INDEX(WORLDCUP!$AR$6:$AR$97,MATCH(L36,WORLDCUP!$AI$6:$AI$97,0))&amp;"-"&amp;INDEX(WORLDCUP!$AS$6:$AS$97,MATCH(L36,WORLDCUP!$AI$6:$AI$97,0))</f>
        <v>8-1</v>
      </c>
      <c r="L36" s="190" t="s">
        <v>680</v>
      </c>
      <c r="M36" s="190">
        <v>24</v>
      </c>
      <c r="N36" s="605"/>
      <c r="O36" s="488" t="str">
        <f ca="1">+MID(INDEX(WORLDCUP!$AA$4:$AA$147,MATCH(M36,WORLDCUP!$AH$4:$AH$147,0)),1,3)</f>
        <v>Uzb</v>
      </c>
      <c r="P36" s="489">
        <f>IF(ISBLANK(INDEX(WORLDCUP!$AC$4:$AC$147,MATCH(M36,WORLDCUP!$AH$4:$AH$147,0))),"",INDEX(WORLDCUP!$AC$4:$AC$147,MATCH(M36,WORLDCUP!$AH$4:$AH$147,0)))</f>
        <v>0</v>
      </c>
      <c r="Q36" s="489">
        <f>IF(ISBLANK(INDEX(WORLDCUP!$AD$4:$AD$147,MATCH(M36,WORLDCUP!$AH$4:$AH$147,0))),"",INDEX(WORLDCUP!$AD$4:$AD$147,MATCH(M36,WORLDCUP!$AH$4:$AH$147,0)))</f>
        <v>2</v>
      </c>
      <c r="R36" s="490" t="str">
        <f ca="1">+MID(INDEX(WORLDCUP!$AF$4:$AF$147,MATCH(M36,WORLDCUP!$AH$4:$AH$147,0)),1,3)</f>
        <v>Col</v>
      </c>
      <c r="S36" s="491">
        <v>1</v>
      </c>
      <c r="T36" s="492" t="str">
        <f ca="1">+MID(INDEX(WORLDCUP!$AL$6:$AL$97,MATCH(X36,WORLDCUP!$AI$6:$AI$97,0)),1,3)</f>
        <v>Col</v>
      </c>
      <c r="U36" s="493">
        <f ca="1">+INDEX(WORLDCUP!$AM$6:$AM$97,MATCH(X36,WORLDCUP!$AI$6:$AI$97,0))</f>
        <v>9</v>
      </c>
      <c r="V36" s="494">
        <f ca="1">+INDEX(WORLDCUP!$AT$6:$AT$97,MATCH(X36,WORLDCUP!$AI$6:$AI$97,0))</f>
        <v>4</v>
      </c>
      <c r="W36" s="495" t="str">
        <f ca="1">+INDEX(WORLDCUP!$AR$6:$AR$97,MATCH(X36,WORLDCUP!$AI$6:$AI$97,0))&amp;"-"&amp;INDEX(WORLDCUP!$AS$6:$AS$97,MATCH(X36,WORLDCUP!$AI$6:$AI$97,0))</f>
        <v>4-0</v>
      </c>
      <c r="X36" s="190" t="s">
        <v>698</v>
      </c>
      <c r="Y36" s="190">
        <v>80</v>
      </c>
      <c r="Z36" s="469" t="s">
        <v>701</v>
      </c>
      <c r="AA36" s="470" t="str">
        <f ca="1">+MID(INDEX(WORLDCUP!$AA$101:$AA$147,MATCH(Y36,WORLDCUP!$Z$101:$Z$147,0)),1,3)</f>
        <v>Ing</v>
      </c>
      <c r="AB36" s="516">
        <f>+IF(ISBLANK(INDEX(WORLDCUP!$AC$101:$AC$147,MATCH(Y36,WORLDCUP!$Z$101:$Z$147))),"",INDEX(WORLDCUP!$AC$101:$AC$147,MATCH(Y36,WORLDCUP!$Z$101:$Z$147)))</f>
        <v>0</v>
      </c>
      <c r="AC36" s="550" t="str">
        <f>+IF(ISBLANK(INDEX(WORLDCUP!$AB$101:$AB$147,MATCH(Y36,WORLDCUP!$Z$101:$Z$147))),"","( "&amp;INDEX(WORLDCUP!$AB$101:$AB$147,MATCH(Y36,WORLDCUP!$Z$101:$Z$147))&amp;" )")</f>
        <v/>
      </c>
      <c r="AD36" s="190"/>
      <c r="AE36" s="473"/>
      <c r="AF36" s="473"/>
      <c r="AG36" s="473"/>
      <c r="AH36" s="190"/>
      <c r="AI36" s="503"/>
      <c r="AJ36" s="503"/>
      <c r="AK36" s="543"/>
      <c r="AL36" s="459"/>
      <c r="AM36" s="475"/>
      <c r="AN36" s="475"/>
      <c r="AO36" s="556"/>
      <c r="AP36" s="459"/>
      <c r="AQ36" s="504"/>
      <c r="AR36" s="504"/>
      <c r="AS36" s="504"/>
      <c r="AT36" s="190"/>
      <c r="AU36" s="477"/>
      <c r="AV36" s="477"/>
      <c r="AW36" s="477"/>
      <c r="AX36" s="190"/>
      <c r="AY36" s="161"/>
      <c r="AZ36" s="161"/>
      <c r="BA36" s="161"/>
      <c r="BB36" s="161"/>
      <c r="BC36" s="161"/>
      <c r="BD36" s="161"/>
      <c r="BE36" s="161"/>
      <c r="BG36" s="506" t="str">
        <f ca="1">Horarios!Q35</f>
        <v>Países Bajos</v>
      </c>
      <c r="BH36" s="507">
        <f t="shared" ca="1" si="0"/>
        <v>0</v>
      </c>
      <c r="BI36" s="507">
        <f ca="1">COUNTIF(Pool!$C$130:$C$161,Fixture!BG36)-BJ36-BK36-BL36-BM36-BN36-BO36</f>
        <v>1</v>
      </c>
      <c r="BJ36" s="508">
        <f ca="1">COUNTIF(Pool!$C$182:$C$197,Fixture!BG36)-BK36-BL36-BM36-BN36-BO36</f>
        <v>0</v>
      </c>
      <c r="BK36" s="509">
        <f ca="1">COUNTIF(Pool!$C$210:$C$217,Fixture!BG36)-BL36-BM36-BN36-BO36</f>
        <v>0</v>
      </c>
      <c r="BL36" s="509">
        <f ca="1">COUNTIF(Pool!$C$226:$C$229,Fixture!BG36)-BM36-BN36-BO36</f>
        <v>0</v>
      </c>
      <c r="BM36" s="507">
        <f ca="1">COUNTIF(Pool!$C$252,Fixture!BG36)</f>
        <v>0</v>
      </c>
      <c r="BN36" s="507">
        <f ca="1">COUNTIF(Pool!$C$251,Fixture!BG36)</f>
        <v>0</v>
      </c>
      <c r="BO36" s="510">
        <f ca="1">COUNTIF(Pool!$C$250,Fixture!BG36)</f>
        <v>0</v>
      </c>
    </row>
    <row r="37" spans="1:67" ht="15" thickBot="1">
      <c r="A37" s="190">
        <v>33</v>
      </c>
      <c r="B37" s="604"/>
      <c r="C37" s="488" t="str">
        <f ca="1">+MID(INDEX(WORLDCUP!$AA$4:$AA$147,MATCH(A37,WORLDCUP!$AH$4:$AH$147,0)),1,3)</f>
        <v>Ale</v>
      </c>
      <c r="D37" s="489">
        <f>IF(ISBLANK(INDEX(WORLDCUP!$AC$4:$AC$147,MATCH(A37,WORLDCUP!$AH$4:$AH$147,0))),"",INDEX(WORLDCUP!$AC$4:$AC$147,MATCH(A37,WORLDCUP!$AH$4:$AH$147,0)))</f>
        <v>3</v>
      </c>
      <c r="E37" s="489">
        <f>IF(ISBLANK(INDEX(WORLDCUP!$AD$4:$AD$147,MATCH(A37,WORLDCUP!$AH$4:$AH$147,0))),"",INDEX(WORLDCUP!$AD$4:$AD$147,MATCH(A37,WORLDCUP!$AH$4:$AH$147,0)))</f>
        <v>0</v>
      </c>
      <c r="F37" s="490" t="str">
        <f ca="1">+MID(INDEX(WORLDCUP!$AF$4:$AF$147,MATCH(A37,WORLDCUP!$AH$4:$AH$147,0)),1,3)</f>
        <v>Cos</v>
      </c>
      <c r="G37" s="511">
        <v>2</v>
      </c>
      <c r="H37" s="512" t="str">
        <f ca="1">+MID(INDEX(WORLDCUP!$AL$6:$AL$97,MATCH(L37,WORLDCUP!$AI$6:$AI$97,0)),1,3)</f>
        <v>Ecu</v>
      </c>
      <c r="I37" s="41">
        <f ca="1">+INDEX(WORLDCUP!$AM$6:$AM$97,MATCH(L37,WORLDCUP!$AI$6:$AI$97,0))</f>
        <v>6</v>
      </c>
      <c r="J37" s="42">
        <f ca="1">+INDEX(WORLDCUP!$AT$6:$AT$97,MATCH(L37,WORLDCUP!$AI$6:$AI$97,0))</f>
        <v>3</v>
      </c>
      <c r="K37" s="48" t="str">
        <f ca="1">+INDEX(WORLDCUP!$AR$6:$AR$97,MATCH(L37,WORLDCUP!$AI$6:$AI$97,0))&amp;"-"&amp;INDEX(WORLDCUP!$AS$6:$AS$97,MATCH(L37,WORLDCUP!$AI$6:$AI$97,0))</f>
        <v>5-2</v>
      </c>
      <c r="L37" s="190" t="s">
        <v>681</v>
      </c>
      <c r="M37" s="190">
        <v>47</v>
      </c>
      <c r="N37" s="605"/>
      <c r="O37" s="488" t="str">
        <f ca="1">+MID(INDEX(WORLDCUP!$AA$4:$AA$147,MATCH(M37,WORLDCUP!$AH$4:$AH$147,0)),1,3)</f>
        <v>Por</v>
      </c>
      <c r="P37" s="489">
        <f>IF(ISBLANK(INDEX(WORLDCUP!$AC$4:$AC$147,MATCH(M37,WORLDCUP!$AH$4:$AH$147,0))),"",INDEX(WORLDCUP!$AC$4:$AC$147,MATCH(M37,WORLDCUP!$AH$4:$AH$147,0)))</f>
        <v>1</v>
      </c>
      <c r="Q37" s="489">
        <f>IF(ISBLANK(INDEX(WORLDCUP!$AD$4:$AD$147,MATCH(M37,WORLDCUP!$AH$4:$AH$147,0))),"",INDEX(WORLDCUP!$AD$4:$AD$147,MATCH(M37,WORLDCUP!$AH$4:$AH$147,0)))</f>
        <v>0</v>
      </c>
      <c r="R37" s="490" t="str">
        <f ca="1">+MID(INDEX(WORLDCUP!$AF$4:$AF$147,MATCH(M37,WORLDCUP!$AH$4:$AH$147,0)),1,3)</f>
        <v>Uzb</v>
      </c>
      <c r="S37" s="511">
        <v>2</v>
      </c>
      <c r="T37" s="512" t="str">
        <f ca="1">+MID(INDEX(WORLDCUP!$AL$6:$AL$97,MATCH(X37,WORLDCUP!$AI$6:$AI$97,0)),1,3)</f>
        <v>Por</v>
      </c>
      <c r="U37" s="41">
        <f ca="1">+INDEX(WORLDCUP!$AM$6:$AM$97,MATCH(X37,WORLDCUP!$AI$6:$AI$97,0))</f>
        <v>6</v>
      </c>
      <c r="V37" s="42">
        <f ca="1">+INDEX(WORLDCUP!$AT$6:$AT$97,MATCH(X37,WORLDCUP!$AI$6:$AI$97,0))</f>
        <v>1</v>
      </c>
      <c r="W37" s="48" t="str">
        <f ca="1">+INDEX(WORLDCUP!$AR$6:$AR$97,MATCH(X37,WORLDCUP!$AI$6:$AI$97,0))&amp;"-"&amp;INDEX(WORLDCUP!$AS$6:$AS$97,MATCH(X37,WORLDCUP!$AI$6:$AI$97,0))</f>
        <v>2-1</v>
      </c>
      <c r="X37" s="190" t="s">
        <v>699</v>
      </c>
      <c r="Y37" s="190">
        <v>80</v>
      </c>
      <c r="Z37" s="469" t="s">
        <v>744</v>
      </c>
      <c r="AA37" s="524" t="str">
        <f ca="1">+MID(INDEX(WORLDCUP!$AF$101:$AF$147,MATCH(Y37,WORLDCUP!$Z$101:$Z$147,0)),1,IF(WORLDCUP!$H$113&lt;144,6,3))</f>
        <v>Nor</v>
      </c>
      <c r="AB37" s="525">
        <f>+IF(ISBLANK(INDEX(WORLDCUP!$AD$101:$AD$147,MATCH(Y37,WORLDCUP!$Z$101:$Z$147))),"",INDEX(WORLDCUP!$AD$101:$AD$147,MATCH(Y37,WORLDCUP!$Z$101:$Z$147)))</f>
        <v>1</v>
      </c>
      <c r="AC37" s="551" t="str">
        <f>+IF(ISBLANK(INDEX(WORLDCUP!$AE$101:$AE$147,MATCH(Y37,WORLDCUP!$Z$101:$Z$147))),"","( "&amp;INDEX(WORLDCUP!$AE$101:$AE$147,MATCH(Y37,WORLDCUP!$Z$101:$Z$147))&amp;" )")</f>
        <v/>
      </c>
      <c r="AD37" s="190"/>
      <c r="AE37" s="473"/>
      <c r="AF37" s="473"/>
      <c r="AG37" s="473"/>
      <c r="AH37" s="190"/>
      <c r="AI37" s="503"/>
      <c r="AJ37" s="503"/>
      <c r="AK37" s="543"/>
      <c r="AL37" s="544">
        <v>102</v>
      </c>
      <c r="AM37" s="552" t="str">
        <f ca="1">+MID(INDEX(WORLDCUP!$AA$101:$AA$147,MATCH(AL37,WORLDCUP!$Z$101:$Z$147,0)),1,3)</f>
        <v>Sen</v>
      </c>
      <c r="AN37" s="553">
        <f>+IF(ISBLANK(INDEX(WORLDCUP!$AC$101:$AC$147,MATCH(AL37,WORLDCUP!$Z$101:$Z$147))),"",INDEX(WORLDCUP!$AC$101:$AC$147,MATCH(AL37,WORLDCUP!$Z$101:$Z$147)))</f>
        <v>1</v>
      </c>
      <c r="AO37" s="606" t="str">
        <f>+IF(ISBLANK(INDEX(WORLDCUP!$AB$101:$AB$147,MATCH(AL37,WORLDCUP!$Z$101:$Z$147))),"","( "&amp;INDEX(WORLDCUP!$AB$101:$AB$147,MATCH(AL37,WORLDCUP!$Z$101:$Z$147))&amp;" )")</f>
        <v/>
      </c>
      <c r="AP37" s="190"/>
      <c r="AQ37" s="504"/>
      <c r="AR37" s="504"/>
      <c r="AS37" s="504"/>
      <c r="AT37" s="190"/>
      <c r="AU37" s="477"/>
      <c r="AV37" s="477"/>
      <c r="AW37" s="477"/>
      <c r="AX37" s="190"/>
      <c r="AY37" s="161"/>
      <c r="AZ37" s="161"/>
      <c r="BA37" s="161"/>
      <c r="BB37" s="161"/>
      <c r="BC37" s="161"/>
      <c r="BD37" s="161"/>
      <c r="BE37" s="161"/>
      <c r="BG37" s="506" t="str">
        <f ca="1">Horarios!Q36</f>
        <v>Panamá</v>
      </c>
      <c r="BH37" s="507">
        <f t="shared" ca="1" si="0"/>
        <v>1</v>
      </c>
      <c r="BI37" s="507">
        <f ca="1">COUNTIF(Pool!$C$130:$C$161,Fixture!BG37)-BJ37-BK37-BL37-BM37-BN37-BO37</f>
        <v>0</v>
      </c>
      <c r="BJ37" s="508">
        <f ca="1">COUNTIF(Pool!$C$182:$C$197,Fixture!BG37)-BK37-BL37-BM37-BN37-BO37</f>
        <v>0</v>
      </c>
      <c r="BK37" s="509">
        <f ca="1">COUNTIF(Pool!$C$210:$C$217,Fixture!BG37)-BL37-BM37-BN37-BO37</f>
        <v>0</v>
      </c>
      <c r="BL37" s="509">
        <f ca="1">COUNTIF(Pool!$C$226:$C$229,Fixture!BG37)-BM37-BN37-BO37</f>
        <v>0</v>
      </c>
      <c r="BM37" s="507">
        <f ca="1">COUNTIF(Pool!$C$252,Fixture!BG37)</f>
        <v>0</v>
      </c>
      <c r="BN37" s="507">
        <f ca="1">COUNTIF(Pool!$C$251,Fixture!BG37)</f>
        <v>0</v>
      </c>
      <c r="BO37" s="510">
        <f ca="1">COUNTIF(Pool!$C$250,Fixture!BG37)</f>
        <v>0</v>
      </c>
    </row>
    <row r="38" spans="1:67">
      <c r="A38" s="190">
        <v>34</v>
      </c>
      <c r="B38" s="604"/>
      <c r="C38" s="488" t="str">
        <f ca="1">+MID(INDEX(WORLDCUP!$AA$4:$AA$147,MATCH(A38,WORLDCUP!$AH$4:$AH$147,0)),1,3)</f>
        <v>Ecu</v>
      </c>
      <c r="D38" s="489">
        <f>IF(ISBLANK(INDEX(WORLDCUP!$AC$4:$AC$147,MATCH(A38,WORLDCUP!$AH$4:$AH$147,0))),"",INDEX(WORLDCUP!$AC$4:$AC$147,MATCH(A38,WORLDCUP!$AH$4:$AH$147,0)))</f>
        <v>2</v>
      </c>
      <c r="E38" s="489">
        <f>IF(ISBLANK(INDEX(WORLDCUP!$AD$4:$AD$147,MATCH(A38,WORLDCUP!$AH$4:$AH$147,0))),"",INDEX(WORLDCUP!$AD$4:$AD$147,MATCH(A38,WORLDCUP!$AH$4:$AH$147,0)))</f>
        <v>0</v>
      </c>
      <c r="F38" s="490" t="str">
        <f ca="1">+MID(INDEX(WORLDCUP!$AF$4:$AF$147,MATCH(A38,WORLDCUP!$AH$4:$AH$147,0)),1,3)</f>
        <v>Cur</v>
      </c>
      <c r="G38" s="511">
        <v>3</v>
      </c>
      <c r="H38" s="512" t="str">
        <f ca="1">+MID(INDEX(WORLDCUP!$AL$6:$AL$97,MATCH(L38,WORLDCUP!$AI$6:$AI$97,0)),1,3)</f>
        <v>Cur</v>
      </c>
      <c r="I38" s="41">
        <f ca="1">+INDEX(WORLDCUP!$AM$6:$AM$97,MATCH(L38,WORLDCUP!$AI$6:$AI$97,0))</f>
        <v>1</v>
      </c>
      <c r="J38" s="42">
        <f ca="1">+INDEX(WORLDCUP!$AT$6:$AT$97,MATCH(L38,WORLDCUP!$AI$6:$AI$97,0))</f>
        <v>-5</v>
      </c>
      <c r="K38" s="48" t="str">
        <f ca="1">+INDEX(WORLDCUP!$AR$6:$AR$97,MATCH(L38,WORLDCUP!$AI$6:$AI$97,0))&amp;"-"&amp;INDEX(WORLDCUP!$AS$6:$AS$97,MATCH(L38,WORLDCUP!$AI$6:$AI$97,0))</f>
        <v>0-5</v>
      </c>
      <c r="L38" s="190" t="s">
        <v>95</v>
      </c>
      <c r="M38" s="190">
        <v>48</v>
      </c>
      <c r="N38" s="605"/>
      <c r="O38" s="488" t="str">
        <f ca="1">+MID(INDEX(WORLDCUP!$AA$4:$AA$147,MATCH(M38,WORLDCUP!$AH$4:$AH$147,0)),1,3)</f>
        <v>Col</v>
      </c>
      <c r="P38" s="489">
        <f>IF(ISBLANK(INDEX(WORLDCUP!$AC$4:$AC$147,MATCH(M38,WORLDCUP!$AH$4:$AH$147,0))),"",INDEX(WORLDCUP!$AC$4:$AC$147,MATCH(M38,WORLDCUP!$AH$4:$AH$147,0)))</f>
        <v>1</v>
      </c>
      <c r="Q38" s="489">
        <f>IF(ISBLANK(INDEX(WORLDCUP!$AD$4:$AD$147,MATCH(M38,WORLDCUP!$AH$4:$AH$147,0))),"",INDEX(WORLDCUP!$AD$4:$AD$147,MATCH(M38,WORLDCUP!$AH$4:$AH$147,0)))</f>
        <v>0</v>
      </c>
      <c r="R38" s="490" t="str">
        <f ca="1">+MID(INDEX(WORLDCUP!$AF$4:$AF$147,MATCH(M38,WORLDCUP!$AH$4:$AH$147,0)),1,3)</f>
        <v xml:space="preserve">PO </v>
      </c>
      <c r="S38" s="511">
        <v>3</v>
      </c>
      <c r="T38" s="512" t="str">
        <f ca="1">+MID(INDEX(WORLDCUP!$AL$6:$AL$97,MATCH(X38,WORLDCUP!$AI$6:$AI$97,0)),1,3)</f>
        <v xml:space="preserve">PO </v>
      </c>
      <c r="U38" s="41">
        <f ca="1">+INDEX(WORLDCUP!$AM$6:$AM$97,MATCH(X38,WORLDCUP!$AI$6:$AI$97,0))</f>
        <v>1</v>
      </c>
      <c r="V38" s="42">
        <f ca="1">+INDEX(WORLDCUP!$AT$6:$AT$97,MATCH(X38,WORLDCUP!$AI$6:$AI$97,0))</f>
        <v>-2</v>
      </c>
      <c r="W38" s="48" t="str">
        <f ca="1">+INDEX(WORLDCUP!$AR$6:$AR$97,MATCH(X38,WORLDCUP!$AI$6:$AI$97,0))&amp;"-"&amp;INDEX(WORLDCUP!$AS$6:$AS$97,MATCH(X38,WORLDCUP!$AI$6:$AI$97,0))</f>
        <v>0-2</v>
      </c>
      <c r="X38" s="190" t="s">
        <v>459</v>
      </c>
      <c r="Y38" s="190"/>
      <c r="Z38" s="469"/>
      <c r="AA38" s="538"/>
      <c r="AB38" s="538"/>
      <c r="AC38" s="538"/>
      <c r="AD38" s="190"/>
      <c r="AE38" s="473"/>
      <c r="AF38" s="473"/>
      <c r="AG38" s="473"/>
      <c r="AH38" s="190"/>
      <c r="AI38" s="503"/>
      <c r="AJ38" s="503"/>
      <c r="AK38" s="543"/>
      <c r="AL38" s="190">
        <v>102</v>
      </c>
      <c r="AM38" s="552" t="str" cm="1">
        <f t="array" aca="1" ref="AM38" ca="1">+MID(INDEX(WORLDCUP!$AF$101:$AF$147,MATCH(AL38,WORLDCUP!$Z$101:$Z$147,0)),1,IF(OR(ISBLANK(AC134:AD134)),4,3))</f>
        <v>Ghan</v>
      </c>
      <c r="AN38" s="553">
        <f>+IF(ISBLANK(INDEX(WORLDCUP!$AD$101:$AD$147,MATCH(AL38,WORLDCUP!$Z$101:$Z$147))),"",INDEX(WORLDCUP!$AD$101:$AD$147,MATCH(AL38,WORLDCUP!$Z$101:$Z$147)))</f>
        <v>3</v>
      </c>
      <c r="AO38" s="475" t="str">
        <f>+IF(ISBLANK(INDEX(WORLDCUP!$AE$101:$AE$147,MATCH(AL38,WORLDCUP!$Z$101:$Z$147))),"","( "&amp;INDEX(WORLDCUP!$AE$101:$AE$147,MATCH(AL38,WORLDCUP!$Z$101:$Z$147))&amp;" )")</f>
        <v/>
      </c>
      <c r="AP38" s="190"/>
      <c r="AQ38" s="504"/>
      <c r="AR38" s="504"/>
      <c r="AS38" s="504"/>
      <c r="AT38" s="190"/>
      <c r="AU38" s="477"/>
      <c r="AV38" s="477"/>
      <c r="AW38" s="477"/>
      <c r="AX38" s="190"/>
      <c r="AY38" s="161"/>
      <c r="AZ38" s="161"/>
      <c r="BA38" s="161"/>
      <c r="BB38" s="161"/>
      <c r="BC38" s="161"/>
      <c r="BD38" s="161"/>
      <c r="BE38" s="161"/>
      <c r="BG38" s="506" t="str">
        <f ca="1">Horarios!Q37</f>
        <v>Paraguay</v>
      </c>
      <c r="BH38" s="507">
        <f t="shared" ca="1" si="0"/>
        <v>0</v>
      </c>
      <c r="BI38" s="507">
        <f ca="1">COUNTIF(Pool!$C$130:$C$161,Fixture!BG38)-BJ38-BK38-BL38-BM38-BN38-BO38</f>
        <v>1</v>
      </c>
      <c r="BJ38" s="508">
        <f ca="1">COUNTIF(Pool!$C$182:$C$197,Fixture!BG38)-BK38-BL38-BM38-BN38-BO38</f>
        <v>0</v>
      </c>
      <c r="BK38" s="509">
        <f ca="1">COUNTIF(Pool!$C$210:$C$217,Fixture!BG38)-BL38-BM38-BN38-BO38</f>
        <v>0</v>
      </c>
      <c r="BL38" s="509">
        <f ca="1">COUNTIF(Pool!$C$226:$C$229,Fixture!BG38)-BM38-BN38-BO38</f>
        <v>0</v>
      </c>
      <c r="BM38" s="507">
        <f ca="1">COUNTIF(Pool!$C$252,Fixture!BG38)</f>
        <v>0</v>
      </c>
      <c r="BN38" s="507">
        <f ca="1">COUNTIF(Pool!$C$251,Fixture!BG38)</f>
        <v>0</v>
      </c>
      <c r="BO38" s="510">
        <f ca="1">COUNTIF(Pool!$C$250,Fixture!BG38)</f>
        <v>0</v>
      </c>
    </row>
    <row r="39" spans="1:67" ht="15" thickBot="1">
      <c r="A39" s="190">
        <v>55</v>
      </c>
      <c r="B39" s="604"/>
      <c r="C39" s="488" t="str">
        <f ca="1">+MID(INDEX(WORLDCUP!$AA$4:$AA$147,MATCH(A39,WORLDCUP!$AH$4:$AH$147,0)),1,3)</f>
        <v>Ecu</v>
      </c>
      <c r="D39" s="489">
        <f>IF(ISBLANK(INDEX(WORLDCUP!$AC$4:$AC$147,MATCH(A39,WORLDCUP!$AH$4:$AH$147,0))),"",INDEX(WORLDCUP!$AC$4:$AC$147,MATCH(A39,WORLDCUP!$AH$4:$AH$147,0)))</f>
        <v>1</v>
      </c>
      <c r="E39" s="489">
        <f>IF(ISBLANK(INDEX(WORLDCUP!$AD$4:$AD$147,MATCH(A39,WORLDCUP!$AH$4:$AH$147,0))),"",INDEX(WORLDCUP!$AD$4:$AD$147,MATCH(A39,WORLDCUP!$AH$4:$AH$147,0)))</f>
        <v>2</v>
      </c>
      <c r="F39" s="490" t="str">
        <f ca="1">+MID(INDEX(WORLDCUP!$AF$4:$AF$147,MATCH(A39,WORLDCUP!$AH$4:$AH$147,0)),1,3)</f>
        <v>Ale</v>
      </c>
      <c r="G39" s="511">
        <v>4</v>
      </c>
      <c r="H39" s="520" t="str">
        <f ca="1">+MID(INDEX(WORLDCUP!$AL$6:$AL$97,MATCH(L39,WORLDCUP!$AI$6:$AI$97,0)),1,3)</f>
        <v>Cos</v>
      </c>
      <c r="I39" s="521">
        <f ca="1">+INDEX(WORLDCUP!$AM$6:$AM$97,MATCH(L39,WORLDCUP!$AI$6:$AI$97,0))</f>
        <v>1</v>
      </c>
      <c r="J39" s="522">
        <f ca="1">+INDEX(WORLDCUP!$AT$6:$AT$97,MATCH(L39,WORLDCUP!$AI$6:$AI$97,0))</f>
        <v>-5</v>
      </c>
      <c r="K39" s="523" t="str">
        <f ca="1">+INDEX(WORLDCUP!$AR$6:$AR$97,MATCH(L39,WORLDCUP!$AI$6:$AI$97,0))&amp;"-"&amp;INDEX(WORLDCUP!$AS$6:$AS$97,MATCH(L39,WORLDCUP!$AI$6:$AI$97,0))</f>
        <v>0-5</v>
      </c>
      <c r="L39" s="190" t="s">
        <v>682</v>
      </c>
      <c r="M39" s="190">
        <v>71</v>
      </c>
      <c r="N39" s="605"/>
      <c r="O39" s="488" t="str">
        <f ca="1">+MID(INDEX(WORLDCUP!$AA$4:$AA$147,MATCH(M39,WORLDCUP!$AH$4:$AH$147,0)),1,3)</f>
        <v>Col</v>
      </c>
      <c r="P39" s="489">
        <f>IF(ISBLANK(INDEX(WORLDCUP!$AC$4:$AC$147,MATCH(M39,WORLDCUP!$AH$4:$AH$147,0))),"",INDEX(WORLDCUP!$AC$4:$AC$147,MATCH(M39,WORLDCUP!$AH$4:$AH$147,0)))</f>
        <v>1</v>
      </c>
      <c r="Q39" s="489">
        <f>IF(ISBLANK(INDEX(WORLDCUP!$AD$4:$AD$147,MATCH(M39,WORLDCUP!$AH$4:$AH$147,0))),"",INDEX(WORLDCUP!$AD$4:$AD$147,MATCH(M39,WORLDCUP!$AH$4:$AH$147,0)))</f>
        <v>0</v>
      </c>
      <c r="R39" s="490" t="str">
        <f ca="1">+MID(INDEX(WORLDCUP!$AF$4:$AF$147,MATCH(M39,WORLDCUP!$AH$4:$AH$147,0)),1,3)</f>
        <v>Por</v>
      </c>
      <c r="S39" s="511">
        <v>4</v>
      </c>
      <c r="T39" s="520" t="str">
        <f ca="1">+MID(INDEX(WORLDCUP!$AL$6:$AL$97,MATCH(X39,WORLDCUP!$AI$6:$AI$97,0)),1,3)</f>
        <v>Uzb</v>
      </c>
      <c r="U39" s="521">
        <f ca="1">+INDEX(WORLDCUP!$AM$6:$AM$97,MATCH(X39,WORLDCUP!$AI$6:$AI$97,0))</f>
        <v>1</v>
      </c>
      <c r="V39" s="522">
        <f ca="1">+INDEX(WORLDCUP!$AT$6:$AT$97,MATCH(X39,WORLDCUP!$AI$6:$AI$97,0))</f>
        <v>-3</v>
      </c>
      <c r="W39" s="523" t="str">
        <f ca="1">+INDEX(WORLDCUP!$AR$6:$AR$97,MATCH(X39,WORLDCUP!$AI$6:$AI$97,0))&amp;"-"&amp;INDEX(WORLDCUP!$AS$6:$AS$97,MATCH(X39,WORLDCUP!$AI$6:$AI$97,0))</f>
        <v>0-3</v>
      </c>
      <c r="X39" s="190" t="s">
        <v>700</v>
      </c>
      <c r="Y39" s="190">
        <v>86</v>
      </c>
      <c r="Z39" s="469" t="s">
        <v>695</v>
      </c>
      <c r="AA39" s="470" t="str">
        <f ca="1">+MID(INDEX(WORLDCUP!$AA$101:$AA$147,MATCH(Y39,WORLDCUP!$Z$101:$Z$147,0)),1,3)</f>
        <v>Arg</v>
      </c>
      <c r="AB39" s="471">
        <f>+IF(ISBLANK(INDEX(WORLDCUP!$AC$101:$AC$147,MATCH(Y39,WORLDCUP!$Z$101:$Z$147))),"",INDEX(WORLDCUP!$AC$101:$AC$147,MATCH(Y39,WORLDCUP!$Z$101:$Z$147)))</f>
        <v>0</v>
      </c>
      <c r="AC39" s="542" t="str">
        <f>+IF(ISBLANK(INDEX(WORLDCUP!$AB$101:$AB$147,MATCH(Y39,WORLDCUP!$Z$101:$Z$147))),"","( "&amp;INDEX(WORLDCUP!$AB$101:$AB$147,MATCH(Y39,WORLDCUP!$Z$101:$Z$147))&amp;" )")</f>
        <v/>
      </c>
      <c r="AD39" s="188"/>
      <c r="AE39" s="473"/>
      <c r="AF39" s="473"/>
      <c r="AG39" s="473"/>
      <c r="AH39" s="190"/>
      <c r="AI39" s="503"/>
      <c r="AJ39" s="503"/>
      <c r="AK39" s="543"/>
      <c r="AL39" s="459"/>
      <c r="AM39" s="475"/>
      <c r="AN39" s="475"/>
      <c r="AO39" s="475"/>
      <c r="AP39" s="190"/>
      <c r="AQ39" s="504"/>
      <c r="AR39" s="504"/>
      <c r="AS39" s="504"/>
      <c r="AT39" s="190"/>
      <c r="AU39" s="477"/>
      <c r="AV39" s="477"/>
      <c r="AW39" s="477"/>
      <c r="AX39" s="190"/>
      <c r="AY39" s="161"/>
      <c r="AZ39" s="161"/>
      <c r="BA39" s="161"/>
      <c r="BB39" s="161"/>
      <c r="BC39" s="161"/>
      <c r="BD39" s="161"/>
      <c r="BE39" s="161"/>
      <c r="BG39" s="506" t="str">
        <f ca="1">Horarios!Q38</f>
        <v>PO 1: COD/JAM/NCL</v>
      </c>
      <c r="BH39" s="507">
        <f t="shared" ca="1" si="0"/>
        <v>1</v>
      </c>
      <c r="BI39" s="507">
        <f ca="1">COUNTIF(Pool!$C$130:$C$161,Fixture!BG39)-BJ39-BK39-BL39-BM39-BN39-BO39</f>
        <v>0</v>
      </c>
      <c r="BJ39" s="508">
        <f ca="1">COUNTIF(Pool!$C$182:$C$197,Fixture!BG39)-BK39-BL39-BM39-BN39-BO39</f>
        <v>0</v>
      </c>
      <c r="BK39" s="509">
        <f ca="1">COUNTIF(Pool!$C$210:$C$217,Fixture!BG39)-BL39-BM39-BN39-BO39</f>
        <v>0</v>
      </c>
      <c r="BL39" s="509">
        <f ca="1">COUNTIF(Pool!$C$226:$C$229,Fixture!BG39)-BM39-BN39-BO39</f>
        <v>0</v>
      </c>
      <c r="BM39" s="507">
        <f ca="1">COUNTIF(Pool!$C$252,Fixture!BG39)</f>
        <v>0</v>
      </c>
      <c r="BN39" s="507">
        <f ca="1">COUNTIF(Pool!$C$251,Fixture!BG39)</f>
        <v>0</v>
      </c>
      <c r="BO39" s="510">
        <f ca="1">COUNTIF(Pool!$C$250,Fixture!BG39)</f>
        <v>0</v>
      </c>
    </row>
    <row r="40" spans="1:67" ht="15" thickBot="1">
      <c r="A40" s="190">
        <v>56</v>
      </c>
      <c r="B40" s="607"/>
      <c r="C40" s="531" t="str">
        <f ca="1">+MID(INDEX(WORLDCUP!$AA$4:$AA$147,MATCH(A40,WORLDCUP!$AH$4:$AH$147,0)),1,3)</f>
        <v>Cur</v>
      </c>
      <c r="D40" s="532">
        <f>IF(ISBLANK(INDEX(WORLDCUP!$AC$4:$AC$147,MATCH(A40,WORLDCUP!$AH$4:$AH$147,0))),"",INDEX(WORLDCUP!$AC$4:$AC$147,MATCH(A40,WORLDCUP!$AH$4:$AH$147,0)))</f>
        <v>0</v>
      </c>
      <c r="E40" s="532">
        <f>IF(ISBLANK(INDEX(WORLDCUP!$AD$4:$AD$147,MATCH(A40,WORLDCUP!$AH$4:$AH$147,0))),"",INDEX(WORLDCUP!$AD$4:$AD$147,MATCH(A40,WORLDCUP!$AH$4:$AH$147,0)))</f>
        <v>0</v>
      </c>
      <c r="F40" s="533" t="str">
        <f ca="1">+MID(INDEX(WORLDCUP!$AF$4:$AF$147,MATCH(A40,WORLDCUP!$AH$4:$AH$147,0)),1,3)</f>
        <v>Cos</v>
      </c>
      <c r="G40" s="534"/>
      <c r="H40" s="534"/>
      <c r="I40" s="535"/>
      <c r="J40" s="535"/>
      <c r="K40" s="536"/>
      <c r="L40" s="190"/>
      <c r="M40" s="190">
        <v>72</v>
      </c>
      <c r="N40" s="608"/>
      <c r="O40" s="531" t="str">
        <f ca="1">+MID(INDEX(WORLDCUP!$AA$4:$AA$147,MATCH(M40,WORLDCUP!$AH$4:$AH$147,0)),1,3)</f>
        <v xml:space="preserve">PO </v>
      </c>
      <c r="P40" s="532">
        <f>IF(ISBLANK(INDEX(WORLDCUP!$AC$4:$AC$147,MATCH(M40,WORLDCUP!$AH$4:$AH$147,0))),"",INDEX(WORLDCUP!$AC$4:$AC$147,MATCH(M40,WORLDCUP!$AH$4:$AH$147,0)))</f>
        <v>0</v>
      </c>
      <c r="Q40" s="532">
        <f>IF(ISBLANK(INDEX(WORLDCUP!$AD$4:$AD$147,MATCH(M40,WORLDCUP!$AH$4:$AH$147,0))),"",INDEX(WORLDCUP!$AD$4:$AD$147,MATCH(M40,WORLDCUP!$AH$4:$AH$147,0)))</f>
        <v>0</v>
      </c>
      <c r="R40" s="533" t="str">
        <f ca="1">+MID(INDEX(WORLDCUP!$AF$4:$AF$147,MATCH(M40,WORLDCUP!$AH$4:$AH$147,0)),1,3)</f>
        <v>Uzb</v>
      </c>
      <c r="S40" s="534"/>
      <c r="T40" s="534"/>
      <c r="U40" s="535"/>
      <c r="V40" s="535"/>
      <c r="W40" s="536"/>
      <c r="X40" s="190"/>
      <c r="Y40" s="190">
        <v>86</v>
      </c>
      <c r="Z40" s="469" t="s">
        <v>690</v>
      </c>
      <c r="AA40" s="470" t="str">
        <f ca="1">+MID(INDEX(WORLDCUP!$AF$101:$AF$147,MATCH(Y40,WORLDCUP!$Z$101:$Z$147,0)),1,3)</f>
        <v>Uru</v>
      </c>
      <c r="AB40" s="497">
        <f>+IF(ISBLANK(INDEX(WORLDCUP!$AD$101:$AD$147,MATCH(Y40,WORLDCUP!$Z$101:$Z$147))),"",INDEX(WORLDCUP!$AD$101:$AD$147,MATCH(Y40,WORLDCUP!$Z$101:$Z$147)))</f>
        <v>1</v>
      </c>
      <c r="AC40" s="498" t="str">
        <f>+IF(ISBLANK(INDEX(WORLDCUP!$AE$101:$AE$147,MATCH(Y40,WORLDCUP!$Z$101:$Z$147))),"","( "&amp;INDEX(WORLDCUP!$AE$101:$AE$147,MATCH(Y40,WORLDCUP!$Z$101:$Z$147))&amp;" )")</f>
        <v/>
      </c>
      <c r="AD40" s="499">
        <v>95</v>
      </c>
      <c r="AE40" s="500" t="str">
        <f ca="1">+MID(INDEX(WORLDCUP!$AA$101:$AA$147,MATCH(AD40,WORLDCUP!$Z$101:$Z$147,0)),1,3)</f>
        <v>Uru</v>
      </c>
      <c r="AF40" s="501">
        <f>+IF(ISBLANK(INDEX(WORLDCUP!$AC$101:$AC$147,MATCH(AD40,WORLDCUP!$Z$101:$Z$147))),"",INDEX(WORLDCUP!$AC$101:$AC$147,MATCH(AD40,WORLDCUP!$Z$101:$Z$147)))</f>
        <v>2</v>
      </c>
      <c r="AG40" s="502" t="str">
        <f>+IF(ISBLANK(INDEX(WORLDCUP!$AB$101:$AB$147,MATCH(AD40,WORLDCUP!$Z$101:$Z$147))),"","( "&amp;INDEX(WORLDCUP!$AB$101:$AB$147,MATCH(AD40,WORLDCUP!$Z$101:$Z$147))&amp;" )")</f>
        <v>( 4 )</v>
      </c>
      <c r="AH40" s="190"/>
      <c r="AI40" s="503"/>
      <c r="AJ40" s="503"/>
      <c r="AK40" s="543"/>
      <c r="AL40" s="459"/>
      <c r="AM40" s="475"/>
      <c r="AN40" s="475"/>
      <c r="AO40" s="475"/>
      <c r="AP40" s="190"/>
      <c r="AQ40" s="504"/>
      <c r="AR40" s="504"/>
      <c r="AS40" s="504"/>
      <c r="AT40" s="190"/>
      <c r="AU40" s="477"/>
      <c r="AV40" s="477"/>
      <c r="AW40" s="477"/>
      <c r="AX40" s="190"/>
      <c r="AY40" s="161"/>
      <c r="AZ40" s="161"/>
      <c r="BA40" s="161"/>
      <c r="BB40" s="161"/>
      <c r="BC40" s="161"/>
      <c r="BD40" s="161"/>
      <c r="BE40" s="161"/>
      <c r="BG40" s="506" t="str">
        <f ca="1">Horarios!Q39</f>
        <v>PO 2: IRQ/BOL/SUR</v>
      </c>
      <c r="BH40" s="507">
        <f t="shared" ca="1" si="0"/>
        <v>1</v>
      </c>
      <c r="BI40" s="507">
        <f ca="1">COUNTIF(Pool!$C$130:$C$161,Fixture!BG40)-BJ40-BK40-BL40-BM40-BN40-BO40</f>
        <v>0</v>
      </c>
      <c r="BJ40" s="508">
        <f ca="1">COUNTIF(Pool!$C$182:$C$197,Fixture!BG40)-BK40-BL40-BM40-BN40-BO40</f>
        <v>0</v>
      </c>
      <c r="BK40" s="509">
        <f ca="1">COUNTIF(Pool!$C$210:$C$217,Fixture!BG40)-BL40-BM40-BN40-BO40</f>
        <v>0</v>
      </c>
      <c r="BL40" s="509">
        <f ca="1">COUNTIF(Pool!$C$226:$C$229,Fixture!BG40)-BM40-BN40-BO40</f>
        <v>0</v>
      </c>
      <c r="BM40" s="507">
        <f ca="1">COUNTIF(Pool!$C$252,Fixture!BG40)</f>
        <v>0</v>
      </c>
      <c r="BN40" s="507">
        <f ca="1">COUNTIF(Pool!$C$251,Fixture!BG40)</f>
        <v>0</v>
      </c>
      <c r="BO40" s="510">
        <f ca="1">COUNTIF(Pool!$C$250,Fixture!BG40)</f>
        <v>0</v>
      </c>
    </row>
    <row r="41" spans="1:67">
      <c r="A41" s="190"/>
      <c r="B41" s="455"/>
      <c r="C41" s="540"/>
      <c r="D41" s="541"/>
      <c r="E41" s="541"/>
      <c r="F41" s="161"/>
      <c r="G41" s="161"/>
      <c r="H41" s="540"/>
      <c r="I41" s="161"/>
      <c r="J41" s="161"/>
      <c r="K41" s="161"/>
      <c r="L41" s="190"/>
      <c r="M41" s="190"/>
      <c r="N41" s="159"/>
      <c r="O41" s="540"/>
      <c r="P41" s="541"/>
      <c r="Q41" s="541"/>
      <c r="R41" s="161"/>
      <c r="S41" s="161"/>
      <c r="T41" s="540"/>
      <c r="U41" s="161"/>
      <c r="V41" s="161"/>
      <c r="W41" s="161"/>
      <c r="X41" s="190"/>
      <c r="Y41" s="190"/>
      <c r="Z41" s="469"/>
      <c r="AA41" s="513"/>
      <c r="AB41" s="513"/>
      <c r="AC41" s="514"/>
      <c r="AD41" s="190">
        <v>95</v>
      </c>
      <c r="AE41" s="500" t="str">
        <f ca="1">+MID(INDEX(WORLDCUP!$AF$101:$AF$147,MATCH(AD41,WORLDCUP!$Z$101:$Z$147,0)),1,3)</f>
        <v>Nue</v>
      </c>
      <c r="AF41" s="501">
        <f>+IF(ISBLANK(INDEX(WORLDCUP!$AD$101:$AD$147,MATCH(AD41,WORLDCUP!$Z$101:$Z$147))),"",INDEX(WORLDCUP!$AD$101:$AD$147,MATCH(AD41,WORLDCUP!$Z$101:$Z$147)))</f>
        <v>2</v>
      </c>
      <c r="AG41" s="559" t="str">
        <f>+IF(ISBLANK(INDEX(WORLDCUP!$AE$101:$AE$147,MATCH(AD41,WORLDCUP!$Z$101:$Z$147))),"","( "&amp;INDEX(WORLDCUP!$AE$101:$AE$147,MATCH(AD41,WORLDCUP!$Z$101:$Z$147))&amp;" )")</f>
        <v>( 6 )</v>
      </c>
      <c r="AH41" s="190"/>
      <c r="AI41" s="503"/>
      <c r="AJ41" s="503"/>
      <c r="AK41" s="543"/>
      <c r="AL41" s="459"/>
      <c r="AM41" s="475"/>
      <c r="AN41" s="475"/>
      <c r="AO41" s="475"/>
      <c r="AP41" s="190"/>
      <c r="AQ41" s="504"/>
      <c r="AR41" s="504"/>
      <c r="AS41" s="504"/>
      <c r="AT41" s="190"/>
      <c r="AU41" s="477"/>
      <c r="AV41" s="477"/>
      <c r="AW41" s="477"/>
      <c r="AX41" s="190"/>
      <c r="AY41" s="161"/>
      <c r="AZ41" s="161"/>
      <c r="BA41" s="161"/>
      <c r="BB41" s="161"/>
      <c r="BC41" s="161"/>
      <c r="BD41" s="161"/>
      <c r="BE41" s="161"/>
      <c r="BG41" s="506" t="str">
        <f ca="1">Horarios!Q40</f>
        <v>PO A: ITA/NIR/WAL/BIH</v>
      </c>
      <c r="BH41" s="507">
        <f t="shared" ca="1" si="0"/>
        <v>1</v>
      </c>
      <c r="BI41" s="507">
        <f ca="1">COUNTIF(Pool!$C$130:$C$161,Fixture!BG41)-BJ41-BK41-BL41-BM41-BN41-BO41</f>
        <v>0</v>
      </c>
      <c r="BJ41" s="508">
        <f ca="1">COUNTIF(Pool!$C$182:$C$197,Fixture!BG41)-BK41-BL41-BM41-BN41-BO41</f>
        <v>0</v>
      </c>
      <c r="BK41" s="509">
        <f ca="1">COUNTIF(Pool!$C$210:$C$217,Fixture!BG41)-BL41-BM41-BN41-BO41</f>
        <v>0</v>
      </c>
      <c r="BL41" s="509">
        <f ca="1">COUNTIF(Pool!$C$226:$C$229,Fixture!BG41)-BM41-BN41-BO41</f>
        <v>0</v>
      </c>
      <c r="BM41" s="507">
        <f ca="1">COUNTIF(Pool!$C$252,Fixture!BG41)</f>
        <v>0</v>
      </c>
      <c r="BN41" s="507">
        <f ca="1">COUNTIF(Pool!$C$251,Fixture!BG41)</f>
        <v>0</v>
      </c>
      <c r="BO41" s="510">
        <f ca="1">COUNTIF(Pool!$C$250,Fixture!BG41)</f>
        <v>0</v>
      </c>
    </row>
    <row r="42" spans="1:67" ht="15" thickBot="1">
      <c r="A42" s="190"/>
      <c r="B42" s="455"/>
      <c r="C42" s="540"/>
      <c r="D42" s="541"/>
      <c r="E42" s="541"/>
      <c r="F42" s="161"/>
      <c r="G42" s="161"/>
      <c r="H42" s="540"/>
      <c r="I42" s="161"/>
      <c r="J42" s="161"/>
      <c r="K42" s="161"/>
      <c r="L42" s="190"/>
      <c r="M42" s="190"/>
      <c r="N42" s="159"/>
      <c r="O42" s="540"/>
      <c r="P42" s="541"/>
      <c r="Q42" s="541"/>
      <c r="R42" s="161"/>
      <c r="S42" s="161"/>
      <c r="T42" s="540"/>
      <c r="U42" s="161"/>
      <c r="V42" s="161"/>
      <c r="W42" s="161"/>
      <c r="X42" s="190"/>
      <c r="Y42" s="190">
        <v>88</v>
      </c>
      <c r="Z42" s="469" t="s">
        <v>678</v>
      </c>
      <c r="AA42" s="470" t="str">
        <f ca="1">+MID(INDEX(WORLDCUP!$AA$101:$AA$147,MATCH(Y42,WORLDCUP!$Z$101:$Z$147,0)),1,3)</f>
        <v>Par</v>
      </c>
      <c r="AB42" s="516">
        <f>+IF(ISBLANK(INDEX(WORLDCUP!$AC$101:$AC$147,MATCH(Y42,WORLDCUP!$Z$101:$Z$147))),"",INDEX(WORLDCUP!$AC$101:$AC$147,MATCH(Y42,WORLDCUP!$Z$101:$Z$147)))</f>
        <v>0</v>
      </c>
      <c r="AC42" s="550" t="str">
        <f>+IF(ISBLANK(INDEX(WORLDCUP!$AB$101:$AB$147,MATCH(Y42,WORLDCUP!$Z$101:$Z$147))),"","( "&amp;INDEX(WORLDCUP!$AB$101:$AB$147,MATCH(Y42,WORLDCUP!$Z$101:$Z$147))&amp;" )")</f>
        <v/>
      </c>
      <c r="AD42" s="190"/>
      <c r="AE42" s="518"/>
      <c r="AF42" s="518"/>
      <c r="AG42" s="519"/>
      <c r="AH42" s="190"/>
      <c r="AI42" s="503"/>
      <c r="AJ42" s="503"/>
      <c r="AK42" s="543"/>
      <c r="AL42" s="459"/>
      <c r="AM42" s="475"/>
      <c r="AN42" s="475"/>
      <c r="AO42" s="475"/>
      <c r="AP42" s="190"/>
      <c r="AQ42" s="504"/>
      <c r="AR42" s="504"/>
      <c r="AS42" s="504"/>
      <c r="AT42" s="190"/>
      <c r="AU42" s="477"/>
      <c r="AV42" s="477"/>
      <c r="AW42" s="477"/>
      <c r="AX42" s="190"/>
      <c r="AY42" s="161"/>
      <c r="AZ42" s="161"/>
      <c r="BA42" s="161"/>
      <c r="BB42" s="161"/>
      <c r="BC42" s="161"/>
      <c r="BD42" s="161"/>
      <c r="BE42" s="161"/>
      <c r="BG42" s="506" t="str">
        <f ca="1">Horarios!Q41</f>
        <v>PO B: UKR/SWE/POL/ALB</v>
      </c>
      <c r="BH42" s="507">
        <f t="shared" ca="1" si="0"/>
        <v>1</v>
      </c>
      <c r="BI42" s="507">
        <f ca="1">COUNTIF(Pool!$C$130:$C$161,Fixture!BG42)-BJ42-BK42-BL42-BM42-BN42-BO42</f>
        <v>0</v>
      </c>
      <c r="BJ42" s="508">
        <f ca="1">COUNTIF(Pool!$C$182:$C$197,Fixture!BG42)-BK42-BL42-BM42-BN42-BO42</f>
        <v>0</v>
      </c>
      <c r="BK42" s="509">
        <f ca="1">COUNTIF(Pool!$C$210:$C$217,Fixture!BG42)-BL42-BM42-BN42-BO42</f>
        <v>0</v>
      </c>
      <c r="BL42" s="509">
        <f ca="1">COUNTIF(Pool!$C$226:$C$229,Fixture!BG42)-BM42-BN42-BO42</f>
        <v>0</v>
      </c>
      <c r="BM42" s="507">
        <f ca="1">COUNTIF(Pool!$C$252,Fixture!BG42)</f>
        <v>0</v>
      </c>
      <c r="BN42" s="507">
        <f ca="1">COUNTIF(Pool!$C$251,Fixture!BG42)</f>
        <v>0</v>
      </c>
      <c r="BO42" s="510">
        <f ca="1">COUNTIF(Pool!$C$250,Fixture!BG42)</f>
        <v>0</v>
      </c>
    </row>
    <row r="43" spans="1:67" ht="15" thickBot="1">
      <c r="A43" s="190">
        <v>11</v>
      </c>
      <c r="B43" s="609" t="s">
        <v>4</v>
      </c>
      <c r="C43" s="461" t="str">
        <f ca="1">+MID(INDEX(WORLDCUP!$AA$4:$AA$147,MATCH(A43,WORLDCUP!$AH$4:$AH$147,0)),1,3)</f>
        <v>Paí</v>
      </c>
      <c r="D43" s="462">
        <f>IF(ISBLANK(INDEX(WORLDCUP!$AC$4:$AC$147,MATCH(A43,WORLDCUP!$AH$4:$AH$147,0))),"",INDEX(WORLDCUP!$AC$4:$AC$147,MATCH(A43,WORLDCUP!$AH$4:$AH$147,0)))</f>
        <v>1</v>
      </c>
      <c r="E43" s="462">
        <f>IF(ISBLANK(INDEX(WORLDCUP!$AD$4:$AD$147,MATCH(A43,WORLDCUP!$AH$4:$AH$147,0))),"",INDEX(WORLDCUP!$AD$4:$AD$147,MATCH(A43,WORLDCUP!$AH$4:$AH$147,0)))</f>
        <v>0</v>
      </c>
      <c r="F43" s="463" t="str">
        <f ca="1">+MID(INDEX(WORLDCUP!$AF$4:$AF$147,MATCH(A43,WORLDCUP!$AH$4:$AH$147,0)),1,3)</f>
        <v>Jap</v>
      </c>
      <c r="G43" s="464"/>
      <c r="H43" s="465" t="str">
        <f>+H35</f>
        <v>Sel</v>
      </c>
      <c r="I43" s="466" t="str">
        <f>+I35</f>
        <v>Pts</v>
      </c>
      <c r="J43" s="466" t="str">
        <f>+J35</f>
        <v>DG</v>
      </c>
      <c r="K43" s="467" t="str">
        <f>+K35</f>
        <v>GF-GC</v>
      </c>
      <c r="L43" s="190"/>
      <c r="M43" s="190">
        <v>21</v>
      </c>
      <c r="N43" s="610" t="s">
        <v>254</v>
      </c>
      <c r="O43" s="461" t="str">
        <f ca="1">+MID(INDEX(WORLDCUP!$AA$4:$AA$147,MATCH(M43,WORLDCUP!$AH$4:$AH$147,0)),1,3)</f>
        <v>Ing</v>
      </c>
      <c r="P43" s="462">
        <f>IF(ISBLANK(INDEX(WORLDCUP!$AC$4:$AC$147,MATCH(M43,WORLDCUP!$AH$4:$AH$147,0))),"",INDEX(WORLDCUP!$AC$4:$AC$147,MATCH(M43,WORLDCUP!$AH$4:$AH$147,0)))</f>
        <v>1</v>
      </c>
      <c r="Q43" s="462">
        <f>IF(ISBLANK(INDEX(WORLDCUP!$AD$4:$AD$147,MATCH(M43,WORLDCUP!$AH$4:$AH$147,0))),"",INDEX(WORLDCUP!$AD$4:$AD$147,MATCH(M43,WORLDCUP!$AH$4:$AH$147,0)))</f>
        <v>1</v>
      </c>
      <c r="R43" s="463" t="str">
        <f ca="1">+MID(INDEX(WORLDCUP!$AF$4:$AF$147,MATCH(M43,WORLDCUP!$AH$4:$AH$147,0)),1,3)</f>
        <v>Cro</v>
      </c>
      <c r="S43" s="464"/>
      <c r="T43" s="465" t="str">
        <f>+T35</f>
        <v>Sel</v>
      </c>
      <c r="U43" s="466" t="str">
        <f>+U35</f>
        <v>Pts</v>
      </c>
      <c r="V43" s="466" t="str">
        <f>+V35</f>
        <v>DG</v>
      </c>
      <c r="W43" s="467" t="str">
        <f>+W35</f>
        <v>GF-GC</v>
      </c>
      <c r="X43" s="190"/>
      <c r="Y43" s="190">
        <v>88</v>
      </c>
      <c r="Z43" s="469" t="s">
        <v>687</v>
      </c>
      <c r="AA43" s="524" t="str">
        <f ca="1">+MID(INDEX(WORLDCUP!$AF$101:$AF$147,MATCH(Y43,WORLDCUP!$Z$101:$Z$147,0)),1,3)</f>
        <v>Nue</v>
      </c>
      <c r="AB43" s="525">
        <f>+IF(ISBLANK(INDEX(WORLDCUP!$AD$101:$AD$147,MATCH(Y43,WORLDCUP!$Z$101:$Z$147))),"",INDEX(WORLDCUP!$AD$101:$AD$147,MATCH(Y43,WORLDCUP!$Z$101:$Z$147)))</f>
        <v>1</v>
      </c>
      <c r="AC43" s="551" t="str">
        <f>+IF(ISBLANK(INDEX(WORLDCUP!$AE$101:$AE$147,MATCH(Y43,WORLDCUP!$Z$101:$Z$147))),"","( "&amp;INDEX(WORLDCUP!$AE$101:$AE$147,MATCH(Y43,WORLDCUP!$Z$101:$Z$147))&amp;" )")</f>
        <v/>
      </c>
      <c r="AD43" s="190"/>
      <c r="AE43" s="518"/>
      <c r="AF43" s="518"/>
      <c r="AG43" s="519"/>
      <c r="AH43" s="544">
        <v>100</v>
      </c>
      <c r="AI43" s="527" t="str">
        <f ca="1">+MID(INDEX(WORLDCUP!$AA$101:$AA$147,MATCH(AH43,WORLDCUP!$Z$101:$Z$147,0)),1,3)</f>
        <v>Nue</v>
      </c>
      <c r="AJ43" s="528">
        <f>+IF(ISBLANK(INDEX(WORLDCUP!$AC$101:$AC$147,MATCH(AH43,WORLDCUP!$Z$101:$Z$147))),"",INDEX(WORLDCUP!$AC$101:$AC$147,MATCH(AH43,WORLDCUP!$Z$101:$Z$147)))</f>
        <v>2</v>
      </c>
      <c r="AK43" s="564" t="str">
        <f>+IF(ISBLANK(INDEX(WORLDCUP!$AB$101:$AB$147,MATCH(AH43,WORLDCUP!$Z$101:$Z$147))),"","( "&amp;INDEX(WORLDCUP!$AB$101:$AB$147,MATCH(AH43,WORLDCUP!$Z$101:$Z$147))&amp;" )")</f>
        <v>( 2 )</v>
      </c>
      <c r="AL43" s="459"/>
      <c r="AM43" s="475"/>
      <c r="AN43" s="475"/>
      <c r="AO43" s="475"/>
      <c r="AP43" s="190"/>
      <c r="AQ43" s="504"/>
      <c r="AR43" s="504"/>
      <c r="AS43" s="504"/>
      <c r="AT43" s="190"/>
      <c r="AU43" s="477"/>
      <c r="AV43" s="477"/>
      <c r="AW43" s="477"/>
      <c r="AX43" s="190"/>
      <c r="AY43" s="161"/>
      <c r="AZ43" s="161"/>
      <c r="BA43" s="161"/>
      <c r="BB43" s="161"/>
      <c r="BC43" s="161"/>
      <c r="BD43" s="161"/>
      <c r="BE43" s="161"/>
      <c r="BG43" s="506" t="str">
        <f ca="1">Horarios!Q42</f>
        <v>PO C: TUR/ROU/SVK/KOS</v>
      </c>
      <c r="BH43" s="507">
        <f t="shared" ca="1" si="0"/>
        <v>1</v>
      </c>
      <c r="BI43" s="507">
        <f ca="1">COUNTIF(Pool!$C$130:$C$161,Fixture!BG43)-BJ43-BK43-BL43-BM43-BN43-BO43</f>
        <v>0</v>
      </c>
      <c r="BJ43" s="508">
        <f ca="1">COUNTIF(Pool!$C$182:$C$197,Fixture!BG43)-BK43-BL43-BM43-BN43-BO43</f>
        <v>0</v>
      </c>
      <c r="BK43" s="509">
        <f ca="1">COUNTIF(Pool!$C$210:$C$217,Fixture!BG43)-BL43-BM43-BN43-BO43</f>
        <v>0</v>
      </c>
      <c r="BL43" s="509">
        <f ca="1">COUNTIF(Pool!$C$226:$C$229,Fixture!BG43)-BM43-BN43-BO43</f>
        <v>0</v>
      </c>
      <c r="BM43" s="507">
        <f ca="1">COUNTIF(Pool!$C$252,Fixture!BG43)</f>
        <v>0</v>
      </c>
      <c r="BN43" s="507">
        <f ca="1">COUNTIF(Pool!$C$251,Fixture!BG43)</f>
        <v>0</v>
      </c>
      <c r="BO43" s="510">
        <f ca="1">COUNTIF(Pool!$C$250,Fixture!BG43)</f>
        <v>0</v>
      </c>
    </row>
    <row r="44" spans="1:67">
      <c r="A44" s="190">
        <v>12</v>
      </c>
      <c r="B44" s="611"/>
      <c r="C44" s="488" t="str">
        <f ca="1">+MID(INDEX(WORLDCUP!$AA$4:$AA$147,MATCH(A44,WORLDCUP!$AH$4:$AH$147,0)),1,3)</f>
        <v xml:space="preserve">PO </v>
      </c>
      <c r="D44" s="489">
        <f>IF(ISBLANK(INDEX(WORLDCUP!$AC$4:$AC$147,MATCH(A44,WORLDCUP!$AH$4:$AH$147,0))),"",INDEX(WORLDCUP!$AC$4:$AC$147,MATCH(A44,WORLDCUP!$AH$4:$AH$147,0)))</f>
        <v>1</v>
      </c>
      <c r="E44" s="489">
        <f>IF(ISBLANK(INDEX(WORLDCUP!$AD$4:$AD$147,MATCH(A44,WORLDCUP!$AH$4:$AH$147,0))),"",INDEX(WORLDCUP!$AD$4:$AD$147,MATCH(A44,WORLDCUP!$AH$4:$AH$147,0)))</f>
        <v>0</v>
      </c>
      <c r="F44" s="490" t="str">
        <f ca="1">+MID(INDEX(WORLDCUP!$AF$4:$AF$147,MATCH(A44,WORLDCUP!$AH$4:$AH$147,0)),1,3)</f>
        <v>Tún</v>
      </c>
      <c r="G44" s="491">
        <v>1</v>
      </c>
      <c r="H44" s="492" t="str">
        <f ca="1">+MID(INDEX(WORLDCUP!$AL$6:$AL$97,MATCH(L44,WORLDCUP!$AI$6:$AI$97,0)),1,3)</f>
        <v>Tún</v>
      </c>
      <c r="I44" s="493">
        <f ca="1">+INDEX(WORLDCUP!$AM$6:$AM$97,MATCH(L44,WORLDCUP!$AI$6:$AI$97,0))</f>
        <v>6</v>
      </c>
      <c r="J44" s="494">
        <f ca="1">+INDEX(WORLDCUP!$AT$6:$AT$97,MATCH(L44,WORLDCUP!$AI$6:$AI$97,0))</f>
        <v>2</v>
      </c>
      <c r="K44" s="495" t="str">
        <f ca="1">+INDEX(WORLDCUP!$AR$6:$AR$97,MATCH(L44,WORLDCUP!$AI$6:$AI$97,0))&amp;"-"&amp;INDEX(WORLDCUP!$AS$6:$AS$97,MATCH(L44,WORLDCUP!$AI$6:$AI$97,0))</f>
        <v>3-1</v>
      </c>
      <c r="L44" s="190" t="s">
        <v>683</v>
      </c>
      <c r="M44" s="190">
        <v>22</v>
      </c>
      <c r="N44" s="612"/>
      <c r="O44" s="488" t="str">
        <f ca="1">+MID(INDEX(WORLDCUP!$AA$4:$AA$147,MATCH(M44,WORLDCUP!$AH$4:$AH$147,0)),1,3)</f>
        <v>Gha</v>
      </c>
      <c r="P44" s="489">
        <f>IF(ISBLANK(INDEX(WORLDCUP!$AC$4:$AC$147,MATCH(M44,WORLDCUP!$AH$4:$AH$147,0))),"",INDEX(WORLDCUP!$AC$4:$AC$147,MATCH(M44,WORLDCUP!$AH$4:$AH$147,0)))</f>
        <v>1</v>
      </c>
      <c r="Q44" s="489">
        <f>IF(ISBLANK(INDEX(WORLDCUP!$AD$4:$AD$147,MATCH(M44,WORLDCUP!$AH$4:$AH$147,0))),"",INDEX(WORLDCUP!$AD$4:$AD$147,MATCH(M44,WORLDCUP!$AH$4:$AH$147,0)))</f>
        <v>0</v>
      </c>
      <c r="R44" s="490" t="str">
        <f ca="1">+MID(INDEX(WORLDCUP!$AF$4:$AF$147,MATCH(M44,WORLDCUP!$AH$4:$AH$147,0)),1,3)</f>
        <v>Pan</v>
      </c>
      <c r="S44" s="491">
        <v>1</v>
      </c>
      <c r="T44" s="492" t="str">
        <f ca="1">+MID(INDEX(WORLDCUP!$AL$6:$AL$97,MATCH(X44,WORLDCUP!$AI$6:$AI$97,0)),1,3)</f>
        <v>Ing</v>
      </c>
      <c r="U44" s="493">
        <f ca="1">+INDEX(WORLDCUP!$AM$6:$AM$97,MATCH(X44,WORLDCUP!$AI$6:$AI$97,0))</f>
        <v>7</v>
      </c>
      <c r="V44" s="494">
        <f ca="1">+INDEX(WORLDCUP!$AT$6:$AT$97,MATCH(X44,WORLDCUP!$AI$6:$AI$97,0))</f>
        <v>3</v>
      </c>
      <c r="W44" s="495" t="str">
        <f ca="1">+INDEX(WORLDCUP!$AR$6:$AR$97,MATCH(X44,WORLDCUP!$AI$6:$AI$97,0))&amp;"-"&amp;INDEX(WORLDCUP!$AS$6:$AS$97,MATCH(X44,WORLDCUP!$AI$6:$AI$97,0))</f>
        <v>4-1</v>
      </c>
      <c r="X44" s="190" t="s">
        <v>701</v>
      </c>
      <c r="Y44" s="190"/>
      <c r="Z44" s="469"/>
      <c r="AA44" s="538"/>
      <c r="AB44" s="538"/>
      <c r="AC44" s="538"/>
      <c r="AD44" s="190"/>
      <c r="AE44" s="473"/>
      <c r="AF44" s="473"/>
      <c r="AG44" s="519"/>
      <c r="AH44" s="190">
        <v>100</v>
      </c>
      <c r="AI44" s="527" t="str">
        <f ca="1">+MID(INDEX(WORLDCUP!$AF$101:$AF$147,MATCH(AH44,WORLDCUP!$Z$101:$Z$147,0)),1,3)</f>
        <v>Gha</v>
      </c>
      <c r="AJ44" s="528">
        <f>+IF(ISBLANK(INDEX(WORLDCUP!$AD$101:$AD$147,MATCH(AH44,WORLDCUP!$Z$101:$Z$147))),"",INDEX(WORLDCUP!$AD$101:$AD$147,MATCH(AH44,WORLDCUP!$Z$101:$Z$147)))</f>
        <v>2</v>
      </c>
      <c r="AK44" s="503" t="str">
        <f>+IF(ISBLANK(INDEX(WORLDCUP!$AE$101:$AE$147,MATCH(AH44,WORLDCUP!$Z$101:$Z$147))),"","( "&amp;INDEX(WORLDCUP!$AE$101:$AE$147,MATCH(AH44,WORLDCUP!$Z$101:$Z$147))&amp;" )")</f>
        <v>( 4 )</v>
      </c>
      <c r="AL44" s="459"/>
      <c r="AM44" s="475"/>
      <c r="AN44" s="475"/>
      <c r="AO44" s="475"/>
      <c r="AP44" s="190"/>
      <c r="AQ44" s="504"/>
      <c r="AR44" s="504"/>
      <c r="AS44" s="504"/>
      <c r="AT44" s="190"/>
      <c r="AU44" s="477"/>
      <c r="AV44" s="477"/>
      <c r="AW44" s="477"/>
      <c r="AX44" s="190"/>
      <c r="AY44" s="161"/>
      <c r="AZ44" s="161"/>
      <c r="BA44" s="161"/>
      <c r="BB44" s="161"/>
      <c r="BC44" s="161"/>
      <c r="BD44" s="161"/>
      <c r="BE44" s="161"/>
      <c r="BG44" s="506" t="str">
        <f ca="1">Horarios!Q43</f>
        <v>PO D: DEN/MKD/CZE/IRL</v>
      </c>
      <c r="BH44" s="507">
        <f t="shared" ca="1" si="0"/>
        <v>0</v>
      </c>
      <c r="BI44" s="507">
        <f ca="1">COUNTIF(Pool!$C$130:$C$161,Fixture!BG44)-BJ44-BK44-BL44-BM44-BN44-BO44</f>
        <v>0</v>
      </c>
      <c r="BJ44" s="508">
        <f ca="1">COUNTIF(Pool!$C$182:$C$197,Fixture!BG44)-BK44-BL44-BM44-BN44-BO44</f>
        <v>0</v>
      </c>
      <c r="BK44" s="509">
        <f ca="1">COUNTIF(Pool!$C$210:$C$217,Fixture!BG44)-BL44-BM44-BN44-BO44</f>
        <v>0</v>
      </c>
      <c r="BL44" s="509">
        <f ca="1">COUNTIF(Pool!$C$226:$C$229,Fixture!BG44)-BM44-BN44-BO44</f>
        <v>0</v>
      </c>
      <c r="BM44" s="507">
        <f ca="1">COUNTIF(Pool!$C$252,Fixture!BG44)</f>
        <v>1</v>
      </c>
      <c r="BN44" s="507">
        <f ca="1">COUNTIF(Pool!$C$251,Fixture!BG44)</f>
        <v>0</v>
      </c>
      <c r="BO44" s="510">
        <f ca="1">COUNTIF(Pool!$C$250,Fixture!BG44)</f>
        <v>0</v>
      </c>
    </row>
    <row r="45" spans="1:67" ht="15" thickBot="1">
      <c r="A45" s="190">
        <v>35</v>
      </c>
      <c r="B45" s="611"/>
      <c r="C45" s="488" t="str">
        <f ca="1">+MID(INDEX(WORLDCUP!$AA$4:$AA$147,MATCH(A45,WORLDCUP!$AH$4:$AH$147,0)),1,3)</f>
        <v>Tún</v>
      </c>
      <c r="D45" s="489">
        <f>IF(ISBLANK(INDEX(WORLDCUP!$AC$4:$AC$147,MATCH(A45,WORLDCUP!$AH$4:$AH$147,0))),"",INDEX(WORLDCUP!$AC$4:$AC$147,MATCH(A45,WORLDCUP!$AH$4:$AH$147,0)))</f>
        <v>1</v>
      </c>
      <c r="E45" s="489">
        <f>IF(ISBLANK(INDEX(WORLDCUP!$AD$4:$AD$147,MATCH(A45,WORLDCUP!$AH$4:$AH$147,0))),"",INDEX(WORLDCUP!$AD$4:$AD$147,MATCH(A45,WORLDCUP!$AH$4:$AH$147,0)))</f>
        <v>0</v>
      </c>
      <c r="F45" s="490" t="str">
        <f ca="1">+MID(INDEX(WORLDCUP!$AF$4:$AF$147,MATCH(A45,WORLDCUP!$AH$4:$AH$147,0)),1,3)</f>
        <v>Jap</v>
      </c>
      <c r="G45" s="511">
        <v>2</v>
      </c>
      <c r="H45" s="512" t="str">
        <f ca="1">+MID(INDEX(WORLDCUP!$AL$6:$AL$97,MATCH(L45,WORLDCUP!$AI$6:$AI$97,0)),1,3)</f>
        <v>Paí</v>
      </c>
      <c r="I45" s="41">
        <f ca="1">+INDEX(WORLDCUP!$AM$6:$AM$97,MATCH(L45,WORLDCUP!$AI$6:$AI$97,0))</f>
        <v>6</v>
      </c>
      <c r="J45" s="42">
        <f ca="1">+INDEX(WORLDCUP!$AT$6:$AT$97,MATCH(L45,WORLDCUP!$AI$6:$AI$97,0))</f>
        <v>0</v>
      </c>
      <c r="K45" s="48" t="str">
        <f ca="1">+INDEX(WORLDCUP!$AR$6:$AR$97,MATCH(L45,WORLDCUP!$AI$6:$AI$97,0))&amp;"-"&amp;INDEX(WORLDCUP!$AS$6:$AS$97,MATCH(L45,WORLDCUP!$AI$6:$AI$97,0))</f>
        <v>2-2</v>
      </c>
      <c r="L45" s="190" t="s">
        <v>684</v>
      </c>
      <c r="M45" s="190">
        <v>45</v>
      </c>
      <c r="N45" s="612"/>
      <c r="O45" s="488" t="str">
        <f ca="1">+MID(INDEX(WORLDCUP!$AA$4:$AA$147,MATCH(M45,WORLDCUP!$AH$4:$AH$147,0)),1,3)</f>
        <v>Ing</v>
      </c>
      <c r="P45" s="489">
        <f>IF(ISBLANK(INDEX(WORLDCUP!$AC$4:$AC$147,MATCH(M45,WORLDCUP!$AH$4:$AH$147,0))),"",INDEX(WORLDCUP!$AC$4:$AC$147,MATCH(M45,WORLDCUP!$AH$4:$AH$147,0)))</f>
        <v>1</v>
      </c>
      <c r="Q45" s="489">
        <f>IF(ISBLANK(INDEX(WORLDCUP!$AD$4:$AD$147,MATCH(M45,WORLDCUP!$AH$4:$AH$147,0))),"",INDEX(WORLDCUP!$AD$4:$AD$147,MATCH(M45,WORLDCUP!$AH$4:$AH$147,0)))</f>
        <v>0</v>
      </c>
      <c r="R45" s="490" t="str">
        <f ca="1">+MID(INDEX(WORLDCUP!$AF$4:$AF$147,MATCH(M45,WORLDCUP!$AH$4:$AH$147,0)),1,3)</f>
        <v>Gha</v>
      </c>
      <c r="S45" s="511">
        <v>2</v>
      </c>
      <c r="T45" s="512" t="str">
        <f ca="1">+MID(INDEX(WORLDCUP!$AL$6:$AL$97,MATCH(X45,WORLDCUP!$AI$6:$AI$97,0)),1,3)</f>
        <v>Cro</v>
      </c>
      <c r="U45" s="41">
        <f ca="1">+INDEX(WORLDCUP!$AM$6:$AM$97,MATCH(X45,WORLDCUP!$AI$6:$AI$97,0))</f>
        <v>5</v>
      </c>
      <c r="V45" s="42">
        <f ca="1">+INDEX(WORLDCUP!$AT$6:$AT$97,MATCH(X45,WORLDCUP!$AI$6:$AI$97,0))</f>
        <v>1</v>
      </c>
      <c r="W45" s="48" t="str">
        <f ca="1">+INDEX(WORLDCUP!$AR$6:$AR$97,MATCH(X45,WORLDCUP!$AI$6:$AI$97,0))&amp;"-"&amp;INDEX(WORLDCUP!$AS$6:$AS$97,MATCH(X45,WORLDCUP!$AI$6:$AI$97,0))</f>
        <v>3-2</v>
      </c>
      <c r="X45" s="190" t="s">
        <v>702</v>
      </c>
      <c r="Y45" s="190">
        <v>85</v>
      </c>
      <c r="Z45" s="469" t="s">
        <v>667</v>
      </c>
      <c r="AA45" s="470" t="str">
        <f ca="1">+MID(INDEX(WORLDCUP!$AA$101:$AA$147,MATCH(Y45,WORLDCUP!$Z$101:$Z$147,0)),1,3)</f>
        <v>Sui</v>
      </c>
      <c r="AB45" s="471">
        <f>+IF(ISBLANK(INDEX(WORLDCUP!$AC$101:$AC$147,MATCH(Y45,WORLDCUP!$Z$101:$Z$147))),"",INDEX(WORLDCUP!$AC$101:$AC$147,MATCH(Y45,WORLDCUP!$Z$101:$Z$147)))</f>
        <v>0</v>
      </c>
      <c r="AC45" s="542" t="str">
        <f>+IF(ISBLANK(INDEX(WORLDCUP!$AB$101:$AB$147,MATCH(Y45,WORLDCUP!$Z$101:$Z$147))),"","( "&amp;INDEX(WORLDCUP!$AB$101:$AB$147,MATCH(Y45,WORLDCUP!$Z$101:$Z$147))&amp;" )")</f>
        <v/>
      </c>
      <c r="AD45" s="188"/>
      <c r="AE45" s="473"/>
      <c r="AF45" s="473"/>
      <c r="AG45" s="519"/>
      <c r="AH45" s="190"/>
      <c r="AI45" s="503"/>
      <c r="AJ45" s="503"/>
      <c r="AK45" s="503"/>
      <c r="AL45" s="459"/>
      <c r="AM45" s="475"/>
      <c r="AN45" s="475"/>
      <c r="AO45" s="475"/>
      <c r="AP45" s="190"/>
      <c r="AQ45" s="504"/>
      <c r="AR45" s="504"/>
      <c r="AS45" s="504"/>
      <c r="AT45" s="190"/>
      <c r="AU45" s="477"/>
      <c r="AV45" s="477"/>
      <c r="AW45" s="477"/>
      <c r="AX45" s="190"/>
      <c r="AY45" s="161"/>
      <c r="AZ45" s="161"/>
      <c r="BA45" s="161"/>
      <c r="BB45" s="161"/>
      <c r="BC45" s="161"/>
      <c r="BD45" s="161"/>
      <c r="BE45" s="161"/>
      <c r="BG45" s="506" t="str">
        <f ca="1">Horarios!Q44</f>
        <v>Portugal</v>
      </c>
      <c r="BH45" s="507">
        <f t="shared" ca="1" si="0"/>
        <v>0</v>
      </c>
      <c r="BI45" s="507">
        <f ca="1">COUNTIF(Pool!$C$130:$C$161,Fixture!BG45)-BJ45-BK45-BL45-BM45-BN45-BO45</f>
        <v>1</v>
      </c>
      <c r="BJ45" s="508">
        <f ca="1">COUNTIF(Pool!$C$182:$C$197,Fixture!BG45)-BK45-BL45-BM45-BN45-BO45</f>
        <v>0</v>
      </c>
      <c r="BK45" s="509">
        <f ca="1">COUNTIF(Pool!$C$210:$C$217,Fixture!BG45)-BL45-BM45-BN45-BO45</f>
        <v>0</v>
      </c>
      <c r="BL45" s="509">
        <f ca="1">COUNTIF(Pool!$C$226:$C$229,Fixture!BG45)-BM45-BN45-BO45</f>
        <v>0</v>
      </c>
      <c r="BM45" s="507">
        <f ca="1">COUNTIF(Pool!$C$252,Fixture!BG45)</f>
        <v>0</v>
      </c>
      <c r="BN45" s="507">
        <f ca="1">COUNTIF(Pool!$C$251,Fixture!BG45)</f>
        <v>0</v>
      </c>
      <c r="BO45" s="510">
        <f ca="1">COUNTIF(Pool!$C$250,Fixture!BG45)</f>
        <v>0</v>
      </c>
    </row>
    <row r="46" spans="1:67" ht="15" thickBot="1">
      <c r="A46" s="190">
        <v>36</v>
      </c>
      <c r="B46" s="611"/>
      <c r="C46" s="488" t="str">
        <f ca="1">+MID(INDEX(WORLDCUP!$AA$4:$AA$147,MATCH(A46,WORLDCUP!$AH$4:$AH$147,0)),1,3)</f>
        <v>Paí</v>
      </c>
      <c r="D46" s="489">
        <f>IF(ISBLANK(INDEX(WORLDCUP!$AC$4:$AC$147,MATCH(A46,WORLDCUP!$AH$4:$AH$147,0))),"",INDEX(WORLDCUP!$AC$4:$AC$147,MATCH(A46,WORLDCUP!$AH$4:$AH$147,0)))</f>
        <v>1</v>
      </c>
      <c r="E46" s="489">
        <f>IF(ISBLANK(INDEX(WORLDCUP!$AD$4:$AD$147,MATCH(A46,WORLDCUP!$AH$4:$AH$147,0))),"",INDEX(WORLDCUP!$AD$4:$AD$147,MATCH(A46,WORLDCUP!$AH$4:$AH$147,0)))</f>
        <v>0</v>
      </c>
      <c r="F46" s="490" t="str">
        <f ca="1">+MID(INDEX(WORLDCUP!$AF$4:$AF$147,MATCH(A46,WORLDCUP!$AH$4:$AH$147,0)),1,3)</f>
        <v xml:space="preserve">PO </v>
      </c>
      <c r="G46" s="511">
        <v>3</v>
      </c>
      <c r="H46" s="512" t="str">
        <f ca="1">+MID(INDEX(WORLDCUP!$AL$6:$AL$97,MATCH(L46,WORLDCUP!$AI$6:$AI$97,0)),1,3)</f>
        <v>Jap</v>
      </c>
      <c r="I46" s="41">
        <f ca="1">+INDEX(WORLDCUP!$AM$6:$AM$97,MATCH(L46,WORLDCUP!$AI$6:$AI$97,0))</f>
        <v>3</v>
      </c>
      <c r="J46" s="42">
        <f ca="1">+INDEX(WORLDCUP!$AT$6:$AT$97,MATCH(L46,WORLDCUP!$AI$6:$AI$97,0))</f>
        <v>-1</v>
      </c>
      <c r="K46" s="48" t="str">
        <f ca="1">+INDEX(WORLDCUP!$AR$6:$AR$97,MATCH(L46,WORLDCUP!$AI$6:$AI$97,0))&amp;"-"&amp;INDEX(WORLDCUP!$AS$6:$AS$97,MATCH(L46,WORLDCUP!$AI$6:$AI$97,0))</f>
        <v>1-2</v>
      </c>
      <c r="L46" s="190" t="s">
        <v>96</v>
      </c>
      <c r="M46" s="190">
        <v>46</v>
      </c>
      <c r="N46" s="612"/>
      <c r="O46" s="488" t="str">
        <f ca="1">+MID(INDEX(WORLDCUP!$AA$4:$AA$147,MATCH(M46,WORLDCUP!$AH$4:$AH$147,0)),1,3)</f>
        <v>Pan</v>
      </c>
      <c r="P46" s="489">
        <f>IF(ISBLANK(INDEX(WORLDCUP!$AC$4:$AC$147,MATCH(M46,WORLDCUP!$AH$4:$AH$147,0))),"",INDEX(WORLDCUP!$AC$4:$AC$147,MATCH(M46,WORLDCUP!$AH$4:$AH$147,0)))</f>
        <v>0</v>
      </c>
      <c r="Q46" s="489">
        <f>IF(ISBLANK(INDEX(WORLDCUP!$AD$4:$AD$147,MATCH(M46,WORLDCUP!$AH$4:$AH$147,0))),"",INDEX(WORLDCUP!$AD$4:$AD$147,MATCH(M46,WORLDCUP!$AH$4:$AH$147,0)))</f>
        <v>1</v>
      </c>
      <c r="R46" s="490" t="str">
        <f ca="1">+MID(INDEX(WORLDCUP!$AF$4:$AF$147,MATCH(M46,WORLDCUP!$AH$4:$AH$147,0)),1,3)</f>
        <v>Cro</v>
      </c>
      <c r="S46" s="511">
        <v>3</v>
      </c>
      <c r="T46" s="512" t="str">
        <f ca="1">+MID(INDEX(WORLDCUP!$AL$6:$AL$97,MATCH(X46,WORLDCUP!$AI$6:$AI$97,0)),1,3)</f>
        <v>Gha</v>
      </c>
      <c r="U46" s="41">
        <f ca="1">+INDEX(WORLDCUP!$AM$6:$AM$97,MATCH(X46,WORLDCUP!$AI$6:$AI$97,0))</f>
        <v>4</v>
      </c>
      <c r="V46" s="42">
        <f ca="1">+INDEX(WORLDCUP!$AT$6:$AT$97,MATCH(X46,WORLDCUP!$AI$6:$AI$97,0))</f>
        <v>0</v>
      </c>
      <c r="W46" s="48" t="str">
        <f ca="1">+INDEX(WORLDCUP!$AR$6:$AR$97,MATCH(X46,WORLDCUP!$AI$6:$AI$97,0))&amp;"-"&amp;INDEX(WORLDCUP!$AS$6:$AS$97,MATCH(X46,WORLDCUP!$AI$6:$AI$97,0))</f>
        <v>2-2</v>
      </c>
      <c r="X46" s="190" t="s">
        <v>460</v>
      </c>
      <c r="Y46" s="190">
        <v>85</v>
      </c>
      <c r="Z46" s="469" t="s">
        <v>747</v>
      </c>
      <c r="AA46" s="470" t="str">
        <f ca="1">+MID(INDEX(WORLDCUP!$AF$101:$AF$147,MATCH(Y46,WORLDCUP!$Z$101:$Z$147,0)),1,IF(WORLDCUP!$H$113&lt;144,6,3))</f>
        <v>Egi</v>
      </c>
      <c r="AB46" s="497">
        <f>+IF(ISBLANK(INDEX(WORLDCUP!$AD$101:$AD$147,MATCH(Y46,WORLDCUP!$Z$101:$Z$147))),"",INDEX(WORLDCUP!$AD$101:$AD$147,MATCH(Y46,WORLDCUP!$Z$101:$Z$147)))</f>
        <v>1</v>
      </c>
      <c r="AC46" s="498" t="str">
        <f>+IF(ISBLANK(INDEX(WORLDCUP!$AE$101:$AE$147,MATCH(Y46,WORLDCUP!$Z$101:$Z$147))),"","( "&amp;INDEX(WORLDCUP!$AE$101:$AE$147,MATCH(Y46,WORLDCUP!$Z$101:$Z$147))&amp;" )")</f>
        <v/>
      </c>
      <c r="AD46" s="499">
        <v>96</v>
      </c>
      <c r="AE46" s="500" t="str">
        <f ca="1">+MID(INDEX(WORLDCUP!$AA$101:$AA$147,MATCH(AD46,WORLDCUP!$Z$101:$Z$147,0)),1,3)</f>
        <v>Egi</v>
      </c>
      <c r="AF46" s="501">
        <f>+IF(ISBLANK(INDEX(WORLDCUP!$AC$101:$AC$147,MATCH(AD46,WORLDCUP!$Z$101:$Z$147))),"",INDEX(WORLDCUP!$AC$101:$AC$147,MATCH(AD46,WORLDCUP!$Z$101:$Z$147)))</f>
        <v>2</v>
      </c>
      <c r="AG46" s="545" t="str">
        <f>+IF(ISBLANK(INDEX(WORLDCUP!$AB$101:$AB$147,MATCH(AD46,WORLDCUP!$Z$101:$Z$147))),"","( "&amp;INDEX(WORLDCUP!$AB$101:$AB$147,MATCH(AD46,WORLDCUP!$Z$101:$Z$147))&amp;" )")</f>
        <v/>
      </c>
      <c r="AH46" s="190"/>
      <c r="AI46" s="503"/>
      <c r="AJ46" s="503"/>
      <c r="AK46" s="503"/>
      <c r="AL46" s="459"/>
      <c r="AM46" s="475"/>
      <c r="AN46" s="475"/>
      <c r="AO46" s="475"/>
      <c r="AP46" s="190"/>
      <c r="AQ46" s="504"/>
      <c r="AR46" s="504"/>
      <c r="AS46" s="504"/>
      <c r="AT46" s="190"/>
      <c r="AU46" s="477"/>
      <c r="AV46" s="477"/>
      <c r="AW46" s="477"/>
      <c r="AX46" s="190"/>
      <c r="AY46" s="161"/>
      <c r="AZ46" s="161"/>
      <c r="BA46" s="161"/>
      <c r="BB46" s="161"/>
      <c r="BC46" s="161"/>
      <c r="BD46" s="161"/>
      <c r="BE46" s="161"/>
      <c r="BG46" s="506" t="str">
        <f ca="1">Horarios!Q45</f>
        <v>Senegal</v>
      </c>
      <c r="BH46" s="507">
        <f t="shared" ca="1" si="0"/>
        <v>0</v>
      </c>
      <c r="BI46" s="507">
        <f ca="1">COUNTIF(Pool!$C$130:$C$161,Fixture!BG46)-BJ46-BK46-BL46-BM46-BN46-BO46</f>
        <v>0</v>
      </c>
      <c r="BJ46" s="508">
        <f ca="1">COUNTIF(Pool!$C$182:$C$197,Fixture!BG46)-BK46-BL46-BM46-BN46-BO46</f>
        <v>0</v>
      </c>
      <c r="BK46" s="509">
        <f ca="1">COUNTIF(Pool!$C$210:$C$217,Fixture!BG46)-BL46-BM46-BN46-BO46</f>
        <v>0</v>
      </c>
      <c r="BL46" s="509">
        <f ca="1">COUNTIF(Pool!$C$226:$C$229,Fixture!BG46)-BM46-BN46-BO46</f>
        <v>1</v>
      </c>
      <c r="BM46" s="507">
        <f ca="1">COUNTIF(Pool!$C$252,Fixture!BG46)</f>
        <v>0</v>
      </c>
      <c r="BN46" s="507">
        <f ca="1">COUNTIF(Pool!$C$251,Fixture!BG46)</f>
        <v>0</v>
      </c>
      <c r="BO46" s="510">
        <f ca="1">COUNTIF(Pool!$C$250,Fixture!BG46)</f>
        <v>0</v>
      </c>
    </row>
    <row r="47" spans="1:67">
      <c r="A47" s="190">
        <v>57</v>
      </c>
      <c r="B47" s="611"/>
      <c r="C47" s="488" t="str">
        <f ca="1">+MID(INDEX(WORLDCUP!$AA$4:$AA$147,MATCH(A47,WORLDCUP!$AH$4:$AH$147,0)),1,3)</f>
        <v>Jap</v>
      </c>
      <c r="D47" s="489">
        <f>IF(ISBLANK(INDEX(WORLDCUP!$AC$4:$AC$147,MATCH(A47,WORLDCUP!$AH$4:$AH$147,0))),"",INDEX(WORLDCUP!$AC$4:$AC$147,MATCH(A47,WORLDCUP!$AH$4:$AH$147,0)))</f>
        <v>1</v>
      </c>
      <c r="E47" s="489">
        <f>IF(ISBLANK(INDEX(WORLDCUP!$AD$4:$AD$147,MATCH(A47,WORLDCUP!$AH$4:$AH$147,0))),"",INDEX(WORLDCUP!$AD$4:$AD$147,MATCH(A47,WORLDCUP!$AH$4:$AH$147,0)))</f>
        <v>0</v>
      </c>
      <c r="F47" s="490" t="str">
        <f ca="1">+MID(INDEX(WORLDCUP!$AF$4:$AF$147,MATCH(A47,WORLDCUP!$AH$4:$AH$147,0)),1,3)</f>
        <v xml:space="preserve">PO </v>
      </c>
      <c r="G47" s="511">
        <v>4</v>
      </c>
      <c r="H47" s="520" t="str">
        <f ca="1">+MID(INDEX(WORLDCUP!$AL$6:$AL$97,MATCH(L47,WORLDCUP!$AI$6:$AI$97,0)),1,3)</f>
        <v xml:space="preserve">PO </v>
      </c>
      <c r="I47" s="521">
        <f ca="1">+INDEX(WORLDCUP!$AM$6:$AM$97,MATCH(L47,WORLDCUP!$AI$6:$AI$97,0))</f>
        <v>3</v>
      </c>
      <c r="J47" s="522">
        <f ca="1">+INDEX(WORLDCUP!$AT$6:$AT$97,MATCH(L47,WORLDCUP!$AI$6:$AI$97,0))</f>
        <v>-1</v>
      </c>
      <c r="K47" s="523" t="str">
        <f ca="1">+INDEX(WORLDCUP!$AR$6:$AR$97,MATCH(L47,WORLDCUP!$AI$6:$AI$97,0))&amp;"-"&amp;INDEX(WORLDCUP!$AS$6:$AS$97,MATCH(L47,WORLDCUP!$AI$6:$AI$97,0))</f>
        <v>1-2</v>
      </c>
      <c r="L47" s="190" t="s">
        <v>685</v>
      </c>
      <c r="M47" s="190">
        <v>67</v>
      </c>
      <c r="N47" s="612"/>
      <c r="O47" s="488" t="str">
        <f ca="1">+MID(INDEX(WORLDCUP!$AA$4:$AA$147,MATCH(M47,WORLDCUP!$AH$4:$AH$147,0)),1,3)</f>
        <v>Pan</v>
      </c>
      <c r="P47" s="489">
        <f>IF(ISBLANK(INDEX(WORLDCUP!$AC$4:$AC$147,MATCH(M47,WORLDCUP!$AH$4:$AH$147,0))),"",INDEX(WORLDCUP!$AC$4:$AC$147,MATCH(M47,WORLDCUP!$AH$4:$AH$147,0)))</f>
        <v>0</v>
      </c>
      <c r="Q47" s="489">
        <f>IF(ISBLANK(INDEX(WORLDCUP!$AD$4:$AD$147,MATCH(M47,WORLDCUP!$AH$4:$AH$147,0))),"",INDEX(WORLDCUP!$AD$4:$AD$147,MATCH(M47,WORLDCUP!$AH$4:$AH$147,0)))</f>
        <v>2</v>
      </c>
      <c r="R47" s="490" t="str">
        <f ca="1">+MID(INDEX(WORLDCUP!$AF$4:$AF$147,MATCH(M47,WORLDCUP!$AH$4:$AH$147,0)),1,3)</f>
        <v>Ing</v>
      </c>
      <c r="S47" s="511">
        <v>4</v>
      </c>
      <c r="T47" s="520" t="str">
        <f ca="1">+MID(INDEX(WORLDCUP!$AL$6:$AL$97,MATCH(X47,WORLDCUP!$AI$6:$AI$97,0)),1,3)</f>
        <v>Pan</v>
      </c>
      <c r="U47" s="521">
        <f ca="1">+INDEX(WORLDCUP!$AM$6:$AM$97,MATCH(X47,WORLDCUP!$AI$6:$AI$97,0))</f>
        <v>0</v>
      </c>
      <c r="V47" s="522">
        <f ca="1">+INDEX(WORLDCUP!$AT$6:$AT$97,MATCH(X47,WORLDCUP!$AI$6:$AI$97,0))</f>
        <v>-4</v>
      </c>
      <c r="W47" s="523" t="str">
        <f ca="1">+INDEX(WORLDCUP!$AR$6:$AR$97,MATCH(X47,WORLDCUP!$AI$6:$AI$97,0))&amp;"-"&amp;INDEX(WORLDCUP!$AS$6:$AS$97,MATCH(X47,WORLDCUP!$AI$6:$AI$97,0))</f>
        <v>0-4</v>
      </c>
      <c r="X47" s="190" t="s">
        <v>703</v>
      </c>
      <c r="Y47" s="190"/>
      <c r="Z47" s="469"/>
      <c r="AA47" s="513"/>
      <c r="AB47" s="513"/>
      <c r="AC47" s="514"/>
      <c r="AD47" s="190">
        <v>96</v>
      </c>
      <c r="AE47" s="500" t="str">
        <f ca="1">+MID(INDEX(WORLDCUP!$AF$101:$AF$147,MATCH(AD47,WORLDCUP!$Z$101:$Z$147,0)),1,3)</f>
        <v>Gha</v>
      </c>
      <c r="AF47" s="501">
        <f>+IF(ISBLANK(INDEX(WORLDCUP!$AD$101:$AD$147,MATCH(AD47,WORLDCUP!$Z$101:$Z$147))),"",INDEX(WORLDCUP!$AD$101:$AD$147,MATCH(AD47,WORLDCUP!$Z$101:$Z$147)))</f>
        <v>3</v>
      </c>
      <c r="AG47" s="518" t="str">
        <f>+IF(ISBLANK(INDEX(WORLDCUP!$AE$101:$AE$147,MATCH(AD47,WORLDCUP!$Z$101:$Z$147))),"","( "&amp;INDEX(WORLDCUP!$AE$101:$AE$147,MATCH(AD47,WORLDCUP!$Z$101:$Z$147))&amp;" )")</f>
        <v/>
      </c>
      <c r="AH47" s="190"/>
      <c r="AI47" s="503"/>
      <c r="AJ47" s="503"/>
      <c r="AK47" s="503"/>
      <c r="AL47" s="459"/>
      <c r="AM47" s="475"/>
      <c r="AN47" s="475"/>
      <c r="AO47" s="475"/>
      <c r="AP47" s="190"/>
      <c r="AQ47" s="504"/>
      <c r="AR47" s="504"/>
      <c r="AS47" s="504"/>
      <c r="AT47" s="190"/>
      <c r="AU47" s="477"/>
      <c r="AV47" s="477"/>
      <c r="AW47" s="477"/>
      <c r="AX47" s="190"/>
      <c r="AY47" s="161"/>
      <c r="AZ47" s="161"/>
      <c r="BA47" s="161"/>
      <c r="BB47" s="161"/>
      <c r="BC47" s="161"/>
      <c r="BD47" s="161"/>
      <c r="BE47" s="161"/>
      <c r="BG47" s="506" t="str">
        <f ca="1">Horarios!Q46</f>
        <v>Sudáfrica</v>
      </c>
      <c r="BH47" s="507">
        <f t="shared" ca="1" si="0"/>
        <v>0</v>
      </c>
      <c r="BI47" s="507">
        <f ca="1">COUNTIF(Pool!$C$130:$C$161,Fixture!BG47)-BJ47-BK47-BL47-BM47-BN47-BO47</f>
        <v>1</v>
      </c>
      <c r="BJ47" s="508">
        <f ca="1">COUNTIF(Pool!$C$182:$C$197,Fixture!BG47)-BK47-BL47-BM47-BN47-BO47</f>
        <v>0</v>
      </c>
      <c r="BK47" s="509">
        <f ca="1">COUNTIF(Pool!$C$210:$C$217,Fixture!BG47)-BL47-BM47-BN47-BO47</f>
        <v>0</v>
      </c>
      <c r="BL47" s="509">
        <f ca="1">COUNTIF(Pool!$C$226:$C$229,Fixture!BG47)-BM47-BN47-BO47</f>
        <v>0</v>
      </c>
      <c r="BM47" s="507">
        <f ca="1">COUNTIF(Pool!$C$252,Fixture!BG47)</f>
        <v>0</v>
      </c>
      <c r="BN47" s="507">
        <f ca="1">COUNTIF(Pool!$C$251,Fixture!BG47)</f>
        <v>0</v>
      </c>
      <c r="BO47" s="510">
        <f ca="1">COUNTIF(Pool!$C$250,Fixture!BG47)</f>
        <v>0</v>
      </c>
    </row>
    <row r="48" spans="1:67" ht="15" thickBot="1">
      <c r="A48" s="190">
        <v>58</v>
      </c>
      <c r="B48" s="613"/>
      <c r="C48" s="531" t="str">
        <f ca="1">+MID(INDEX(WORLDCUP!$AA$4:$AA$147,MATCH(A48,WORLDCUP!$AH$4:$AH$147,0)),1,3)</f>
        <v>Tún</v>
      </c>
      <c r="D48" s="532">
        <f>IF(ISBLANK(INDEX(WORLDCUP!$AC$4:$AC$147,MATCH(A48,WORLDCUP!$AH$4:$AH$147,0))),"",INDEX(WORLDCUP!$AC$4:$AC$147,MATCH(A48,WORLDCUP!$AH$4:$AH$147,0)))</f>
        <v>2</v>
      </c>
      <c r="E48" s="532">
        <f>IF(ISBLANK(INDEX(WORLDCUP!$AD$4:$AD$147,MATCH(A48,WORLDCUP!$AH$4:$AH$147,0))),"",INDEX(WORLDCUP!$AD$4:$AD$147,MATCH(A48,WORLDCUP!$AH$4:$AH$147,0)))</f>
        <v>0</v>
      </c>
      <c r="F48" s="533" t="str">
        <f ca="1">+MID(INDEX(WORLDCUP!$AF$4:$AF$147,MATCH(A48,WORLDCUP!$AH$4:$AH$147,0)),1,3)</f>
        <v>Paí</v>
      </c>
      <c r="G48" s="534"/>
      <c r="H48" s="534"/>
      <c r="I48" s="535"/>
      <c r="J48" s="535"/>
      <c r="K48" s="536"/>
      <c r="L48" s="190"/>
      <c r="M48" s="190">
        <v>68</v>
      </c>
      <c r="N48" s="614"/>
      <c r="O48" s="531" t="str">
        <f ca="1">+MID(INDEX(WORLDCUP!$AA$4:$AA$147,MATCH(M48,WORLDCUP!$AH$4:$AH$147,0)),1,3)</f>
        <v>Cro</v>
      </c>
      <c r="P48" s="532">
        <f>IF(ISBLANK(INDEX(WORLDCUP!$AC$4:$AC$147,MATCH(M48,WORLDCUP!$AH$4:$AH$147,0))),"",INDEX(WORLDCUP!$AC$4:$AC$147,MATCH(M48,WORLDCUP!$AH$4:$AH$147,0)))</f>
        <v>1</v>
      </c>
      <c r="Q48" s="532">
        <f>IF(ISBLANK(INDEX(WORLDCUP!$AD$4:$AD$147,MATCH(M48,WORLDCUP!$AH$4:$AH$147,0))),"",INDEX(WORLDCUP!$AD$4:$AD$147,MATCH(M48,WORLDCUP!$AH$4:$AH$147,0)))</f>
        <v>1</v>
      </c>
      <c r="R48" s="533" t="str">
        <f ca="1">+MID(INDEX(WORLDCUP!$AF$4:$AF$147,MATCH(M48,WORLDCUP!$AH$4:$AH$147,0)),1,3)</f>
        <v>Gha</v>
      </c>
      <c r="S48" s="534"/>
      <c r="T48" s="534"/>
      <c r="U48" s="535"/>
      <c r="V48" s="535"/>
      <c r="W48" s="536"/>
      <c r="X48" s="190"/>
      <c r="Y48" s="190">
        <v>87</v>
      </c>
      <c r="Z48" s="469" t="s">
        <v>698</v>
      </c>
      <c r="AA48" s="470" t="str">
        <f ca="1">+MID(INDEX(WORLDCUP!$AA$101:$AA$147,MATCH(Y48,WORLDCUP!$Z$101:$Z$147,0)),1,3)</f>
        <v>Col</v>
      </c>
      <c r="AB48" s="516">
        <f>+IF(ISBLANK(INDEX(WORLDCUP!$AC$101:$AC$147,MATCH(Y48,WORLDCUP!$Z$101:$Z$147))),"",INDEX(WORLDCUP!$AC$101:$AC$147,MATCH(Y48,WORLDCUP!$Z$101:$Z$147)))</f>
        <v>0</v>
      </c>
      <c r="AC48" s="550" t="str">
        <f>+IF(ISBLANK(INDEX(WORLDCUP!$AB$101:$AB$147,MATCH(Y48,WORLDCUP!$Z$101:$Z$147))),"","( "&amp;INDEX(WORLDCUP!$AB$101:$AB$147,MATCH(Y48,WORLDCUP!$Z$101:$Z$147))&amp;" )")</f>
        <v/>
      </c>
      <c r="AD48" s="190"/>
      <c r="AE48" s="473"/>
      <c r="AF48" s="473"/>
      <c r="AG48" s="473"/>
      <c r="AH48" s="190"/>
      <c r="AI48" s="503"/>
      <c r="AJ48" s="503"/>
      <c r="AK48" s="503"/>
      <c r="AL48" s="459"/>
      <c r="AM48" s="475"/>
      <c r="AN48" s="475"/>
      <c r="AO48" s="475"/>
      <c r="AP48" s="190"/>
      <c r="AQ48" s="504"/>
      <c r="AR48" s="504"/>
      <c r="AS48" s="504"/>
      <c r="AT48" s="190"/>
      <c r="AU48" s="477"/>
      <c r="AV48" s="477"/>
      <c r="AW48" s="477"/>
      <c r="AX48" s="190"/>
      <c r="AY48" s="161"/>
      <c r="AZ48" s="161"/>
      <c r="BA48" s="161"/>
      <c r="BB48" s="161"/>
      <c r="BC48" s="161"/>
      <c r="BD48" s="161"/>
      <c r="BE48" s="161"/>
      <c r="BG48" s="506" t="str">
        <f ca="1">Horarios!Q47</f>
        <v>Suiza</v>
      </c>
      <c r="BH48" s="507">
        <f t="shared" ca="1" si="0"/>
        <v>0</v>
      </c>
      <c r="BI48" s="507">
        <f ca="1">COUNTIF(Pool!$C$130:$C$161,Fixture!BG48)-BJ48-BK48-BL48-BM48-BN48-BO48</f>
        <v>1</v>
      </c>
      <c r="BJ48" s="508">
        <f ca="1">COUNTIF(Pool!$C$182:$C$197,Fixture!BG48)-BK48-BL48-BM48-BN48-BO48</f>
        <v>0</v>
      </c>
      <c r="BK48" s="509">
        <f ca="1">COUNTIF(Pool!$C$210:$C$217,Fixture!BG48)-BL48-BM48-BN48-BO48</f>
        <v>0</v>
      </c>
      <c r="BL48" s="509">
        <f ca="1">COUNTIF(Pool!$C$226:$C$229,Fixture!BG48)-BM48-BN48-BO48</f>
        <v>0</v>
      </c>
      <c r="BM48" s="507">
        <f ca="1">COUNTIF(Pool!$C$252,Fixture!BG48)</f>
        <v>0</v>
      </c>
      <c r="BN48" s="507">
        <f ca="1">COUNTIF(Pool!$C$251,Fixture!BG48)</f>
        <v>0</v>
      </c>
      <c r="BO48" s="510">
        <f ca="1">COUNTIF(Pool!$C$250,Fixture!BG48)</f>
        <v>0</v>
      </c>
    </row>
    <row r="49" spans="1:67">
      <c r="A49" s="190"/>
      <c r="B49" s="159"/>
      <c r="C49" s="161"/>
      <c r="D49" s="161"/>
      <c r="E49" s="161"/>
      <c r="F49" s="161"/>
      <c r="G49" s="161"/>
      <c r="H49" s="161"/>
      <c r="I49" s="161"/>
      <c r="J49" s="161"/>
      <c r="K49" s="161"/>
      <c r="L49" s="161"/>
      <c r="M49" s="190"/>
      <c r="N49" s="159"/>
      <c r="O49" s="161"/>
      <c r="P49" s="161"/>
      <c r="Q49" s="161"/>
      <c r="R49" s="161"/>
      <c r="S49" s="161"/>
      <c r="T49" s="161"/>
      <c r="U49" s="161"/>
      <c r="V49" s="161"/>
      <c r="W49" s="161"/>
      <c r="X49" s="190"/>
      <c r="Y49" s="190">
        <v>87</v>
      </c>
      <c r="Z49" s="469" t="s">
        <v>748</v>
      </c>
      <c r="AA49" s="524" t="str">
        <f ca="1">+MID(INDEX(WORLDCUP!$AF$101:$AF$147,MATCH(Y49,WORLDCUP!$Z$101:$Z$147,0)),1,IF(WORLDCUP!$H$113&lt;144,6,3))</f>
        <v>Gha</v>
      </c>
      <c r="AB49" s="525">
        <f>+IF(ISBLANK(INDEX(WORLDCUP!$AD$101:$AD$147,MATCH(Y49,WORLDCUP!$Z$101:$Z$147))),"",INDEX(WORLDCUP!$AD$101:$AD$147,MATCH(Y49,WORLDCUP!$Z$101:$Z$147)))</f>
        <v>1</v>
      </c>
      <c r="AC49" s="551" t="str">
        <f>+IF(ISBLANK(INDEX(WORLDCUP!$AE$101:$AE$147,MATCH(Y49,WORLDCUP!$Z$101:$Z$147))),"","( "&amp;INDEX(WORLDCUP!$AE$101:$AE$147,MATCH(Y49,WORLDCUP!$Z$101:$Z$147))&amp;" )")</f>
        <v/>
      </c>
      <c r="AD49" s="190"/>
      <c r="AE49" s="473"/>
      <c r="AF49" s="473"/>
      <c r="AG49" s="473"/>
      <c r="AH49" s="190"/>
      <c r="AI49" s="503"/>
      <c r="AJ49" s="503"/>
      <c r="AK49" s="503"/>
      <c r="AL49" s="459"/>
      <c r="AM49" s="475"/>
      <c r="AN49" s="475"/>
      <c r="AO49" s="475"/>
      <c r="AP49" s="190"/>
      <c r="AQ49" s="504"/>
      <c r="AR49" s="504"/>
      <c r="AS49" s="504"/>
      <c r="AT49" s="190"/>
      <c r="AU49" s="477"/>
      <c r="AV49" s="477"/>
      <c r="AW49" s="477"/>
      <c r="AX49" s="190"/>
      <c r="AY49" s="161"/>
      <c r="AZ49" s="161"/>
      <c r="BA49" s="161"/>
      <c r="BB49" s="161"/>
      <c r="BC49" s="161"/>
      <c r="BD49" s="161"/>
      <c r="BE49" s="161"/>
      <c r="BG49" s="506" t="str">
        <f ca="1">Horarios!Q48</f>
        <v>Túnez</v>
      </c>
      <c r="BH49" s="507">
        <f t="shared" ca="1" si="0"/>
        <v>0</v>
      </c>
      <c r="BI49" s="507">
        <f ca="1">COUNTIF(Pool!$C$130:$C$161,Fixture!BG49)-BJ49-BK49-BL49-BM49-BN49-BO49</f>
        <v>1</v>
      </c>
      <c r="BJ49" s="508">
        <f ca="1">COUNTIF(Pool!$C$182:$C$197,Fixture!BG49)-BK49-BL49-BM49-BN49-BO49</f>
        <v>0</v>
      </c>
      <c r="BK49" s="509">
        <f ca="1">COUNTIF(Pool!$C$210:$C$217,Fixture!BG49)-BL49-BM49-BN49-BO49</f>
        <v>0</v>
      </c>
      <c r="BL49" s="509">
        <f ca="1">COUNTIF(Pool!$C$226:$C$229,Fixture!BG49)-BM49-BN49-BO49</f>
        <v>0</v>
      </c>
      <c r="BM49" s="507">
        <f ca="1">COUNTIF(Pool!$C$252,Fixture!BG49)</f>
        <v>0</v>
      </c>
      <c r="BN49" s="507">
        <f ca="1">COUNTIF(Pool!$C$251,Fixture!BG49)</f>
        <v>0</v>
      </c>
      <c r="BO49" s="510">
        <f ca="1">COUNTIF(Pool!$C$250,Fixture!BG49)</f>
        <v>0</v>
      </c>
    </row>
    <row r="50" spans="1:67" ht="15" customHeight="1">
      <c r="A50" s="190"/>
      <c r="B50" s="159"/>
      <c r="C50" s="161"/>
      <c r="D50" s="161"/>
      <c r="E50" s="161"/>
      <c r="F50" s="161"/>
      <c r="G50" s="161"/>
      <c r="H50" s="161"/>
      <c r="I50" s="161"/>
      <c r="J50" s="161"/>
      <c r="K50" s="161"/>
      <c r="L50" s="161"/>
      <c r="M50" s="190"/>
      <c r="N50" s="159"/>
      <c r="O50" s="161"/>
      <c r="P50" s="161"/>
      <c r="Q50" s="161"/>
      <c r="R50" s="161"/>
      <c r="S50" s="161"/>
      <c r="T50" s="161"/>
      <c r="U50" s="161"/>
      <c r="V50" s="161"/>
      <c r="W50" s="161"/>
      <c r="X50" s="161"/>
      <c r="Y50" s="188"/>
      <c r="Z50" s="188"/>
      <c r="AA50" s="615"/>
      <c r="AB50" s="615"/>
      <c r="AC50" s="615"/>
      <c r="AD50" s="190"/>
      <c r="AE50" s="616"/>
      <c r="AF50" s="616"/>
      <c r="AG50" s="616"/>
      <c r="AH50" s="190"/>
      <c r="AI50" s="503"/>
      <c r="AJ50" s="503"/>
      <c r="AK50" s="503"/>
      <c r="AL50" s="459"/>
      <c r="AM50" s="475"/>
      <c r="AN50" s="475"/>
      <c r="AO50" s="475"/>
      <c r="AP50" s="190"/>
      <c r="AQ50" s="476"/>
      <c r="AR50" s="476"/>
      <c r="AS50" s="476"/>
      <c r="AT50" s="190"/>
      <c r="AU50" s="617"/>
      <c r="AV50" s="617"/>
      <c r="AW50" s="617"/>
      <c r="AX50" s="190"/>
      <c r="AY50" s="161"/>
      <c r="AZ50" s="161"/>
      <c r="BA50" s="161"/>
      <c r="BB50" s="161"/>
      <c r="BC50" s="161"/>
      <c r="BD50" s="161"/>
      <c r="BE50" s="161"/>
      <c r="BG50" s="506" t="str">
        <f ca="1">Horarios!Q49</f>
        <v>Uruguay</v>
      </c>
      <c r="BH50" s="507">
        <f t="shared" ca="1" si="0"/>
        <v>0</v>
      </c>
      <c r="BI50" s="507">
        <f ca="1">COUNTIF(Pool!$C$130:$C$161,Fixture!BG50)-BJ50-BK50-BL50-BM50-BN50-BO50</f>
        <v>0</v>
      </c>
      <c r="BJ50" s="508">
        <f ca="1">COUNTIF(Pool!$C$182:$C$197,Fixture!BG50)-BK50-BL50-BM50-BN50-BO50</f>
        <v>1</v>
      </c>
      <c r="BK50" s="509">
        <f ca="1">COUNTIF(Pool!$C$210:$C$217,Fixture!BG50)-BL50-BM50-BN50-BO50</f>
        <v>0</v>
      </c>
      <c r="BL50" s="509">
        <f ca="1">COUNTIF(Pool!$C$226:$C$229,Fixture!BG50)-BM50-BN50-BO50</f>
        <v>0</v>
      </c>
      <c r="BM50" s="507">
        <f ca="1">COUNTIF(Pool!$C$252,Fixture!BG50)</f>
        <v>0</v>
      </c>
      <c r="BN50" s="507">
        <f ca="1">COUNTIF(Pool!$C$251,Fixture!BG50)</f>
        <v>0</v>
      </c>
      <c r="BO50" s="510">
        <f ca="1">COUNTIF(Pool!$C$250,Fixture!BG50)</f>
        <v>0</v>
      </c>
    </row>
    <row r="51" spans="1:67">
      <c r="A51" s="190"/>
      <c r="B51" s="159"/>
      <c r="C51" s="161"/>
      <c r="D51" s="161"/>
      <c r="E51" s="161"/>
      <c r="F51" s="161"/>
      <c r="G51" s="161"/>
      <c r="H51" s="161"/>
      <c r="I51" s="161"/>
      <c r="J51" s="161"/>
      <c r="K51" s="161"/>
      <c r="L51" s="161"/>
      <c r="M51" s="190"/>
      <c r="N51" s="159"/>
      <c r="O51" s="161"/>
      <c r="P51" s="161"/>
      <c r="Q51" s="161"/>
      <c r="R51" s="161"/>
      <c r="S51" s="161"/>
      <c r="T51" s="161"/>
      <c r="U51" s="161"/>
      <c r="V51" s="161"/>
      <c r="W51" s="161"/>
      <c r="X51" s="161"/>
      <c r="Y51" s="159"/>
      <c r="Z51" s="159"/>
      <c r="AA51" s="161"/>
      <c r="AB51" s="161"/>
      <c r="AC51" s="161"/>
      <c r="AD51" s="159"/>
      <c r="AE51" s="161"/>
      <c r="AF51" s="161"/>
      <c r="AG51" s="161"/>
      <c r="AH51" s="159"/>
      <c r="AI51" s="161"/>
      <c r="AJ51" s="161"/>
      <c r="AK51" s="161"/>
      <c r="AL51" s="159"/>
      <c r="AM51" s="161"/>
      <c r="AN51" s="161"/>
      <c r="AO51" s="161"/>
      <c r="AP51" s="159"/>
      <c r="AQ51" s="161"/>
      <c r="AR51" s="161"/>
      <c r="AS51" s="161"/>
      <c r="AT51" s="159"/>
      <c r="AU51" s="161"/>
      <c r="AV51" s="161"/>
      <c r="AW51" s="161"/>
      <c r="AX51" s="161"/>
      <c r="AY51" s="161"/>
      <c r="AZ51" s="161"/>
      <c r="BA51" s="161"/>
      <c r="BB51" s="161"/>
      <c r="BC51" s="161"/>
      <c r="BD51" s="161"/>
      <c r="BE51" s="161"/>
      <c r="BG51" s="618" t="str">
        <f ca="1">Horarios!Q50</f>
        <v>Uzbekistán</v>
      </c>
      <c r="BH51" s="619">
        <f t="shared" ca="1" si="0"/>
        <v>1</v>
      </c>
      <c r="BI51" s="619">
        <f ca="1">COUNTIF(Pool!$C$130:$C$161,Fixture!BG51)-BJ51-BK51-BL51-BM51-BN51-BO51</f>
        <v>0</v>
      </c>
      <c r="BJ51" s="620">
        <f ca="1">COUNTIF(Pool!$C$182:$C$197,Fixture!BG51)-BK51-BL51-BM51-BN51-BO51</f>
        <v>0</v>
      </c>
      <c r="BK51" s="621">
        <f ca="1">COUNTIF(Pool!$C$210:$C$217,Fixture!BG51)-BL51-BM51-BN51-BO51</f>
        <v>0</v>
      </c>
      <c r="BL51" s="621">
        <f ca="1">COUNTIF(Pool!$C$226:$C$229,Fixture!BG51)-BM51-BN51-BO51</f>
        <v>0</v>
      </c>
      <c r="BM51" s="619">
        <f ca="1">COUNTIF(Pool!$C$252,Fixture!BG51)</f>
        <v>0</v>
      </c>
      <c r="BN51" s="619">
        <f ca="1">COUNTIF(Pool!$C$251,Fixture!BG51)</f>
        <v>0</v>
      </c>
      <c r="BO51" s="622">
        <f ca="1">COUNTIF(Pool!$C$250,Fixture!BG51)</f>
        <v>0</v>
      </c>
    </row>
    <row r="52" spans="1:67">
      <c r="A52" s="190"/>
      <c r="B52" s="159"/>
      <c r="C52" s="161"/>
      <c r="D52" s="161"/>
      <c r="E52" s="161"/>
      <c r="F52" s="161"/>
      <c r="G52" s="161"/>
      <c r="H52" s="161"/>
      <c r="I52" s="161"/>
      <c r="J52" s="161"/>
      <c r="K52" s="161"/>
      <c r="L52" s="161"/>
      <c r="M52" s="190"/>
      <c r="N52" s="159"/>
      <c r="O52" s="161"/>
      <c r="P52" s="161"/>
      <c r="Q52" s="161"/>
      <c r="R52" s="161"/>
      <c r="S52" s="161"/>
      <c r="T52" s="161"/>
      <c r="U52" s="161"/>
      <c r="V52" s="161"/>
      <c r="W52" s="161"/>
      <c r="X52" s="161"/>
      <c r="Y52" s="159"/>
      <c r="Z52" s="159"/>
      <c r="AA52" s="161"/>
      <c r="AB52" s="161"/>
      <c r="AC52" s="161"/>
      <c r="AD52" s="159"/>
      <c r="AE52" s="161"/>
      <c r="AF52" s="161"/>
      <c r="AG52" s="161"/>
      <c r="AH52" s="159"/>
      <c r="AI52" s="161"/>
      <c r="AJ52" s="161"/>
      <c r="AK52" s="161"/>
      <c r="AL52" s="159"/>
      <c r="AM52" s="161"/>
      <c r="AN52" s="161"/>
      <c r="AO52" s="161"/>
      <c r="AP52" s="159"/>
      <c r="AQ52" s="161"/>
      <c r="AR52" s="161"/>
      <c r="AS52" s="161"/>
      <c r="AT52" s="159"/>
      <c r="AU52" s="161"/>
      <c r="AV52" s="161"/>
      <c r="AW52" s="161"/>
      <c r="AX52" s="161"/>
      <c r="AY52" s="161"/>
      <c r="AZ52" s="161"/>
      <c r="BA52" s="161"/>
      <c r="BB52" s="161"/>
      <c r="BC52" s="161"/>
      <c r="BD52" s="161"/>
      <c r="BE52" s="161"/>
    </row>
    <row r="53" spans="1:67">
      <c r="W53" s="10"/>
      <c r="X53" s="3"/>
    </row>
    <row r="54" spans="1:67">
      <c r="W54" s="10"/>
      <c r="X54" s="3"/>
      <c r="BB54" s="2"/>
    </row>
    <row r="55" spans="1:67">
      <c r="W55" s="10"/>
      <c r="X55" s="3"/>
      <c r="BB55" s="2"/>
    </row>
    <row r="56" spans="1:67">
      <c r="W56" s="10"/>
      <c r="X56" s="3"/>
      <c r="BB56" s="2"/>
    </row>
    <row r="57" spans="1:67">
      <c r="W57" s="10"/>
      <c r="X57" s="3"/>
      <c r="BB57" s="2"/>
    </row>
    <row r="58" spans="1:67">
      <c r="W58" s="10"/>
      <c r="X58" s="3"/>
      <c r="BB58" s="2"/>
    </row>
    <row r="59" spans="1:67">
      <c r="W59" s="10"/>
      <c r="X59" s="3"/>
      <c r="BB59" s="2"/>
    </row>
    <row r="60" spans="1:67">
      <c r="W60" s="10"/>
      <c r="X60" s="3"/>
      <c r="BB60" s="2"/>
    </row>
    <row r="61" spans="1:67">
      <c r="W61" s="10"/>
      <c r="X61" s="3"/>
      <c r="BB61" s="2"/>
    </row>
    <row r="62" spans="1:67">
      <c r="W62" s="10"/>
      <c r="X62" s="3"/>
      <c r="BB62" s="2"/>
    </row>
    <row r="63" spans="1:67">
      <c r="W63" s="10"/>
      <c r="X63" s="3"/>
      <c r="BB63" s="2"/>
    </row>
    <row r="64" spans="1:67">
      <c r="W64" s="10"/>
      <c r="X64" s="3"/>
      <c r="BB64" s="2"/>
    </row>
    <row r="65" spans="23:54">
      <c r="W65" s="10"/>
      <c r="X65" s="3"/>
      <c r="BB65" s="2"/>
    </row>
    <row r="66" spans="23:54">
      <c r="W66" s="10"/>
      <c r="X66" s="3"/>
      <c r="BB66" s="2"/>
    </row>
    <row r="67" spans="23:54">
      <c r="W67" s="10"/>
      <c r="X67" s="3"/>
      <c r="BB67" s="2"/>
    </row>
    <row r="68" spans="23:54">
      <c r="W68" s="10"/>
      <c r="X68" s="3"/>
      <c r="BB68" s="2"/>
    </row>
    <row r="69" spans="23:54">
      <c r="W69" s="10"/>
      <c r="X69" s="3"/>
      <c r="BB69" s="2"/>
    </row>
    <row r="70" spans="23:54">
      <c r="W70" s="10"/>
      <c r="X70" s="3"/>
      <c r="BB70" s="2"/>
    </row>
    <row r="71" spans="23:54">
      <c r="W71" s="10"/>
      <c r="X71" s="3"/>
      <c r="BB71" s="2"/>
    </row>
    <row r="72" spans="23:54">
      <c r="W72" s="10"/>
      <c r="X72" s="3"/>
      <c r="BB72" s="2"/>
    </row>
    <row r="73" spans="23:54">
      <c r="W73" s="10"/>
      <c r="X73" s="3"/>
      <c r="BB73" s="2"/>
    </row>
    <row r="74" spans="23:54">
      <c r="W74" s="10"/>
      <c r="X74" s="3"/>
      <c r="BB74" s="2"/>
    </row>
    <row r="75" spans="23:54">
      <c r="W75" s="10"/>
      <c r="X75" s="3"/>
      <c r="BB75" s="2"/>
    </row>
    <row r="76" spans="23:54">
      <c r="W76" s="10"/>
      <c r="X76" s="3"/>
      <c r="BB76" s="2"/>
    </row>
    <row r="77" spans="23:54">
      <c r="W77" s="10"/>
      <c r="X77" s="3"/>
      <c r="BB77" s="2"/>
    </row>
    <row r="78" spans="23:54">
      <c r="W78" s="10"/>
      <c r="X78" s="3"/>
      <c r="BB78" s="2"/>
    </row>
    <row r="79" spans="23:54">
      <c r="W79" s="10"/>
      <c r="X79" s="3"/>
      <c r="BB79" s="2"/>
    </row>
    <row r="80" spans="23:54">
      <c r="W80" s="10"/>
      <c r="X80" s="3"/>
      <c r="BB80" s="2"/>
    </row>
    <row r="81" spans="23:54">
      <c r="W81" s="10"/>
      <c r="X81" s="3"/>
      <c r="BB81" s="2"/>
    </row>
    <row r="82" spans="23:54">
      <c r="W82" s="10"/>
      <c r="X82" s="3"/>
      <c r="BB82" s="2"/>
    </row>
    <row r="83" spans="23:54">
      <c r="W83" s="10"/>
      <c r="X83" s="3"/>
      <c r="BB83" s="2"/>
    </row>
    <row r="84" spans="23:54">
      <c r="W84" s="10"/>
      <c r="X84" s="3"/>
      <c r="BB84" s="2"/>
    </row>
    <row r="85" spans="23:54">
      <c r="W85" s="10"/>
      <c r="X85" s="3"/>
      <c r="BB85" s="2"/>
    </row>
    <row r="86" spans="23:54">
      <c r="W86" s="10"/>
      <c r="X86" s="3"/>
      <c r="BB86" s="2"/>
    </row>
    <row r="87" spans="23:54">
      <c r="W87" s="10"/>
      <c r="X87" s="3"/>
      <c r="BB87" s="2"/>
    </row>
    <row r="88" spans="23:54">
      <c r="W88" s="10"/>
      <c r="X88" s="3"/>
      <c r="BB88" s="2"/>
    </row>
    <row r="89" spans="23:54">
      <c r="W89" s="10"/>
      <c r="X89" s="3"/>
      <c r="BB89" s="2"/>
    </row>
    <row r="90" spans="23:54">
      <c r="W90" s="10"/>
      <c r="X90" s="3"/>
      <c r="BB90" s="2"/>
    </row>
    <row r="91" spans="23:54">
      <c r="W91" s="10"/>
      <c r="X91" s="3"/>
      <c r="BB91" s="2"/>
    </row>
    <row r="92" spans="23:54">
      <c r="W92" s="10"/>
      <c r="X92" s="3"/>
      <c r="BB92" s="2"/>
    </row>
    <row r="93" spans="23:54">
      <c r="W93" s="10"/>
      <c r="X93" s="3"/>
      <c r="BB93" s="2"/>
    </row>
    <row r="94" spans="23:54">
      <c r="W94" s="10"/>
      <c r="X94" s="3"/>
      <c r="BB94" s="2"/>
    </row>
    <row r="95" spans="23:54">
      <c r="W95" s="10"/>
      <c r="X95" s="3"/>
      <c r="BB95" s="2"/>
    </row>
    <row r="96" spans="23:54">
      <c r="W96" s="10"/>
      <c r="X96" s="3"/>
      <c r="BB96" s="2"/>
    </row>
    <row r="97" spans="23:54">
      <c r="W97" s="10"/>
      <c r="X97" s="3"/>
      <c r="BB97" s="2"/>
    </row>
    <row r="98" spans="23:54">
      <c r="W98" s="10"/>
      <c r="X98" s="3"/>
      <c r="BB98" s="2"/>
    </row>
    <row r="99" spans="23:54">
      <c r="W99" s="10"/>
      <c r="X99" s="3"/>
      <c r="BB99" s="2"/>
    </row>
    <row r="100" spans="23:54">
      <c r="W100" s="10"/>
      <c r="X100" s="3"/>
      <c r="BB100" s="2"/>
    </row>
    <row r="101" spans="23:54">
      <c r="W101" s="10"/>
      <c r="X101" s="3"/>
      <c r="BB101" s="2"/>
    </row>
    <row r="102" spans="23:54">
      <c r="W102" s="10"/>
      <c r="X102" s="3"/>
      <c r="BB102" s="2"/>
    </row>
    <row r="103" spans="23:54">
      <c r="W103" s="10"/>
      <c r="X103" s="3"/>
      <c r="BB103" s="2"/>
    </row>
    <row r="104" spans="23:54">
      <c r="W104" s="10"/>
      <c r="X104" s="3"/>
      <c r="BB104" s="2"/>
    </row>
    <row r="105" spans="23:54">
      <c r="W105" s="10"/>
      <c r="X105" s="3"/>
      <c r="BB105" s="2"/>
    </row>
  </sheetData>
  <sheetProtection algorithmName="SHA-512" hashValue="s4TokhqNesRpqp4RtntSbTDxQuSfD8pzdfpCexjoeM7EQS2MJIM2pjgMIfuFK5ok+HphyVDAMMTHo07n4ZGA8A==" saltValue="scAnPZbxAgsl6Yb66skNmw==" spinCount="100000" sheet="1" objects="1" scenarios="1" formatColumns="0"/>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FL895" zoomScaleNormal="100" workbookViewId="0">
      <selection activeCell="FN897" sqref="FN897"/>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9" bestFit="1" customWidth="1"/>
    <col min="2" max="2" width="5" style="19" customWidth="1"/>
    <col min="3" max="3" width="12.44140625" style="19" customWidth="1"/>
    <col min="4" max="4" width="13.109375" style="19" customWidth="1"/>
    <col min="5" max="5" width="12.33203125" style="19" bestFit="1" customWidth="1"/>
    <col min="6" max="6" width="10.77734375" style="19"/>
    <col min="7" max="7" width="12.33203125" style="19" bestFit="1" customWidth="1"/>
    <col min="8" max="9" width="10.77734375" style="19"/>
    <col min="10" max="10" width="13.44140625" style="19" customWidth="1"/>
    <col min="11" max="15" width="10.77734375" style="19"/>
    <col min="16" max="16" width="4.77734375" style="19" bestFit="1" customWidth="1"/>
    <col min="17" max="17" width="17.77734375" style="19" bestFit="1" customWidth="1"/>
    <col min="18" max="18" width="11.109375" style="19" bestFit="1" customWidth="1"/>
    <col min="19" max="19" width="11" style="19" bestFit="1" customWidth="1"/>
    <col min="20" max="20" width="10.33203125" style="19" bestFit="1" customWidth="1"/>
    <col min="21" max="21" width="10.44140625" style="19" customWidth="1"/>
    <col min="22" max="22" width="10.33203125" style="19" customWidth="1"/>
    <col min="23" max="23" width="3.33203125" style="19" bestFit="1" customWidth="1"/>
    <col min="24" max="26" width="10.77734375" style="19"/>
    <col min="27" max="27" width="6.44140625" style="19" customWidth="1"/>
    <col min="28" max="33" width="10.77734375" style="19"/>
    <col min="34" max="34" width="3.33203125" style="19" bestFit="1" customWidth="1"/>
    <col min="35" max="16384" width="10.77734375" style="19"/>
  </cols>
  <sheetData>
    <row r="1" spans="1:35" ht="15" thickBot="1">
      <c r="K1" s="445" t="s">
        <v>393</v>
      </c>
      <c r="L1" s="445" t="s">
        <v>385</v>
      </c>
      <c r="M1" s="445" t="s">
        <v>158</v>
      </c>
      <c r="N1" s="445" t="s">
        <v>390</v>
      </c>
      <c r="P1" s="19" t="s">
        <v>1367</v>
      </c>
      <c r="AC1" s="650"/>
      <c r="AE1" s="650"/>
    </row>
    <row r="2" spans="1:35" ht="15" thickBot="1">
      <c r="K2" s="445" t="s">
        <v>384</v>
      </c>
      <c r="L2" s="445" t="str">
        <f>Idiomas!D249</f>
        <v>Estados Unidos</v>
      </c>
      <c r="M2" s="445">
        <f ca="1">+INDEX($R$3:$R$86,MATCH($L$2,$Q$3:$Q$86,0))</f>
        <v>-4</v>
      </c>
      <c r="N2" s="446">
        <f ca="1">+INDEX($S$3:$S$86,MATCH($L$2,$Q$3:$Q$86,0))</f>
        <v>0.16666666666666666</v>
      </c>
      <c r="P2" s="430" t="s">
        <v>386</v>
      </c>
      <c r="Q2" s="430" t="s">
        <v>385</v>
      </c>
      <c r="R2" s="430" t="s">
        <v>370</v>
      </c>
      <c r="S2" s="430" t="s">
        <v>389</v>
      </c>
      <c r="T2" s="430" t="s">
        <v>371</v>
      </c>
      <c r="U2" s="430" t="s">
        <v>372</v>
      </c>
      <c r="V2" s="430" t="s">
        <v>388</v>
      </c>
      <c r="W2" s="447" t="s">
        <v>387</v>
      </c>
      <c r="X2" s="430" t="s">
        <v>371</v>
      </c>
      <c r="AA2" s="430" t="s">
        <v>386</v>
      </c>
      <c r="AB2" s="430" t="s">
        <v>385</v>
      </c>
      <c r="AC2" s="430" t="s">
        <v>370</v>
      </c>
      <c r="AD2" s="430" t="s">
        <v>389</v>
      </c>
      <c r="AE2" s="430" t="s">
        <v>371</v>
      </c>
      <c r="AF2" s="430" t="s">
        <v>372</v>
      </c>
      <c r="AG2" s="430" t="s">
        <v>388</v>
      </c>
      <c r="AH2" s="447" t="s">
        <v>387</v>
      </c>
      <c r="AI2" s="430" t="s">
        <v>85</v>
      </c>
    </row>
    <row r="3" spans="1:35" ht="15.6">
      <c r="A3" s="10" t="s">
        <v>41</v>
      </c>
      <c r="C3" s="19">
        <f ca="1">+IFERROR(INDEX($P$3:$P$86,MATCH(Home!$C$8,Horarios!$Q$3:$Q$86,0)),INDEX($P$3:$P$86,MATCH(1,$T$3:$T$86,0)))</f>
        <v>20</v>
      </c>
      <c r="K3" s="19" t="s">
        <v>157</v>
      </c>
      <c r="P3" s="19">
        <v>1</v>
      </c>
      <c r="Q3" s="19" t="str">
        <f ca="1">+INDEX($AB$3:$AB$50,MATCH(P3,$AI$3:$AI$50,0))</f>
        <v>Alemania</v>
      </c>
      <c r="R3" s="19">
        <f t="shared" ref="R3:W18" ca="1" si="0">+INDEX($AC$3:$AH$86,MATCH($Q3,$AB$3:$AB$86,0),MATCH(R$2,$AC$2:$AH$2,0))</f>
        <v>2</v>
      </c>
      <c r="S3" s="448">
        <f t="shared" ca="1" si="0"/>
        <v>8.3333333333333329E-2</v>
      </c>
      <c r="T3" s="19">
        <f t="shared" ca="1" si="0"/>
        <v>0</v>
      </c>
      <c r="U3" s="19">
        <f t="shared" ca="1" si="0"/>
        <v>6</v>
      </c>
      <c r="V3" s="448">
        <f t="shared" ca="1" si="0"/>
        <v>0.25</v>
      </c>
      <c r="W3" s="19">
        <f t="shared" ca="1" si="0"/>
        <v>1</v>
      </c>
      <c r="X3" s="19">
        <f t="shared" ref="X3:X50" ca="1" si="1">IFERROR(IF(Q3=$L$2,1,0),0)</f>
        <v>0</v>
      </c>
      <c r="AA3" s="19">
        <v>1</v>
      </c>
      <c r="AB3" s="19" t="str">
        <f ca="1">Idiomas!D199</f>
        <v>Alemania</v>
      </c>
      <c r="AC3" s="449">
        <v>2</v>
      </c>
      <c r="AD3" s="448">
        <f>ABS(AC3/24)</f>
        <v>8.3333333333333329E-2</v>
      </c>
      <c r="AE3" s="19">
        <v>0</v>
      </c>
      <c r="AF3" s="19">
        <f ca="1">AC3-$M$2</f>
        <v>6</v>
      </c>
      <c r="AG3" s="448">
        <f ca="1">ABS(AF3/24)</f>
        <v>0.25</v>
      </c>
      <c r="AH3" s="19">
        <f ca="1">IF(AC3&gt;$M$2,1,IF(AC3=$M$2,0,-1))</f>
        <v>1</v>
      </c>
      <c r="AI3" s="19">
        <f ca="1">+COUNTIF($AB$3:$AB$50,"&lt;="&amp;AB3)</f>
        <v>1</v>
      </c>
    </row>
    <row r="4" spans="1:35" ht="15.6">
      <c r="A4" s="439">
        <v>46184.625</v>
      </c>
      <c r="C4" s="439">
        <f t="shared" ref="C4:C9" ca="1" si="2">A4+INDEX($V$3:$V$86,MATCH($C$3,$P$3:$P$86,0))*INDEX($W$3:$W$86,MATCH($C$3,$P$3:$P$86,0))</f>
        <v>46184.875</v>
      </c>
      <c r="D4" s="439"/>
      <c r="E4" s="439"/>
      <c r="P4" s="19">
        <v>2</v>
      </c>
      <c r="Q4" s="19" t="str">
        <f t="shared" ref="Q4:Q50" ca="1" si="3">+INDEX($AB$3:$AB$50,MATCH(P4,$AI$3:$AI$50,0))</f>
        <v>Arabia Saudita</v>
      </c>
      <c r="R4" s="19">
        <f t="shared" ca="1" si="0"/>
        <v>3</v>
      </c>
      <c r="S4" s="448">
        <f t="shared" ca="1" si="0"/>
        <v>0.125</v>
      </c>
      <c r="T4" s="19">
        <f t="shared" ca="1" si="0"/>
        <v>0</v>
      </c>
      <c r="U4" s="19">
        <f t="shared" ca="1" si="0"/>
        <v>7</v>
      </c>
      <c r="V4" s="448">
        <f t="shared" ca="1" si="0"/>
        <v>0.29166666666666669</v>
      </c>
      <c r="W4" s="19">
        <f t="shared" ca="1" si="0"/>
        <v>1</v>
      </c>
      <c r="X4" s="19">
        <f t="shared" ca="1" si="1"/>
        <v>0</v>
      </c>
      <c r="AA4" s="19">
        <v>2</v>
      </c>
      <c r="AB4" s="19" t="str">
        <f ca="1">Idiomas!D200</f>
        <v>Arabia Saudita</v>
      </c>
      <c r="AC4" s="449">
        <v>3</v>
      </c>
      <c r="AD4" s="448">
        <f t="shared" ref="AD4:AD67" si="4">ABS(AC4/24)</f>
        <v>0.125</v>
      </c>
      <c r="AE4" s="19">
        <v>0</v>
      </c>
      <c r="AF4" s="19">
        <f t="shared" ref="AF4:AF50" ca="1" si="5">AC4-$M$2</f>
        <v>7</v>
      </c>
      <c r="AG4" s="448">
        <f t="shared" ref="AG4:AG67" ca="1" si="6">ABS(AF4/24)</f>
        <v>0.29166666666666669</v>
      </c>
      <c r="AH4" s="19">
        <f t="shared" ref="AH4:AH50" ca="1" si="7">IF(AC4&gt;$M$2,1,IF(AC4=$M$2,0,-1))</f>
        <v>1</v>
      </c>
      <c r="AI4" s="19">
        <f t="shared" ref="AI4:AI50" ca="1" si="8">+COUNTIF($AB$3:$AB$50,"&lt;="&amp;AB4)</f>
        <v>2</v>
      </c>
    </row>
    <row r="5" spans="1:35" ht="15.6">
      <c r="A5" s="439">
        <v>46184.916666666664</v>
      </c>
      <c r="C5" s="439">
        <f t="shared" ca="1" si="2"/>
        <v>46185.166666666664</v>
      </c>
      <c r="D5" s="439"/>
      <c r="E5" s="439"/>
      <c r="P5" s="19">
        <v>3</v>
      </c>
      <c r="Q5" s="19" t="str">
        <f t="shared" ca="1" si="3"/>
        <v>Argelia</v>
      </c>
      <c r="R5" s="19">
        <f t="shared" ca="1" si="0"/>
        <v>1</v>
      </c>
      <c r="S5" s="448">
        <f t="shared" ca="1" si="0"/>
        <v>4.1666666666666664E-2</v>
      </c>
      <c r="T5" s="19">
        <f t="shared" ca="1" si="0"/>
        <v>0</v>
      </c>
      <c r="U5" s="19">
        <f t="shared" ca="1" si="0"/>
        <v>5</v>
      </c>
      <c r="V5" s="448">
        <f t="shared" ca="1" si="0"/>
        <v>0.20833333333333334</v>
      </c>
      <c r="W5" s="19">
        <f t="shared" ca="1" si="0"/>
        <v>1</v>
      </c>
      <c r="X5" s="19">
        <f t="shared" ca="1" si="1"/>
        <v>0</v>
      </c>
      <c r="AA5" s="19">
        <v>3</v>
      </c>
      <c r="AB5" s="19" t="str">
        <f ca="1">Idiomas!D201</f>
        <v>Argelia</v>
      </c>
      <c r="AC5" s="449">
        <v>1</v>
      </c>
      <c r="AD5" s="448">
        <f t="shared" si="4"/>
        <v>4.1666666666666664E-2</v>
      </c>
      <c r="AE5" s="19">
        <v>0</v>
      </c>
      <c r="AF5" s="19">
        <f t="shared" ca="1" si="5"/>
        <v>5</v>
      </c>
      <c r="AG5" s="448">
        <f t="shared" ca="1" si="6"/>
        <v>0.20833333333333334</v>
      </c>
      <c r="AH5" s="19">
        <f t="shared" ca="1" si="7"/>
        <v>1</v>
      </c>
      <c r="AI5" s="19">
        <f t="shared" ca="1" si="8"/>
        <v>3</v>
      </c>
    </row>
    <row r="6" spans="1:35" ht="15.6">
      <c r="A6" s="439">
        <v>46191.5</v>
      </c>
      <c r="C6" s="439">
        <f t="shared" ca="1" si="2"/>
        <v>46191.75</v>
      </c>
      <c r="D6" s="439"/>
      <c r="E6" s="439"/>
      <c r="P6" s="19">
        <v>4</v>
      </c>
      <c r="Q6" s="19" t="str">
        <f t="shared" ca="1" si="3"/>
        <v>Argentina</v>
      </c>
      <c r="R6" s="19">
        <f t="shared" ca="1" si="0"/>
        <v>-3</v>
      </c>
      <c r="S6" s="448">
        <f t="shared" ca="1" si="0"/>
        <v>0.125</v>
      </c>
      <c r="T6" s="19">
        <f t="shared" ca="1" si="0"/>
        <v>0</v>
      </c>
      <c r="U6" s="19">
        <f t="shared" ca="1" si="0"/>
        <v>1</v>
      </c>
      <c r="V6" s="448">
        <f t="shared" ca="1" si="0"/>
        <v>4.1666666666666664E-2</v>
      </c>
      <c r="W6" s="19">
        <f t="shared" ca="1" si="0"/>
        <v>1</v>
      </c>
      <c r="X6" s="19">
        <f t="shared" ca="1" si="1"/>
        <v>0</v>
      </c>
      <c r="AA6" s="19">
        <v>4</v>
      </c>
      <c r="AB6" s="19" t="str">
        <f ca="1">Idiomas!D202</f>
        <v>Argentina</v>
      </c>
      <c r="AC6" s="449">
        <v>-3</v>
      </c>
      <c r="AD6" s="448">
        <f t="shared" si="4"/>
        <v>0.125</v>
      </c>
      <c r="AE6" s="19">
        <v>0</v>
      </c>
      <c r="AF6" s="19">
        <f t="shared" ca="1" si="5"/>
        <v>1</v>
      </c>
      <c r="AG6" s="448">
        <f t="shared" ca="1" si="6"/>
        <v>4.1666666666666664E-2</v>
      </c>
      <c r="AH6" s="19">
        <f t="shared" ca="1" si="7"/>
        <v>1</v>
      </c>
      <c r="AI6" s="19">
        <f t="shared" ca="1" si="8"/>
        <v>4</v>
      </c>
    </row>
    <row r="7" spans="1:35" ht="15.6">
      <c r="A7" s="439">
        <v>46191.875</v>
      </c>
      <c r="C7" s="439">
        <f t="shared" ca="1" si="2"/>
        <v>46192.125</v>
      </c>
      <c r="D7" s="439"/>
      <c r="E7" s="439"/>
      <c r="P7" s="19">
        <v>5</v>
      </c>
      <c r="Q7" s="19" t="str">
        <f t="shared" ca="1" si="3"/>
        <v>Australia</v>
      </c>
      <c r="R7" s="19">
        <f t="shared" ca="1" si="0"/>
        <v>10.5</v>
      </c>
      <c r="S7" s="448">
        <f t="shared" ca="1" si="0"/>
        <v>0.4375</v>
      </c>
      <c r="T7" s="19">
        <f t="shared" ca="1" si="0"/>
        <v>0</v>
      </c>
      <c r="U7" s="19">
        <f t="shared" ca="1" si="0"/>
        <v>14.5</v>
      </c>
      <c r="V7" s="448">
        <f t="shared" ca="1" si="0"/>
        <v>0.60416666666666663</v>
      </c>
      <c r="W7" s="19">
        <f t="shared" ca="1" si="0"/>
        <v>1</v>
      </c>
      <c r="X7" s="19">
        <f t="shared" ca="1" si="1"/>
        <v>0</v>
      </c>
      <c r="AA7" s="19">
        <v>5</v>
      </c>
      <c r="AB7" s="19" t="str">
        <f ca="1">Idiomas!D203</f>
        <v>Australia</v>
      </c>
      <c r="AC7" s="449">
        <v>10.5</v>
      </c>
      <c r="AD7" s="448">
        <f t="shared" si="4"/>
        <v>0.4375</v>
      </c>
      <c r="AE7" s="19">
        <v>0</v>
      </c>
      <c r="AF7" s="19">
        <f t="shared" ca="1" si="5"/>
        <v>14.5</v>
      </c>
      <c r="AG7" s="448">
        <f t="shared" ca="1" si="6"/>
        <v>0.60416666666666663</v>
      </c>
      <c r="AH7" s="19">
        <f t="shared" ca="1" si="7"/>
        <v>1</v>
      </c>
      <c r="AI7" s="19">
        <f t="shared" ca="1" si="8"/>
        <v>5</v>
      </c>
    </row>
    <row r="8" spans="1:35" ht="15.6">
      <c r="A8" s="439">
        <v>46197.875</v>
      </c>
      <c r="C8" s="439">
        <f t="shared" ca="1" si="2"/>
        <v>46198.125</v>
      </c>
      <c r="D8" s="439"/>
      <c r="E8" s="439"/>
      <c r="P8" s="19">
        <v>6</v>
      </c>
      <c r="Q8" s="19" t="str">
        <f t="shared" ca="1" si="3"/>
        <v>Austria</v>
      </c>
      <c r="R8" s="19">
        <f t="shared" ca="1" si="0"/>
        <v>2</v>
      </c>
      <c r="S8" s="448">
        <f t="shared" ca="1" si="0"/>
        <v>8.3333333333333329E-2</v>
      </c>
      <c r="T8" s="19">
        <f t="shared" ca="1" si="0"/>
        <v>0</v>
      </c>
      <c r="U8" s="19">
        <f t="shared" ca="1" si="0"/>
        <v>6</v>
      </c>
      <c r="V8" s="448">
        <f t="shared" ca="1" si="0"/>
        <v>0.25</v>
      </c>
      <c r="W8" s="19">
        <f t="shared" ca="1" si="0"/>
        <v>1</v>
      </c>
      <c r="X8" s="19">
        <f t="shared" ca="1" si="1"/>
        <v>0</v>
      </c>
      <c r="AA8" s="19">
        <v>6</v>
      </c>
      <c r="AB8" s="19" t="str">
        <f ca="1">Idiomas!D204</f>
        <v>Austria</v>
      </c>
      <c r="AC8" s="449">
        <v>2</v>
      </c>
      <c r="AD8" s="448">
        <f t="shared" si="4"/>
        <v>8.3333333333333329E-2</v>
      </c>
      <c r="AE8" s="19">
        <v>0</v>
      </c>
      <c r="AF8" s="19">
        <f t="shared" ca="1" si="5"/>
        <v>6</v>
      </c>
      <c r="AG8" s="448">
        <f t="shared" ca="1" si="6"/>
        <v>0.25</v>
      </c>
      <c r="AH8" s="19">
        <f t="shared" ca="1" si="7"/>
        <v>1</v>
      </c>
      <c r="AI8" s="19">
        <f t="shared" ca="1" si="8"/>
        <v>6</v>
      </c>
    </row>
    <row r="9" spans="1:35" ht="15.6">
      <c r="A9" s="439">
        <v>46197.875</v>
      </c>
      <c r="C9" s="439">
        <f t="shared" ca="1" si="2"/>
        <v>46198.125</v>
      </c>
      <c r="D9" s="439"/>
      <c r="E9" s="439"/>
      <c r="P9" s="19">
        <v>7</v>
      </c>
      <c r="Q9" s="19" t="str">
        <f t="shared" ca="1" si="3"/>
        <v>Bélgica</v>
      </c>
      <c r="R9" s="19">
        <f t="shared" ca="1" si="0"/>
        <v>2</v>
      </c>
      <c r="S9" s="448">
        <f t="shared" ca="1" si="0"/>
        <v>8.3333333333333329E-2</v>
      </c>
      <c r="T9" s="19">
        <f t="shared" ca="1" si="0"/>
        <v>0</v>
      </c>
      <c r="U9" s="19">
        <f t="shared" ca="1" si="0"/>
        <v>6</v>
      </c>
      <c r="V9" s="448">
        <f t="shared" ca="1" si="0"/>
        <v>0.25</v>
      </c>
      <c r="W9" s="19">
        <f t="shared" ca="1" si="0"/>
        <v>1</v>
      </c>
      <c r="X9" s="19">
        <f t="shared" ca="1" si="1"/>
        <v>0</v>
      </c>
      <c r="AA9" s="19">
        <v>7</v>
      </c>
      <c r="AB9" s="19" t="str">
        <f ca="1">Idiomas!D205</f>
        <v>Bélgica</v>
      </c>
      <c r="AC9" s="449">
        <v>2</v>
      </c>
      <c r="AD9" s="448">
        <f t="shared" si="4"/>
        <v>8.3333333333333329E-2</v>
      </c>
      <c r="AE9" s="19">
        <v>0</v>
      </c>
      <c r="AF9" s="19">
        <f t="shared" ca="1" si="5"/>
        <v>6</v>
      </c>
      <c r="AG9" s="448">
        <f t="shared" ca="1" si="6"/>
        <v>0.25</v>
      </c>
      <c r="AH9" s="19">
        <f t="shared" ca="1" si="7"/>
        <v>1</v>
      </c>
      <c r="AI9" s="19">
        <f t="shared" ca="1" si="8"/>
        <v>7</v>
      </c>
    </row>
    <row r="10" spans="1:35" ht="15.6">
      <c r="C10" s="439"/>
      <c r="P10" s="19">
        <v>8</v>
      </c>
      <c r="Q10" s="19" t="str">
        <f t="shared" ca="1" si="3"/>
        <v>Brasil</v>
      </c>
      <c r="R10" s="19">
        <f t="shared" ca="1" si="0"/>
        <v>-3</v>
      </c>
      <c r="S10" s="448">
        <f t="shared" ca="1" si="0"/>
        <v>0.125</v>
      </c>
      <c r="T10" s="19">
        <f t="shared" ca="1" si="0"/>
        <v>0</v>
      </c>
      <c r="U10" s="19">
        <f t="shared" ca="1" si="0"/>
        <v>1</v>
      </c>
      <c r="V10" s="448">
        <f t="shared" ca="1" si="0"/>
        <v>4.1666666666666664E-2</v>
      </c>
      <c r="W10" s="19">
        <f t="shared" ca="1" si="0"/>
        <v>1</v>
      </c>
      <c r="X10" s="19">
        <f t="shared" ca="1" si="1"/>
        <v>0</v>
      </c>
      <c r="AA10" s="19">
        <v>8</v>
      </c>
      <c r="AB10" s="19" t="str">
        <f ca="1">Idiomas!D206</f>
        <v>Brasil</v>
      </c>
      <c r="AC10" s="449">
        <v>-3</v>
      </c>
      <c r="AD10" s="448">
        <f t="shared" si="4"/>
        <v>0.125</v>
      </c>
      <c r="AE10" s="19">
        <v>0</v>
      </c>
      <c r="AF10" s="19">
        <f t="shared" ca="1" si="5"/>
        <v>1</v>
      </c>
      <c r="AG10" s="448">
        <f t="shared" ca="1" si="6"/>
        <v>4.1666666666666664E-2</v>
      </c>
      <c r="AH10" s="19">
        <f t="shared" ca="1" si="7"/>
        <v>1</v>
      </c>
      <c r="AI10" s="19">
        <f t="shared" ca="1" si="8"/>
        <v>8</v>
      </c>
    </row>
    <row r="11" spans="1:35" ht="15.6">
      <c r="A11" s="10" t="s">
        <v>42</v>
      </c>
      <c r="C11" s="439"/>
      <c r="P11" s="19">
        <v>9</v>
      </c>
      <c r="Q11" s="19" t="str">
        <f t="shared" ca="1" si="3"/>
        <v>Cabo Verde</v>
      </c>
      <c r="R11" s="19">
        <f t="shared" ca="1" si="0"/>
        <v>-1</v>
      </c>
      <c r="S11" s="448">
        <f t="shared" ca="1" si="0"/>
        <v>4.1666666666666664E-2</v>
      </c>
      <c r="T11" s="19">
        <f t="shared" ca="1" si="0"/>
        <v>0</v>
      </c>
      <c r="U11" s="19">
        <f t="shared" ca="1" si="0"/>
        <v>3</v>
      </c>
      <c r="V11" s="448">
        <f t="shared" ca="1" si="0"/>
        <v>0.125</v>
      </c>
      <c r="W11" s="19">
        <f t="shared" ca="1" si="0"/>
        <v>1</v>
      </c>
      <c r="X11" s="19">
        <f t="shared" ca="1" si="1"/>
        <v>0</v>
      </c>
      <c r="AA11" s="19">
        <v>9</v>
      </c>
      <c r="AB11" s="19" t="str">
        <f ca="1">Idiomas!D207</f>
        <v>Cabo Verde</v>
      </c>
      <c r="AC11" s="449">
        <v>-1</v>
      </c>
      <c r="AD11" s="448">
        <f t="shared" si="4"/>
        <v>4.1666666666666664E-2</v>
      </c>
      <c r="AE11" s="19">
        <v>0</v>
      </c>
      <c r="AF11" s="19">
        <f t="shared" ca="1" si="5"/>
        <v>3</v>
      </c>
      <c r="AG11" s="448">
        <f t="shared" ca="1" si="6"/>
        <v>0.125</v>
      </c>
      <c r="AH11" s="19">
        <f t="shared" ca="1" si="7"/>
        <v>1</v>
      </c>
      <c r="AI11" s="19">
        <f t="shared" ca="1" si="8"/>
        <v>9</v>
      </c>
    </row>
    <row r="12" spans="1:35" ht="15.6">
      <c r="A12" s="439">
        <v>46185.625</v>
      </c>
      <c r="C12" s="439">
        <f t="shared" ref="C12:C17" ca="1" si="9">A12+INDEX($V$3:$V$86,MATCH($C$3,$P$3:$P$86,0))*INDEX($W$3:$W$86,MATCH($C$3,$P$3:$P$86,0))</f>
        <v>46185.875</v>
      </c>
      <c r="D12" s="439"/>
      <c r="E12" s="439"/>
      <c r="P12" s="19">
        <v>10</v>
      </c>
      <c r="Q12" s="19" t="str">
        <f t="shared" ca="1" si="3"/>
        <v>Canadá</v>
      </c>
      <c r="R12" s="19">
        <f t="shared" ca="1" si="0"/>
        <v>-4</v>
      </c>
      <c r="S12" s="448">
        <f t="shared" ca="1" si="0"/>
        <v>0.16666666666666666</v>
      </c>
      <c r="T12" s="19">
        <f t="shared" ca="1" si="0"/>
        <v>0</v>
      </c>
      <c r="U12" s="19">
        <f t="shared" ca="1" si="0"/>
        <v>0</v>
      </c>
      <c r="V12" s="448">
        <f t="shared" ca="1" si="0"/>
        <v>0</v>
      </c>
      <c r="W12" s="19">
        <f t="shared" ca="1" si="0"/>
        <v>0</v>
      </c>
      <c r="X12" s="19">
        <f t="shared" ca="1" si="1"/>
        <v>0</v>
      </c>
      <c r="AA12" s="19">
        <v>10</v>
      </c>
      <c r="AB12" s="19" t="str">
        <f ca="1">Idiomas!D208</f>
        <v>Canadá</v>
      </c>
      <c r="AC12" s="449">
        <v>-4</v>
      </c>
      <c r="AD12" s="448">
        <f t="shared" si="4"/>
        <v>0.16666666666666666</v>
      </c>
      <c r="AE12" s="19">
        <v>0</v>
      </c>
      <c r="AF12" s="19">
        <f t="shared" ca="1" si="5"/>
        <v>0</v>
      </c>
      <c r="AG12" s="448">
        <f t="shared" ca="1" si="6"/>
        <v>0</v>
      </c>
      <c r="AH12" s="19">
        <f t="shared" ca="1" si="7"/>
        <v>0</v>
      </c>
      <c r="AI12" s="19">
        <f t="shared" ca="1" si="8"/>
        <v>10</v>
      </c>
    </row>
    <row r="13" spans="1:35" ht="15.6">
      <c r="A13" s="439">
        <v>46186.625</v>
      </c>
      <c r="C13" s="439">
        <f t="shared" ca="1" si="9"/>
        <v>46186.875</v>
      </c>
      <c r="D13" s="439"/>
      <c r="E13" s="439"/>
      <c r="P13" s="19">
        <v>11</v>
      </c>
      <c r="Q13" s="19" t="str">
        <f t="shared" ca="1" si="3"/>
        <v>Catar</v>
      </c>
      <c r="R13" s="19">
        <f t="shared" ref="R13:W28" ca="1" si="10">+INDEX($AC$3:$AH$86,MATCH($Q13,$AB$3:$AB$86,0),MATCH(R$2,$AC$2:$AH$2,0))</f>
        <v>3</v>
      </c>
      <c r="S13" s="448">
        <f t="shared" ca="1" si="10"/>
        <v>0.125</v>
      </c>
      <c r="T13" s="19">
        <f t="shared" ca="1" si="0"/>
        <v>0</v>
      </c>
      <c r="U13" s="19">
        <f t="shared" ca="1" si="10"/>
        <v>7</v>
      </c>
      <c r="V13" s="448">
        <f t="shared" ca="1" si="10"/>
        <v>0.29166666666666669</v>
      </c>
      <c r="W13" s="19">
        <f t="shared" ca="1" si="10"/>
        <v>1</v>
      </c>
      <c r="X13" s="19">
        <f t="shared" ca="1" si="1"/>
        <v>0</v>
      </c>
      <c r="AA13" s="19">
        <v>11</v>
      </c>
      <c r="AB13" s="19" t="str">
        <f ca="1">Idiomas!D209</f>
        <v>Catar</v>
      </c>
      <c r="AC13" s="449">
        <v>3</v>
      </c>
      <c r="AD13" s="448">
        <f t="shared" si="4"/>
        <v>0.125</v>
      </c>
      <c r="AE13" s="19">
        <v>0</v>
      </c>
      <c r="AF13" s="19">
        <f t="shared" ca="1" si="5"/>
        <v>7</v>
      </c>
      <c r="AG13" s="448">
        <f t="shared" ca="1" si="6"/>
        <v>0.29166666666666669</v>
      </c>
      <c r="AH13" s="19">
        <f t="shared" ca="1" si="7"/>
        <v>1</v>
      </c>
      <c r="AI13" s="19">
        <f t="shared" ca="1" si="8"/>
        <v>11</v>
      </c>
    </row>
    <row r="14" spans="1:35" ht="15.6">
      <c r="A14" s="439">
        <v>46191.625</v>
      </c>
      <c r="C14" s="439">
        <f t="shared" ca="1" si="9"/>
        <v>46191.875</v>
      </c>
      <c r="D14" s="439"/>
      <c r="E14" s="439"/>
      <c r="P14" s="19">
        <v>12</v>
      </c>
      <c r="Q14" s="19" t="str">
        <f t="shared" ca="1" si="3"/>
        <v>Colombia</v>
      </c>
      <c r="R14" s="19">
        <f t="shared" ca="1" si="10"/>
        <v>-4</v>
      </c>
      <c r="S14" s="448">
        <f t="shared" ca="1" si="10"/>
        <v>0.16666666666666666</v>
      </c>
      <c r="T14" s="19">
        <f t="shared" ca="1" si="0"/>
        <v>0</v>
      </c>
      <c r="U14" s="19">
        <f t="shared" ca="1" si="10"/>
        <v>0</v>
      </c>
      <c r="V14" s="448">
        <f t="shared" ca="1" si="10"/>
        <v>0</v>
      </c>
      <c r="W14" s="19">
        <f t="shared" ca="1" si="10"/>
        <v>0</v>
      </c>
      <c r="X14" s="19">
        <f t="shared" ca="1" si="1"/>
        <v>0</v>
      </c>
      <c r="AA14" s="19">
        <v>12</v>
      </c>
      <c r="AB14" s="19" t="str">
        <f ca="1">Idiomas!D210</f>
        <v>Colombia</v>
      </c>
      <c r="AC14" s="449">
        <v>-4</v>
      </c>
      <c r="AD14" s="448">
        <f t="shared" si="4"/>
        <v>0.16666666666666666</v>
      </c>
      <c r="AE14" s="19">
        <v>0</v>
      </c>
      <c r="AF14" s="19">
        <f t="shared" ca="1" si="5"/>
        <v>0</v>
      </c>
      <c r="AG14" s="448">
        <f t="shared" ca="1" si="6"/>
        <v>0</v>
      </c>
      <c r="AH14" s="19">
        <f t="shared" ca="1" si="7"/>
        <v>0</v>
      </c>
      <c r="AI14" s="19">
        <f t="shared" ca="1" si="8"/>
        <v>12</v>
      </c>
    </row>
    <row r="15" spans="1:35" ht="15.6">
      <c r="A15" s="439">
        <v>46191.75</v>
      </c>
      <c r="C15" s="439">
        <f t="shared" ca="1" si="9"/>
        <v>46192</v>
      </c>
      <c r="D15" s="439"/>
      <c r="E15" s="439"/>
      <c r="P15" s="19">
        <v>13</v>
      </c>
      <c r="Q15" s="19" t="str">
        <f t="shared" ca="1" si="3"/>
        <v>Corea del Sur</v>
      </c>
      <c r="R15" s="19">
        <f t="shared" ca="1" si="10"/>
        <v>9</v>
      </c>
      <c r="S15" s="448">
        <f t="shared" ca="1" si="10"/>
        <v>0.375</v>
      </c>
      <c r="T15" s="19">
        <f t="shared" ca="1" si="0"/>
        <v>0</v>
      </c>
      <c r="U15" s="19">
        <f t="shared" ca="1" si="10"/>
        <v>13</v>
      </c>
      <c r="V15" s="448">
        <f t="shared" ca="1" si="10"/>
        <v>0.54166666666666663</v>
      </c>
      <c r="W15" s="19">
        <f t="shared" ca="1" si="10"/>
        <v>1</v>
      </c>
      <c r="X15" s="19">
        <f t="shared" ca="1" si="1"/>
        <v>0</v>
      </c>
      <c r="AA15" s="19">
        <v>13</v>
      </c>
      <c r="AB15" s="19" t="str">
        <f ca="1">Idiomas!D211</f>
        <v>Corea del Sur</v>
      </c>
      <c r="AC15" s="449">
        <v>9</v>
      </c>
      <c r="AD15" s="448">
        <f t="shared" si="4"/>
        <v>0.375</v>
      </c>
      <c r="AE15" s="19">
        <v>0</v>
      </c>
      <c r="AF15" s="19">
        <f t="shared" ca="1" si="5"/>
        <v>13</v>
      </c>
      <c r="AG15" s="448">
        <f t="shared" ca="1" si="6"/>
        <v>0.54166666666666663</v>
      </c>
      <c r="AH15" s="19">
        <f t="shared" ca="1" si="7"/>
        <v>1</v>
      </c>
      <c r="AI15" s="19">
        <f t="shared" ca="1" si="8"/>
        <v>13</v>
      </c>
    </row>
    <row r="16" spans="1:35" ht="15.6">
      <c r="A16" s="439">
        <v>46197.625</v>
      </c>
      <c r="C16" s="439">
        <f t="shared" ca="1" si="9"/>
        <v>46197.875</v>
      </c>
      <c r="D16" s="439"/>
      <c r="E16" s="439"/>
      <c r="P16" s="19">
        <v>14</v>
      </c>
      <c r="Q16" s="19" t="str">
        <f t="shared" ca="1" si="3"/>
        <v>Costa de Marfil</v>
      </c>
      <c r="R16" s="19">
        <f t="shared" ca="1" si="10"/>
        <v>0</v>
      </c>
      <c r="S16" s="448">
        <f t="shared" ca="1" si="10"/>
        <v>0</v>
      </c>
      <c r="T16" s="19">
        <f t="shared" ca="1" si="0"/>
        <v>0</v>
      </c>
      <c r="U16" s="19">
        <f t="shared" ca="1" si="10"/>
        <v>4</v>
      </c>
      <c r="V16" s="448">
        <f t="shared" ca="1" si="10"/>
        <v>0.16666666666666666</v>
      </c>
      <c r="W16" s="19">
        <f t="shared" ca="1" si="10"/>
        <v>1</v>
      </c>
      <c r="X16" s="19">
        <f t="shared" ca="1" si="1"/>
        <v>0</v>
      </c>
      <c r="AA16" s="19">
        <v>14</v>
      </c>
      <c r="AB16" s="19" t="str">
        <f ca="1">Idiomas!D212</f>
        <v>Costa de Marfil</v>
      </c>
      <c r="AC16" s="449">
        <v>0</v>
      </c>
      <c r="AD16" s="448">
        <f t="shared" si="4"/>
        <v>0</v>
      </c>
      <c r="AE16" s="19">
        <v>0</v>
      </c>
      <c r="AF16" s="19">
        <f t="shared" ca="1" si="5"/>
        <v>4</v>
      </c>
      <c r="AG16" s="448">
        <f t="shared" ca="1" si="6"/>
        <v>0.16666666666666666</v>
      </c>
      <c r="AH16" s="19">
        <f t="shared" ca="1" si="7"/>
        <v>1</v>
      </c>
      <c r="AI16" s="19">
        <f t="shared" ca="1" si="8"/>
        <v>14</v>
      </c>
    </row>
    <row r="17" spans="1:35" ht="15.6">
      <c r="A17" s="439">
        <v>46197.625</v>
      </c>
      <c r="C17" s="439">
        <f t="shared" ca="1" si="9"/>
        <v>46197.875</v>
      </c>
      <c r="D17" s="439"/>
      <c r="E17" s="439"/>
      <c r="P17" s="19">
        <v>15</v>
      </c>
      <c r="Q17" s="19" t="str">
        <f t="shared" ca="1" si="3"/>
        <v>Croacia</v>
      </c>
      <c r="R17" s="19">
        <f t="shared" ca="1" si="10"/>
        <v>2</v>
      </c>
      <c r="S17" s="448">
        <f t="shared" ca="1" si="10"/>
        <v>8.3333333333333329E-2</v>
      </c>
      <c r="T17" s="19">
        <f t="shared" ca="1" si="0"/>
        <v>0</v>
      </c>
      <c r="U17" s="19">
        <f t="shared" ca="1" si="10"/>
        <v>6</v>
      </c>
      <c r="V17" s="448">
        <f t="shared" ca="1" si="10"/>
        <v>0.25</v>
      </c>
      <c r="W17" s="19">
        <f t="shared" ca="1" si="10"/>
        <v>1</v>
      </c>
      <c r="X17" s="19">
        <f t="shared" ca="1" si="1"/>
        <v>0</v>
      </c>
      <c r="AA17" s="19">
        <v>15</v>
      </c>
      <c r="AB17" s="19" t="str">
        <f ca="1">Idiomas!D213</f>
        <v>Croacia</v>
      </c>
      <c r="AC17" s="449">
        <v>2</v>
      </c>
      <c r="AD17" s="448">
        <f t="shared" si="4"/>
        <v>8.3333333333333329E-2</v>
      </c>
      <c r="AE17" s="19">
        <v>0</v>
      </c>
      <c r="AF17" s="19">
        <f t="shared" ca="1" si="5"/>
        <v>6</v>
      </c>
      <c r="AG17" s="448">
        <f t="shared" ca="1" si="6"/>
        <v>0.25</v>
      </c>
      <c r="AH17" s="19">
        <f t="shared" ca="1" si="7"/>
        <v>1</v>
      </c>
      <c r="AI17" s="19">
        <f t="shared" ca="1" si="8"/>
        <v>15</v>
      </c>
    </row>
    <row r="18" spans="1:35" ht="15.6">
      <c r="C18" s="439"/>
      <c r="P18" s="19">
        <v>16</v>
      </c>
      <c r="Q18" s="19" t="str">
        <f t="shared" ca="1" si="3"/>
        <v>Curazao</v>
      </c>
      <c r="R18" s="19">
        <f t="shared" ca="1" si="10"/>
        <v>-4</v>
      </c>
      <c r="S18" s="448">
        <f t="shared" ca="1" si="10"/>
        <v>0.16666666666666666</v>
      </c>
      <c r="T18" s="19">
        <f t="shared" ca="1" si="0"/>
        <v>0</v>
      </c>
      <c r="U18" s="19">
        <f t="shared" ca="1" si="10"/>
        <v>0</v>
      </c>
      <c r="V18" s="448">
        <f t="shared" ca="1" si="10"/>
        <v>0</v>
      </c>
      <c r="W18" s="19">
        <f t="shared" ca="1" si="10"/>
        <v>0</v>
      </c>
      <c r="X18" s="19">
        <f t="shared" ca="1" si="1"/>
        <v>0</v>
      </c>
      <c r="AA18" s="19">
        <v>16</v>
      </c>
      <c r="AB18" s="19" t="str">
        <f ca="1">Idiomas!D214</f>
        <v>Curazao</v>
      </c>
      <c r="AC18" s="449">
        <v>-4</v>
      </c>
      <c r="AD18" s="448">
        <f t="shared" si="4"/>
        <v>0.16666666666666666</v>
      </c>
      <c r="AE18" s="19">
        <v>0</v>
      </c>
      <c r="AF18" s="19">
        <f t="shared" ca="1" si="5"/>
        <v>0</v>
      </c>
      <c r="AG18" s="448">
        <f t="shared" ca="1" si="6"/>
        <v>0</v>
      </c>
      <c r="AH18" s="19">
        <f t="shared" ca="1" si="7"/>
        <v>0</v>
      </c>
      <c r="AI18" s="19">
        <f t="shared" ca="1" si="8"/>
        <v>16</v>
      </c>
    </row>
    <row r="19" spans="1:35" ht="15.6">
      <c r="A19" s="10" t="s">
        <v>9</v>
      </c>
      <c r="C19" s="439"/>
      <c r="P19" s="19">
        <v>17</v>
      </c>
      <c r="Q19" s="19" t="str">
        <f t="shared" ca="1" si="3"/>
        <v>Ecuador</v>
      </c>
      <c r="R19" s="19">
        <f t="shared" ca="1" si="10"/>
        <v>-5</v>
      </c>
      <c r="S19" s="448">
        <f t="shared" ca="1" si="10"/>
        <v>0.20833333333333334</v>
      </c>
      <c r="T19" s="19">
        <f t="shared" ca="1" si="10"/>
        <v>0</v>
      </c>
      <c r="U19" s="19">
        <f t="shared" ca="1" si="10"/>
        <v>-1</v>
      </c>
      <c r="V19" s="448">
        <f t="shared" ca="1" si="10"/>
        <v>4.1666666666666664E-2</v>
      </c>
      <c r="W19" s="19">
        <f t="shared" ca="1" si="10"/>
        <v>-1</v>
      </c>
      <c r="X19" s="19">
        <f t="shared" ca="1" si="1"/>
        <v>0</v>
      </c>
      <c r="AA19" s="19">
        <v>17</v>
      </c>
      <c r="AB19" s="19" t="str">
        <f ca="1">Idiomas!D215</f>
        <v>Ecuador</v>
      </c>
      <c r="AC19" s="449">
        <v>-5</v>
      </c>
      <c r="AD19" s="448">
        <f t="shared" si="4"/>
        <v>0.20833333333333334</v>
      </c>
      <c r="AE19" s="19">
        <v>0</v>
      </c>
      <c r="AF19" s="19">
        <f t="shared" ca="1" si="5"/>
        <v>-1</v>
      </c>
      <c r="AG19" s="448">
        <f t="shared" ca="1" si="6"/>
        <v>4.1666666666666664E-2</v>
      </c>
      <c r="AH19" s="19">
        <f t="shared" ca="1" si="7"/>
        <v>-1</v>
      </c>
      <c r="AI19" s="19">
        <f t="shared" ca="1" si="8"/>
        <v>17</v>
      </c>
    </row>
    <row r="20" spans="1:35" ht="15.6">
      <c r="A20" s="439">
        <v>46186.75</v>
      </c>
      <c r="C20" s="439">
        <f t="shared" ref="C20:C25" ca="1" si="11">A20+INDEX($V$3:$V$86,MATCH($C$3,$P$3:$P$86,0))*INDEX($W$3:$W$86,MATCH($C$3,$P$3:$P$86,0))</f>
        <v>46187</v>
      </c>
      <c r="D20" s="439"/>
      <c r="E20" s="439"/>
      <c r="P20" s="19">
        <v>18</v>
      </c>
      <c r="Q20" s="19" t="str">
        <f t="shared" ca="1" si="3"/>
        <v>Egipto</v>
      </c>
      <c r="R20" s="19">
        <f t="shared" ca="1" si="10"/>
        <v>3</v>
      </c>
      <c r="S20" s="448">
        <f t="shared" ca="1" si="10"/>
        <v>0.125</v>
      </c>
      <c r="T20" s="19">
        <f t="shared" ca="1" si="10"/>
        <v>0</v>
      </c>
      <c r="U20" s="19">
        <f t="shared" ca="1" si="10"/>
        <v>7</v>
      </c>
      <c r="V20" s="448">
        <f t="shared" ca="1" si="10"/>
        <v>0.29166666666666669</v>
      </c>
      <c r="W20" s="19">
        <f t="shared" ca="1" si="10"/>
        <v>1</v>
      </c>
      <c r="X20" s="19">
        <f t="shared" ca="1" si="1"/>
        <v>0</v>
      </c>
      <c r="AA20" s="19">
        <v>18</v>
      </c>
      <c r="AB20" s="19" t="str">
        <f ca="1">Idiomas!D216</f>
        <v>Egipto</v>
      </c>
      <c r="AC20" s="449">
        <v>3</v>
      </c>
      <c r="AD20" s="448">
        <f t="shared" si="4"/>
        <v>0.125</v>
      </c>
      <c r="AE20" s="19">
        <v>0</v>
      </c>
      <c r="AF20" s="19">
        <f t="shared" ca="1" si="5"/>
        <v>7</v>
      </c>
      <c r="AG20" s="448">
        <f t="shared" ca="1" si="6"/>
        <v>0.29166666666666669</v>
      </c>
      <c r="AH20" s="19">
        <f t="shared" ca="1" si="7"/>
        <v>1</v>
      </c>
      <c r="AI20" s="19">
        <f t="shared" ca="1" si="8"/>
        <v>18</v>
      </c>
    </row>
    <row r="21" spans="1:35" ht="15.6">
      <c r="A21" s="439">
        <v>46186.875</v>
      </c>
      <c r="C21" s="439">
        <f t="shared" ca="1" si="11"/>
        <v>46187.125</v>
      </c>
      <c r="D21" s="439"/>
      <c r="E21" s="439"/>
      <c r="P21" s="19">
        <v>19</v>
      </c>
      <c r="Q21" s="19" t="str">
        <f t="shared" ca="1" si="3"/>
        <v>Escocia</v>
      </c>
      <c r="R21" s="19">
        <f t="shared" ca="1" si="10"/>
        <v>1</v>
      </c>
      <c r="S21" s="448">
        <f t="shared" ca="1" si="10"/>
        <v>4.1666666666666664E-2</v>
      </c>
      <c r="T21" s="19">
        <f t="shared" ca="1" si="10"/>
        <v>0</v>
      </c>
      <c r="U21" s="19">
        <f t="shared" ca="1" si="10"/>
        <v>5</v>
      </c>
      <c r="V21" s="448">
        <f t="shared" ca="1" si="10"/>
        <v>0.20833333333333334</v>
      </c>
      <c r="W21" s="19">
        <f t="shared" ca="1" si="10"/>
        <v>1</v>
      </c>
      <c r="X21" s="19">
        <f t="shared" ca="1" si="1"/>
        <v>0</v>
      </c>
      <c r="AA21" s="19">
        <v>19</v>
      </c>
      <c r="AB21" s="19" t="str">
        <f ca="1">Idiomas!D217</f>
        <v>Escocia</v>
      </c>
      <c r="AC21" s="449">
        <v>1</v>
      </c>
      <c r="AD21" s="448">
        <f t="shared" si="4"/>
        <v>4.1666666666666664E-2</v>
      </c>
      <c r="AE21" s="19">
        <v>0</v>
      </c>
      <c r="AF21" s="19">
        <f t="shared" ca="1" si="5"/>
        <v>5</v>
      </c>
      <c r="AG21" s="448">
        <f t="shared" ca="1" si="6"/>
        <v>0.20833333333333334</v>
      </c>
      <c r="AH21" s="19">
        <f t="shared" ca="1" si="7"/>
        <v>1</v>
      </c>
      <c r="AI21" s="19">
        <f t="shared" ca="1" si="8"/>
        <v>19</v>
      </c>
    </row>
    <row r="22" spans="1:35" ht="15.6">
      <c r="A22" s="439">
        <v>46192.75</v>
      </c>
      <c r="C22" s="439">
        <f t="shared" ca="1" si="11"/>
        <v>46193</v>
      </c>
      <c r="D22" s="439"/>
      <c r="E22" s="439"/>
      <c r="P22" s="19">
        <v>20</v>
      </c>
      <c r="Q22" s="19" t="str">
        <f t="shared" ca="1" si="3"/>
        <v>España</v>
      </c>
      <c r="R22" s="19">
        <f t="shared" ca="1" si="10"/>
        <v>2</v>
      </c>
      <c r="S22" s="448">
        <f t="shared" ca="1" si="10"/>
        <v>8.3333333333333329E-2</v>
      </c>
      <c r="T22" s="19">
        <f t="shared" ca="1" si="10"/>
        <v>0</v>
      </c>
      <c r="U22" s="19">
        <f t="shared" ca="1" si="10"/>
        <v>6</v>
      </c>
      <c r="V22" s="448">
        <f t="shared" ca="1" si="10"/>
        <v>0.25</v>
      </c>
      <c r="W22" s="19">
        <f t="shared" ca="1" si="10"/>
        <v>1</v>
      </c>
      <c r="X22" s="19">
        <f t="shared" ca="1" si="1"/>
        <v>0</v>
      </c>
      <c r="AA22" s="19">
        <v>20</v>
      </c>
      <c r="AB22" s="19" t="str">
        <f ca="1">Idiomas!D218</f>
        <v>España</v>
      </c>
      <c r="AC22" s="449">
        <v>2</v>
      </c>
      <c r="AD22" s="448">
        <f t="shared" si="4"/>
        <v>8.3333333333333329E-2</v>
      </c>
      <c r="AE22" s="19">
        <v>0</v>
      </c>
      <c r="AF22" s="19">
        <f t="shared" ca="1" si="5"/>
        <v>6</v>
      </c>
      <c r="AG22" s="448">
        <f t="shared" ca="1" si="6"/>
        <v>0.25</v>
      </c>
      <c r="AH22" s="19">
        <f t="shared" ca="1" si="7"/>
        <v>1</v>
      </c>
      <c r="AI22" s="19">
        <f t="shared" ca="1" si="8"/>
        <v>20</v>
      </c>
    </row>
    <row r="23" spans="1:35" ht="15.6">
      <c r="A23" s="439">
        <v>46192.875</v>
      </c>
      <c r="C23" s="439">
        <f t="shared" ca="1" si="11"/>
        <v>46193.125</v>
      </c>
      <c r="D23" s="439"/>
      <c r="E23" s="439"/>
      <c r="P23" s="19">
        <v>21</v>
      </c>
      <c r="Q23" s="19" t="str">
        <f t="shared" ca="1" si="3"/>
        <v>Estados Unidos</v>
      </c>
      <c r="R23" s="19">
        <f t="shared" ref="R23:W38" ca="1" si="12">+INDEX($AC$3:$AH$86,MATCH($Q23,$AB$3:$AB$86,0),MATCH(R$2,$AC$2:$AH$2,0))</f>
        <v>-4</v>
      </c>
      <c r="S23" s="448">
        <f t="shared" ca="1" si="12"/>
        <v>0.16666666666666666</v>
      </c>
      <c r="T23" s="19">
        <f t="shared" ca="1" si="10"/>
        <v>1</v>
      </c>
      <c r="U23" s="19">
        <f t="shared" ca="1" si="12"/>
        <v>0</v>
      </c>
      <c r="V23" s="448">
        <f t="shared" ca="1" si="12"/>
        <v>0</v>
      </c>
      <c r="W23" s="19">
        <f t="shared" ca="1" si="12"/>
        <v>0</v>
      </c>
      <c r="X23" s="19">
        <f t="shared" ca="1" si="1"/>
        <v>1</v>
      </c>
      <c r="AA23" s="19">
        <v>21</v>
      </c>
      <c r="AB23" s="19" t="str">
        <f ca="1">Idiomas!D219</f>
        <v>Estados Unidos</v>
      </c>
      <c r="AC23" s="449">
        <v>-4</v>
      </c>
      <c r="AD23" s="448">
        <f t="shared" si="4"/>
        <v>0.16666666666666666</v>
      </c>
      <c r="AE23" s="19">
        <v>1</v>
      </c>
      <c r="AF23" s="19">
        <f t="shared" ca="1" si="5"/>
        <v>0</v>
      </c>
      <c r="AG23" s="448">
        <f t="shared" ca="1" si="6"/>
        <v>0</v>
      </c>
      <c r="AH23" s="19">
        <f t="shared" ca="1" si="7"/>
        <v>0</v>
      </c>
      <c r="AI23" s="19">
        <f t="shared" ca="1" si="8"/>
        <v>21</v>
      </c>
    </row>
    <row r="24" spans="1:35" ht="15.6">
      <c r="A24" s="439">
        <v>46197.75</v>
      </c>
      <c r="C24" s="439">
        <f t="shared" ca="1" si="11"/>
        <v>46198</v>
      </c>
      <c r="D24" s="439"/>
      <c r="E24" s="439"/>
      <c r="P24" s="19">
        <v>22</v>
      </c>
      <c r="Q24" s="19" t="str">
        <f t="shared" ca="1" si="3"/>
        <v>Francia</v>
      </c>
      <c r="R24" s="19">
        <f t="shared" ca="1" si="12"/>
        <v>2</v>
      </c>
      <c r="S24" s="448">
        <f t="shared" ca="1" si="12"/>
        <v>8.3333333333333329E-2</v>
      </c>
      <c r="T24" s="19">
        <f t="shared" ca="1" si="10"/>
        <v>0</v>
      </c>
      <c r="U24" s="19">
        <f t="shared" ca="1" si="12"/>
        <v>6</v>
      </c>
      <c r="V24" s="448">
        <f t="shared" ca="1" si="12"/>
        <v>0.25</v>
      </c>
      <c r="W24" s="19">
        <f t="shared" ca="1" si="12"/>
        <v>1</v>
      </c>
      <c r="X24" s="19">
        <f t="shared" ca="1" si="1"/>
        <v>0</v>
      </c>
      <c r="AA24" s="19">
        <v>22</v>
      </c>
      <c r="AB24" s="19" t="str">
        <f ca="1">Idiomas!D220</f>
        <v>Francia</v>
      </c>
      <c r="AC24" s="449">
        <v>2</v>
      </c>
      <c r="AD24" s="448">
        <f t="shared" si="4"/>
        <v>8.3333333333333329E-2</v>
      </c>
      <c r="AE24" s="19">
        <v>0</v>
      </c>
      <c r="AF24" s="19">
        <f t="shared" ca="1" si="5"/>
        <v>6</v>
      </c>
      <c r="AG24" s="448">
        <f t="shared" ca="1" si="6"/>
        <v>0.25</v>
      </c>
      <c r="AH24" s="19">
        <f t="shared" ca="1" si="7"/>
        <v>1</v>
      </c>
      <c r="AI24" s="19">
        <f t="shared" ca="1" si="8"/>
        <v>22</v>
      </c>
    </row>
    <row r="25" spans="1:35" ht="15.6">
      <c r="A25" s="439">
        <v>46197.75</v>
      </c>
      <c r="C25" s="439">
        <f t="shared" ca="1" si="11"/>
        <v>46198</v>
      </c>
      <c r="D25" s="439"/>
      <c r="E25" s="439"/>
      <c r="P25" s="19">
        <v>23</v>
      </c>
      <c r="Q25" s="19" t="str">
        <f t="shared" ca="1" si="3"/>
        <v>Ghana</v>
      </c>
      <c r="R25" s="19">
        <f t="shared" ca="1" si="12"/>
        <v>0</v>
      </c>
      <c r="S25" s="448">
        <f t="shared" ca="1" si="12"/>
        <v>0</v>
      </c>
      <c r="T25" s="19">
        <f t="shared" ca="1" si="10"/>
        <v>0</v>
      </c>
      <c r="U25" s="19">
        <f t="shared" ca="1" si="12"/>
        <v>4</v>
      </c>
      <c r="V25" s="448">
        <f t="shared" ca="1" si="12"/>
        <v>0.16666666666666666</v>
      </c>
      <c r="W25" s="19">
        <f t="shared" ca="1" si="12"/>
        <v>1</v>
      </c>
      <c r="X25" s="19">
        <f t="shared" ca="1" si="1"/>
        <v>0</v>
      </c>
      <c r="AA25" s="19">
        <v>23</v>
      </c>
      <c r="AB25" s="19" t="str">
        <f ca="1">Idiomas!D221</f>
        <v>Ghana</v>
      </c>
      <c r="AC25" s="449">
        <v>0</v>
      </c>
      <c r="AD25" s="448">
        <f t="shared" si="4"/>
        <v>0</v>
      </c>
      <c r="AE25" s="19">
        <v>0</v>
      </c>
      <c r="AF25" s="19">
        <f t="shared" ca="1" si="5"/>
        <v>4</v>
      </c>
      <c r="AG25" s="448">
        <f t="shared" ca="1" si="6"/>
        <v>0.16666666666666666</v>
      </c>
      <c r="AH25" s="19">
        <f t="shared" ca="1" si="7"/>
        <v>1</v>
      </c>
      <c r="AI25" s="19">
        <f t="shared" ca="1" si="8"/>
        <v>23</v>
      </c>
    </row>
    <row r="26" spans="1:35" ht="15.6">
      <c r="C26" s="439"/>
      <c r="E26" s="439"/>
      <c r="P26" s="19">
        <v>24</v>
      </c>
      <c r="Q26" s="19" t="str">
        <f t="shared" ca="1" si="3"/>
        <v>Haití</v>
      </c>
      <c r="R26" s="19">
        <f t="shared" ca="1" si="12"/>
        <v>-4</v>
      </c>
      <c r="S26" s="448">
        <f t="shared" ca="1" si="12"/>
        <v>0.16666666666666666</v>
      </c>
      <c r="T26" s="19">
        <f t="shared" ca="1" si="10"/>
        <v>0</v>
      </c>
      <c r="U26" s="19">
        <f t="shared" ca="1" si="12"/>
        <v>0</v>
      </c>
      <c r="V26" s="448">
        <f t="shared" ca="1" si="12"/>
        <v>0</v>
      </c>
      <c r="W26" s="19">
        <f t="shared" ca="1" si="12"/>
        <v>0</v>
      </c>
      <c r="X26" s="19">
        <f t="shared" ca="1" si="1"/>
        <v>0</v>
      </c>
      <c r="AA26" s="19">
        <v>24</v>
      </c>
      <c r="AB26" s="19" t="str">
        <f ca="1">Idiomas!D222</f>
        <v>Haití</v>
      </c>
      <c r="AC26" s="449">
        <v>-4</v>
      </c>
      <c r="AD26" s="448">
        <f t="shared" si="4"/>
        <v>0.16666666666666666</v>
      </c>
      <c r="AE26" s="19">
        <v>0</v>
      </c>
      <c r="AF26" s="19">
        <f t="shared" ca="1" si="5"/>
        <v>0</v>
      </c>
      <c r="AG26" s="448">
        <f t="shared" ca="1" si="6"/>
        <v>0</v>
      </c>
      <c r="AH26" s="19">
        <f t="shared" ca="1" si="7"/>
        <v>0</v>
      </c>
      <c r="AI26" s="19">
        <f t="shared" ca="1" si="8"/>
        <v>24</v>
      </c>
    </row>
    <row r="27" spans="1:35" ht="15.6">
      <c r="A27" s="10" t="s">
        <v>83</v>
      </c>
      <c r="C27" s="439"/>
      <c r="E27" s="439"/>
      <c r="P27" s="19">
        <v>25</v>
      </c>
      <c r="Q27" s="19" t="str">
        <f t="shared" ca="1" si="3"/>
        <v>Inglaterra</v>
      </c>
      <c r="R27" s="19">
        <f t="shared" ca="1" si="12"/>
        <v>1</v>
      </c>
      <c r="S27" s="448">
        <f t="shared" ca="1" si="12"/>
        <v>4.1666666666666664E-2</v>
      </c>
      <c r="T27" s="19">
        <f t="shared" ca="1" si="10"/>
        <v>0</v>
      </c>
      <c r="U27" s="19">
        <f t="shared" ca="1" si="12"/>
        <v>5</v>
      </c>
      <c r="V27" s="448">
        <f t="shared" ca="1" si="12"/>
        <v>0.20833333333333334</v>
      </c>
      <c r="W27" s="19">
        <f t="shared" ca="1" si="12"/>
        <v>1</v>
      </c>
      <c r="X27" s="19">
        <f t="shared" ca="1" si="1"/>
        <v>0</v>
      </c>
      <c r="AA27" s="19">
        <v>25</v>
      </c>
      <c r="AB27" s="19" t="str">
        <f ca="1">Idiomas!D223</f>
        <v>Inglaterra</v>
      </c>
      <c r="AC27" s="449">
        <v>1</v>
      </c>
      <c r="AD27" s="448">
        <f t="shared" si="4"/>
        <v>4.1666666666666664E-2</v>
      </c>
      <c r="AE27" s="19">
        <v>0</v>
      </c>
      <c r="AF27" s="19">
        <f t="shared" ca="1" si="5"/>
        <v>5</v>
      </c>
      <c r="AG27" s="448">
        <f t="shared" ca="1" si="6"/>
        <v>0.20833333333333334</v>
      </c>
      <c r="AH27" s="19">
        <f t="shared" ca="1" si="7"/>
        <v>1</v>
      </c>
      <c r="AI27" s="19">
        <f t="shared" ca="1" si="8"/>
        <v>25</v>
      </c>
    </row>
    <row r="28" spans="1:35" ht="15.6">
      <c r="A28" s="439">
        <v>46185.875</v>
      </c>
      <c r="C28" s="439">
        <f t="shared" ref="C28:C33" ca="1" si="13">A28+INDEX($V$3:$V$86,MATCH($C$3,$P$3:$P$86,0))*INDEX($W$3:$W$86,MATCH($C$3,$P$3:$P$86,0))</f>
        <v>46186.125</v>
      </c>
      <c r="D28" s="439"/>
      <c r="E28" s="439"/>
      <c r="P28" s="19">
        <v>26</v>
      </c>
      <c r="Q28" s="19" t="str">
        <f t="shared" ca="1" si="3"/>
        <v>Irán</v>
      </c>
      <c r="R28" s="19">
        <f t="shared" ca="1" si="12"/>
        <v>4.5</v>
      </c>
      <c r="S28" s="448">
        <f t="shared" ca="1" si="12"/>
        <v>0.1875</v>
      </c>
      <c r="T28" s="19">
        <f t="shared" ca="1" si="10"/>
        <v>0</v>
      </c>
      <c r="U28" s="19">
        <f t="shared" ca="1" si="12"/>
        <v>8.5</v>
      </c>
      <c r="V28" s="448">
        <f t="shared" ca="1" si="12"/>
        <v>0.35416666666666669</v>
      </c>
      <c r="W28" s="19">
        <f t="shared" ca="1" si="12"/>
        <v>1</v>
      </c>
      <c r="X28" s="19">
        <f t="shared" ca="1" si="1"/>
        <v>0</v>
      </c>
      <c r="AA28" s="19">
        <v>26</v>
      </c>
      <c r="AB28" s="19" t="str">
        <f ca="1">Idiomas!D224</f>
        <v>Irán</v>
      </c>
      <c r="AC28" s="449">
        <v>4.5</v>
      </c>
      <c r="AD28" s="448">
        <f t="shared" si="4"/>
        <v>0.1875</v>
      </c>
      <c r="AE28" s="19">
        <v>0</v>
      </c>
      <c r="AF28" s="19">
        <f t="shared" ca="1" si="5"/>
        <v>8.5</v>
      </c>
      <c r="AG28" s="448">
        <f t="shared" ca="1" si="6"/>
        <v>0.35416666666666669</v>
      </c>
      <c r="AH28" s="19">
        <f t="shared" ca="1" si="7"/>
        <v>1</v>
      </c>
      <c r="AI28" s="19">
        <f t="shared" ca="1" si="8"/>
        <v>26</v>
      </c>
    </row>
    <row r="29" spans="1:35" ht="15.6">
      <c r="A29" s="439">
        <v>46186</v>
      </c>
      <c r="C29" s="439">
        <f t="shared" ca="1" si="13"/>
        <v>46186.25</v>
      </c>
      <c r="D29" s="439"/>
      <c r="E29" s="439"/>
      <c r="P29" s="19">
        <v>27</v>
      </c>
      <c r="Q29" s="19" t="str">
        <f t="shared" ca="1" si="3"/>
        <v>Japón</v>
      </c>
      <c r="R29" s="19">
        <f t="shared" ca="1" si="12"/>
        <v>9</v>
      </c>
      <c r="S29" s="448">
        <f t="shared" ca="1" si="12"/>
        <v>0.375</v>
      </c>
      <c r="T29" s="19">
        <f t="shared" ca="1" si="12"/>
        <v>0</v>
      </c>
      <c r="U29" s="19">
        <f t="shared" ca="1" si="12"/>
        <v>13</v>
      </c>
      <c r="V29" s="448">
        <f t="shared" ca="1" si="12"/>
        <v>0.54166666666666663</v>
      </c>
      <c r="W29" s="19">
        <f t="shared" ca="1" si="12"/>
        <v>1</v>
      </c>
      <c r="X29" s="19">
        <f t="shared" ca="1" si="1"/>
        <v>0</v>
      </c>
      <c r="AA29" s="19">
        <v>27</v>
      </c>
      <c r="AB29" s="19" t="str">
        <f ca="1">Idiomas!D225</f>
        <v>Japón</v>
      </c>
      <c r="AC29" s="449">
        <v>9</v>
      </c>
      <c r="AD29" s="448">
        <f t="shared" si="4"/>
        <v>0.375</v>
      </c>
      <c r="AE29" s="19">
        <v>0</v>
      </c>
      <c r="AF29" s="19">
        <f t="shared" ca="1" si="5"/>
        <v>13</v>
      </c>
      <c r="AG29" s="448">
        <f t="shared" ca="1" si="6"/>
        <v>0.54166666666666663</v>
      </c>
      <c r="AH29" s="19">
        <f t="shared" ca="1" si="7"/>
        <v>1</v>
      </c>
      <c r="AI29" s="19">
        <f t="shared" ca="1" si="8"/>
        <v>27</v>
      </c>
    </row>
    <row r="30" spans="1:35" ht="15.6">
      <c r="A30" s="439">
        <v>46192</v>
      </c>
      <c r="C30" s="439">
        <f t="shared" ca="1" si="13"/>
        <v>46192.25</v>
      </c>
      <c r="D30" s="439"/>
      <c r="E30" s="439"/>
      <c r="P30" s="19">
        <v>28</v>
      </c>
      <c r="Q30" s="19" t="str">
        <f t="shared" ca="1" si="3"/>
        <v>Jordania</v>
      </c>
      <c r="R30" s="19">
        <f t="shared" ca="1" si="12"/>
        <v>3</v>
      </c>
      <c r="S30" s="448">
        <f t="shared" ca="1" si="12"/>
        <v>0.125</v>
      </c>
      <c r="T30" s="19">
        <f t="shared" ca="1" si="12"/>
        <v>0</v>
      </c>
      <c r="U30" s="19">
        <f t="shared" ca="1" si="12"/>
        <v>7</v>
      </c>
      <c r="V30" s="448">
        <f t="shared" ca="1" si="12"/>
        <v>0.29166666666666669</v>
      </c>
      <c r="W30" s="19">
        <f t="shared" ca="1" si="12"/>
        <v>1</v>
      </c>
      <c r="X30" s="19">
        <f t="shared" ca="1" si="1"/>
        <v>0</v>
      </c>
      <c r="AA30" s="19">
        <v>28</v>
      </c>
      <c r="AB30" s="19" t="str">
        <f ca="1">Idiomas!D226</f>
        <v>Jordania</v>
      </c>
      <c r="AC30" s="449">
        <v>3</v>
      </c>
      <c r="AD30" s="448">
        <f t="shared" si="4"/>
        <v>0.125</v>
      </c>
      <c r="AE30" s="19">
        <v>0</v>
      </c>
      <c r="AF30" s="19">
        <f t="shared" ca="1" si="5"/>
        <v>7</v>
      </c>
      <c r="AG30" s="448">
        <f t="shared" ca="1" si="6"/>
        <v>0.29166666666666669</v>
      </c>
      <c r="AH30" s="19">
        <f t="shared" ca="1" si="7"/>
        <v>1</v>
      </c>
      <c r="AI30" s="19">
        <f t="shared" ca="1" si="8"/>
        <v>28</v>
      </c>
    </row>
    <row r="31" spans="1:35" ht="15.6">
      <c r="A31" s="439">
        <v>46192.625</v>
      </c>
      <c r="C31" s="439">
        <f t="shared" ca="1" si="13"/>
        <v>46192.875</v>
      </c>
      <c r="D31" s="439"/>
      <c r="E31" s="439"/>
      <c r="P31" s="19">
        <v>29</v>
      </c>
      <c r="Q31" s="19" t="str">
        <f t="shared" ca="1" si="3"/>
        <v>Marruecos</v>
      </c>
      <c r="R31" s="19">
        <f t="shared" ca="1" si="12"/>
        <v>1</v>
      </c>
      <c r="S31" s="448">
        <f t="shared" ca="1" si="12"/>
        <v>4.1666666666666664E-2</v>
      </c>
      <c r="T31" s="19">
        <f t="shared" ca="1" si="12"/>
        <v>0</v>
      </c>
      <c r="U31" s="19">
        <f t="shared" ca="1" si="12"/>
        <v>5</v>
      </c>
      <c r="V31" s="448">
        <f t="shared" ca="1" si="12"/>
        <v>0.20833333333333334</v>
      </c>
      <c r="W31" s="19">
        <f t="shared" ca="1" si="12"/>
        <v>1</v>
      </c>
      <c r="X31" s="19">
        <f t="shared" ca="1" si="1"/>
        <v>0</v>
      </c>
      <c r="AA31" s="19">
        <v>29</v>
      </c>
      <c r="AB31" s="19" t="str">
        <f ca="1">Idiomas!D227</f>
        <v>Marruecos</v>
      </c>
      <c r="AC31" s="449">
        <v>1</v>
      </c>
      <c r="AD31" s="448">
        <f t="shared" si="4"/>
        <v>4.1666666666666664E-2</v>
      </c>
      <c r="AE31" s="19">
        <v>0</v>
      </c>
      <c r="AF31" s="19">
        <f t="shared" ca="1" si="5"/>
        <v>5</v>
      </c>
      <c r="AG31" s="448">
        <f t="shared" ca="1" si="6"/>
        <v>0.20833333333333334</v>
      </c>
      <c r="AH31" s="19">
        <f t="shared" ca="1" si="7"/>
        <v>1</v>
      </c>
      <c r="AI31" s="19">
        <f t="shared" ca="1" si="8"/>
        <v>29</v>
      </c>
    </row>
    <row r="32" spans="1:35" ht="15.6">
      <c r="A32" s="439">
        <v>46198.916666666664</v>
      </c>
      <c r="C32" s="439">
        <f t="shared" ca="1" si="13"/>
        <v>46199.166666666664</v>
      </c>
      <c r="D32" s="439"/>
      <c r="E32" s="439"/>
      <c r="P32" s="19">
        <v>30</v>
      </c>
      <c r="Q32" s="19" t="str">
        <f t="shared" ca="1" si="3"/>
        <v>México</v>
      </c>
      <c r="R32" s="19">
        <f t="shared" ca="1" si="12"/>
        <v>-6</v>
      </c>
      <c r="S32" s="448">
        <f t="shared" ca="1" si="12"/>
        <v>0.25</v>
      </c>
      <c r="T32" s="19">
        <f t="shared" ca="1" si="12"/>
        <v>0</v>
      </c>
      <c r="U32" s="19">
        <f t="shared" ca="1" si="12"/>
        <v>-2</v>
      </c>
      <c r="V32" s="448">
        <f t="shared" ca="1" si="12"/>
        <v>8.3333333333333329E-2</v>
      </c>
      <c r="W32" s="19">
        <f t="shared" ca="1" si="12"/>
        <v>-1</v>
      </c>
      <c r="X32" s="19">
        <f t="shared" ca="1" si="1"/>
        <v>0</v>
      </c>
      <c r="AA32" s="19">
        <v>30</v>
      </c>
      <c r="AB32" s="19" t="str">
        <f ca="1">Idiomas!D228</f>
        <v>México</v>
      </c>
      <c r="AC32" s="449">
        <v>-6</v>
      </c>
      <c r="AD32" s="448">
        <f t="shared" si="4"/>
        <v>0.25</v>
      </c>
      <c r="AE32" s="19">
        <v>0</v>
      </c>
      <c r="AF32" s="19">
        <f t="shared" ca="1" si="5"/>
        <v>-2</v>
      </c>
      <c r="AG32" s="448">
        <f t="shared" ca="1" si="6"/>
        <v>8.3333333333333329E-2</v>
      </c>
      <c r="AH32" s="19">
        <f t="shared" ca="1" si="7"/>
        <v>-1</v>
      </c>
      <c r="AI32" s="19">
        <f t="shared" ca="1" si="8"/>
        <v>30</v>
      </c>
    </row>
    <row r="33" spans="1:35" ht="15.6">
      <c r="A33" s="439">
        <v>46198.916666666664</v>
      </c>
      <c r="C33" s="439">
        <f t="shared" ca="1" si="13"/>
        <v>46199.166666666664</v>
      </c>
      <c r="D33" s="439"/>
      <c r="P33" s="19">
        <v>31</v>
      </c>
      <c r="Q33" s="19" t="str">
        <f t="shared" ca="1" si="3"/>
        <v>Noruega</v>
      </c>
      <c r="R33" s="19">
        <f t="shared" ref="R33:W48" ca="1" si="14">+INDEX($AC$3:$AH$86,MATCH($Q33,$AB$3:$AB$86,0),MATCH(R$2,$AC$2:$AH$2,0))</f>
        <v>2</v>
      </c>
      <c r="S33" s="448">
        <f t="shared" ca="1" si="14"/>
        <v>8.3333333333333329E-2</v>
      </c>
      <c r="T33" s="19">
        <f t="shared" ca="1" si="12"/>
        <v>0</v>
      </c>
      <c r="U33" s="19">
        <f t="shared" ca="1" si="12"/>
        <v>6</v>
      </c>
      <c r="V33" s="448">
        <f t="shared" ca="1" si="14"/>
        <v>0.25</v>
      </c>
      <c r="W33" s="19">
        <f t="shared" ca="1" si="14"/>
        <v>1</v>
      </c>
      <c r="X33" s="19">
        <f t="shared" ca="1" si="1"/>
        <v>0</v>
      </c>
      <c r="AA33" s="19">
        <v>31</v>
      </c>
      <c r="AB33" s="19" t="str">
        <f ca="1">Idiomas!D229</f>
        <v>Noruega</v>
      </c>
      <c r="AC33" s="449">
        <v>2</v>
      </c>
      <c r="AD33" s="448">
        <f t="shared" si="4"/>
        <v>8.3333333333333329E-2</v>
      </c>
      <c r="AE33" s="19">
        <v>0</v>
      </c>
      <c r="AF33" s="19">
        <f t="shared" ca="1" si="5"/>
        <v>6</v>
      </c>
      <c r="AG33" s="448">
        <f t="shared" ca="1" si="6"/>
        <v>0.25</v>
      </c>
      <c r="AH33" s="19">
        <f t="shared" ca="1" si="7"/>
        <v>1</v>
      </c>
      <c r="AI33" s="19">
        <f t="shared" ca="1" si="8"/>
        <v>31</v>
      </c>
    </row>
    <row r="34" spans="1:35" ht="15.6">
      <c r="C34" s="439"/>
      <c r="P34" s="19">
        <v>32</v>
      </c>
      <c r="Q34" s="19" t="str">
        <f t="shared" ca="1" si="3"/>
        <v>Nueva Zelanda</v>
      </c>
      <c r="R34" s="19">
        <f t="shared" ca="1" si="14"/>
        <v>12</v>
      </c>
      <c r="S34" s="448">
        <f t="shared" ca="1" si="14"/>
        <v>0.5</v>
      </c>
      <c r="T34" s="19">
        <f t="shared" ca="1" si="12"/>
        <v>0</v>
      </c>
      <c r="U34" s="19">
        <f t="shared" ca="1" si="12"/>
        <v>16</v>
      </c>
      <c r="V34" s="448">
        <f t="shared" ca="1" si="14"/>
        <v>0.66666666666666663</v>
      </c>
      <c r="W34" s="19">
        <f t="shared" ca="1" si="14"/>
        <v>1</v>
      </c>
      <c r="X34" s="19">
        <f t="shared" ca="1" si="1"/>
        <v>0</v>
      </c>
      <c r="AA34" s="19">
        <v>32</v>
      </c>
      <c r="AB34" s="19" t="str">
        <f ca="1">Idiomas!D230</f>
        <v>Nueva Zelanda</v>
      </c>
      <c r="AC34" s="449">
        <v>12</v>
      </c>
      <c r="AD34" s="448">
        <f t="shared" si="4"/>
        <v>0.5</v>
      </c>
      <c r="AE34" s="19">
        <v>0</v>
      </c>
      <c r="AF34" s="19">
        <f t="shared" ca="1" si="5"/>
        <v>16</v>
      </c>
      <c r="AG34" s="448">
        <f t="shared" ca="1" si="6"/>
        <v>0.66666666666666663</v>
      </c>
      <c r="AH34" s="19">
        <f t="shared" ca="1" si="7"/>
        <v>1</v>
      </c>
      <c r="AI34" s="19">
        <f t="shared" ca="1" si="8"/>
        <v>32</v>
      </c>
    </row>
    <row r="35" spans="1:35" ht="15.6">
      <c r="A35" s="10" t="s">
        <v>84</v>
      </c>
      <c r="C35" s="439"/>
      <c r="P35" s="19">
        <v>33</v>
      </c>
      <c r="Q35" s="19" t="str">
        <f t="shared" ca="1" si="3"/>
        <v>Países Bajos</v>
      </c>
      <c r="R35" s="19">
        <f t="shared" ca="1" si="14"/>
        <v>2</v>
      </c>
      <c r="S35" s="448">
        <f t="shared" ca="1" si="14"/>
        <v>8.3333333333333329E-2</v>
      </c>
      <c r="T35" s="19">
        <f t="shared" ca="1" si="12"/>
        <v>0</v>
      </c>
      <c r="U35" s="19">
        <f t="shared" ca="1" si="12"/>
        <v>6</v>
      </c>
      <c r="V35" s="448">
        <f t="shared" ca="1" si="14"/>
        <v>0.25</v>
      </c>
      <c r="W35" s="19">
        <f t="shared" ca="1" si="14"/>
        <v>1</v>
      </c>
      <c r="X35" s="19">
        <f t="shared" ca="1" si="1"/>
        <v>0</v>
      </c>
      <c r="AA35" s="19">
        <v>33</v>
      </c>
      <c r="AB35" s="19" t="str">
        <f ca="1">Idiomas!D231</f>
        <v>Países Bajos</v>
      </c>
      <c r="AC35" s="449">
        <v>2</v>
      </c>
      <c r="AD35" s="448">
        <f t="shared" si="4"/>
        <v>8.3333333333333329E-2</v>
      </c>
      <c r="AE35" s="19">
        <v>0</v>
      </c>
      <c r="AF35" s="19">
        <f t="shared" ca="1" si="5"/>
        <v>6</v>
      </c>
      <c r="AG35" s="448">
        <f t="shared" ca="1" si="6"/>
        <v>0.25</v>
      </c>
      <c r="AH35" s="19">
        <f t="shared" ca="1" si="7"/>
        <v>1</v>
      </c>
      <c r="AI35" s="19">
        <f t="shared" ca="1" si="8"/>
        <v>33</v>
      </c>
    </row>
    <row r="36" spans="1:35" ht="15.6">
      <c r="A36" s="439">
        <v>46187.541666666664</v>
      </c>
      <c r="C36" s="439">
        <f t="shared" ref="C36:C41" ca="1" si="15">A36+INDEX($V$3:$V$86,MATCH($C$3,$P$3:$P$86,0))*INDEX($W$3:$W$86,MATCH($C$3,$P$3:$P$86,0))</f>
        <v>46187.791666666664</v>
      </c>
      <c r="D36" s="439"/>
      <c r="P36" s="19">
        <v>34</v>
      </c>
      <c r="Q36" s="19" t="str">
        <f t="shared" ca="1" si="3"/>
        <v>Panamá</v>
      </c>
      <c r="R36" s="19">
        <f t="shared" ca="1" si="14"/>
        <v>-5</v>
      </c>
      <c r="S36" s="448">
        <f t="shared" ca="1" si="14"/>
        <v>0.20833333333333334</v>
      </c>
      <c r="T36" s="19">
        <f t="shared" ca="1" si="12"/>
        <v>0</v>
      </c>
      <c r="U36" s="19">
        <f t="shared" ca="1" si="12"/>
        <v>-1</v>
      </c>
      <c r="V36" s="448">
        <f t="shared" ca="1" si="14"/>
        <v>4.1666666666666664E-2</v>
      </c>
      <c r="W36" s="19">
        <f t="shared" ca="1" si="14"/>
        <v>-1</v>
      </c>
      <c r="X36" s="19">
        <f t="shared" ca="1" si="1"/>
        <v>0</v>
      </c>
      <c r="AA36" s="19">
        <v>34</v>
      </c>
      <c r="AB36" s="19" t="str">
        <f ca="1">Idiomas!D232</f>
        <v>Panamá</v>
      </c>
      <c r="AC36" s="449">
        <v>-5</v>
      </c>
      <c r="AD36" s="448">
        <f t="shared" si="4"/>
        <v>0.20833333333333334</v>
      </c>
      <c r="AE36" s="19">
        <v>0</v>
      </c>
      <c r="AF36" s="19">
        <f t="shared" ca="1" si="5"/>
        <v>-1</v>
      </c>
      <c r="AG36" s="448">
        <f t="shared" ca="1" si="6"/>
        <v>4.1666666666666664E-2</v>
      </c>
      <c r="AH36" s="19">
        <f t="shared" ca="1" si="7"/>
        <v>-1</v>
      </c>
      <c r="AI36" s="19">
        <f t="shared" ca="1" si="8"/>
        <v>34</v>
      </c>
    </row>
    <row r="37" spans="1:35" ht="15.6">
      <c r="A37" s="439">
        <v>46187.791666666664</v>
      </c>
      <c r="C37" s="439">
        <f t="shared" ca="1" si="15"/>
        <v>46188.041666666664</v>
      </c>
      <c r="D37" s="439"/>
      <c r="P37" s="19">
        <v>35</v>
      </c>
      <c r="Q37" s="19" t="str">
        <f t="shared" ca="1" si="3"/>
        <v>Paraguay</v>
      </c>
      <c r="R37" s="19">
        <f t="shared" ca="1" si="14"/>
        <v>-4</v>
      </c>
      <c r="S37" s="448">
        <f t="shared" ca="1" si="14"/>
        <v>0.16666666666666666</v>
      </c>
      <c r="T37" s="19">
        <f t="shared" ca="1" si="12"/>
        <v>0</v>
      </c>
      <c r="U37" s="19">
        <f t="shared" ca="1" si="12"/>
        <v>0</v>
      </c>
      <c r="V37" s="448">
        <f t="shared" ca="1" si="14"/>
        <v>0</v>
      </c>
      <c r="W37" s="19">
        <f t="shared" ca="1" si="14"/>
        <v>0</v>
      </c>
      <c r="X37" s="19">
        <f t="shared" ca="1" si="1"/>
        <v>0</v>
      </c>
      <c r="AA37" s="19">
        <v>35</v>
      </c>
      <c r="AB37" s="19" t="str">
        <f ca="1">Idiomas!D233</f>
        <v>Paraguay</v>
      </c>
      <c r="AC37" s="449">
        <v>-4</v>
      </c>
      <c r="AD37" s="448">
        <f t="shared" si="4"/>
        <v>0.16666666666666666</v>
      </c>
      <c r="AE37" s="19">
        <v>0</v>
      </c>
      <c r="AF37" s="19">
        <f t="shared" ca="1" si="5"/>
        <v>0</v>
      </c>
      <c r="AG37" s="448">
        <f t="shared" ca="1" si="6"/>
        <v>0</v>
      </c>
      <c r="AH37" s="19">
        <f t="shared" ca="1" si="7"/>
        <v>0</v>
      </c>
      <c r="AI37" s="19">
        <f t="shared" ca="1" si="8"/>
        <v>35</v>
      </c>
    </row>
    <row r="38" spans="1:35" ht="15.6">
      <c r="A38" s="439">
        <v>46193.666666666664</v>
      </c>
      <c r="C38" s="439">
        <f t="shared" ca="1" si="15"/>
        <v>46193.916666666664</v>
      </c>
      <c r="D38" s="439"/>
      <c r="P38" s="19">
        <v>36</v>
      </c>
      <c r="Q38" s="19" t="str">
        <f t="shared" ca="1" si="3"/>
        <v>PO 1: COD/JAM/NCL</v>
      </c>
      <c r="R38" s="19">
        <f t="shared" ca="1" si="14"/>
        <v>0</v>
      </c>
      <c r="S38" s="448">
        <f t="shared" ca="1" si="14"/>
        <v>0</v>
      </c>
      <c r="T38" s="19">
        <f t="shared" ca="1" si="12"/>
        <v>0</v>
      </c>
      <c r="U38" s="19">
        <f t="shared" ca="1" si="12"/>
        <v>4</v>
      </c>
      <c r="V38" s="448">
        <f t="shared" ca="1" si="14"/>
        <v>0.16666666666666666</v>
      </c>
      <c r="W38" s="19">
        <f t="shared" ca="1" si="14"/>
        <v>1</v>
      </c>
      <c r="X38" s="19">
        <f t="shared" ca="1" si="1"/>
        <v>0</v>
      </c>
      <c r="AA38" s="19">
        <v>36</v>
      </c>
      <c r="AB38" s="19" t="str">
        <f ca="1">Idiomas!D234</f>
        <v>Portugal</v>
      </c>
      <c r="AC38" s="449">
        <v>1</v>
      </c>
      <c r="AD38" s="448">
        <f t="shared" si="4"/>
        <v>4.1666666666666664E-2</v>
      </c>
      <c r="AE38" s="19">
        <v>0</v>
      </c>
      <c r="AF38" s="19">
        <f t="shared" ca="1" si="5"/>
        <v>5</v>
      </c>
      <c r="AG38" s="448">
        <f t="shared" ca="1" si="6"/>
        <v>0.20833333333333334</v>
      </c>
      <c r="AH38" s="19">
        <f t="shared" ca="1" si="7"/>
        <v>1</v>
      </c>
      <c r="AI38" s="19">
        <f t="shared" ca="1" si="8"/>
        <v>42</v>
      </c>
    </row>
    <row r="39" spans="1:35" ht="15.6">
      <c r="A39" s="439">
        <v>46193.833333333336</v>
      </c>
      <c r="C39" s="439">
        <f t="shared" ca="1" si="15"/>
        <v>46194.083333333336</v>
      </c>
      <c r="D39" s="439"/>
      <c r="P39" s="19">
        <v>37</v>
      </c>
      <c r="Q39" s="19" t="str">
        <f t="shared" ca="1" si="3"/>
        <v>PO 2: IRQ/BOL/SUR</v>
      </c>
      <c r="R39" s="19">
        <f t="shared" ca="1" si="14"/>
        <v>0</v>
      </c>
      <c r="S39" s="448">
        <f t="shared" ca="1" si="14"/>
        <v>0</v>
      </c>
      <c r="T39" s="19">
        <f t="shared" ca="1" si="14"/>
        <v>0</v>
      </c>
      <c r="U39" s="19">
        <f t="shared" ca="1" si="14"/>
        <v>4</v>
      </c>
      <c r="V39" s="448">
        <f t="shared" ca="1" si="14"/>
        <v>0.16666666666666666</v>
      </c>
      <c r="W39" s="19">
        <f t="shared" ca="1" si="14"/>
        <v>1</v>
      </c>
      <c r="X39" s="19">
        <f t="shared" ca="1" si="1"/>
        <v>0</v>
      </c>
      <c r="AA39" s="19">
        <v>37</v>
      </c>
      <c r="AB39" s="19" t="str">
        <f ca="1">Idiomas!D235</f>
        <v>Senegal</v>
      </c>
      <c r="AC39" s="449">
        <v>0</v>
      </c>
      <c r="AD39" s="448">
        <f t="shared" si="4"/>
        <v>0</v>
      </c>
      <c r="AE39" s="19">
        <v>0</v>
      </c>
      <c r="AF39" s="19">
        <f t="shared" ca="1" si="5"/>
        <v>4</v>
      </c>
      <c r="AG39" s="448">
        <f t="shared" ca="1" si="6"/>
        <v>0.16666666666666666</v>
      </c>
      <c r="AH39" s="19">
        <f t="shared" ca="1" si="7"/>
        <v>1</v>
      </c>
      <c r="AI39" s="19">
        <f t="shared" ca="1" si="8"/>
        <v>43</v>
      </c>
    </row>
    <row r="40" spans="1:35" ht="15.6">
      <c r="A40" s="439">
        <v>46198.666666666664</v>
      </c>
      <c r="C40" s="439">
        <f t="shared" ca="1" si="15"/>
        <v>46198.916666666664</v>
      </c>
      <c r="D40" s="439"/>
      <c r="P40" s="19">
        <v>38</v>
      </c>
      <c r="Q40" s="19" t="str">
        <f t="shared" ca="1" si="3"/>
        <v>PO A: ITA/NIR/WAL/BIH</v>
      </c>
      <c r="R40" s="19">
        <f t="shared" ca="1" si="14"/>
        <v>0</v>
      </c>
      <c r="S40" s="448">
        <f t="shared" ca="1" si="14"/>
        <v>0</v>
      </c>
      <c r="T40" s="19">
        <f t="shared" ca="1" si="14"/>
        <v>0</v>
      </c>
      <c r="U40" s="19">
        <f t="shared" ca="1" si="14"/>
        <v>4</v>
      </c>
      <c r="V40" s="448">
        <f t="shared" ca="1" si="14"/>
        <v>0.16666666666666666</v>
      </c>
      <c r="W40" s="19">
        <f t="shared" ca="1" si="14"/>
        <v>1</v>
      </c>
      <c r="X40" s="19">
        <f t="shared" ca="1" si="1"/>
        <v>0</v>
      </c>
      <c r="AA40" s="19">
        <v>38</v>
      </c>
      <c r="AB40" s="19" t="str">
        <f ca="1">Idiomas!D236</f>
        <v>Sudáfrica</v>
      </c>
      <c r="AC40" s="449">
        <v>2</v>
      </c>
      <c r="AD40" s="448">
        <f t="shared" si="4"/>
        <v>8.3333333333333329E-2</v>
      </c>
      <c r="AE40" s="19">
        <v>0</v>
      </c>
      <c r="AF40" s="19">
        <f t="shared" ca="1" si="5"/>
        <v>6</v>
      </c>
      <c r="AG40" s="448">
        <f t="shared" ca="1" si="6"/>
        <v>0.25</v>
      </c>
      <c r="AH40" s="19">
        <f t="shared" ca="1" si="7"/>
        <v>1</v>
      </c>
      <c r="AI40" s="19">
        <f t="shared" ca="1" si="8"/>
        <v>44</v>
      </c>
    </row>
    <row r="41" spans="1:35" ht="15.6">
      <c r="A41" s="439">
        <v>46198.666666666664</v>
      </c>
      <c r="C41" s="439">
        <f t="shared" ca="1" si="15"/>
        <v>46198.916666666664</v>
      </c>
      <c r="D41" s="439"/>
      <c r="P41" s="19">
        <v>39</v>
      </c>
      <c r="Q41" s="19" t="str">
        <f t="shared" ca="1" si="3"/>
        <v>PO B: UKR/SWE/POL/ALB</v>
      </c>
      <c r="R41" s="19">
        <f t="shared" ca="1" si="14"/>
        <v>0</v>
      </c>
      <c r="S41" s="448">
        <f t="shared" ca="1" si="14"/>
        <v>0</v>
      </c>
      <c r="T41" s="19">
        <f t="shared" ca="1" si="14"/>
        <v>0</v>
      </c>
      <c r="U41" s="19">
        <f t="shared" ca="1" si="14"/>
        <v>4</v>
      </c>
      <c r="V41" s="448">
        <f t="shared" ca="1" si="14"/>
        <v>0.16666666666666666</v>
      </c>
      <c r="W41" s="19">
        <f t="shared" ca="1" si="14"/>
        <v>1</v>
      </c>
      <c r="X41" s="19">
        <f t="shared" ca="1" si="1"/>
        <v>0</v>
      </c>
      <c r="AA41" s="19">
        <v>39</v>
      </c>
      <c r="AB41" s="19" t="str">
        <f ca="1">Idiomas!D237</f>
        <v>Suiza</v>
      </c>
      <c r="AC41" s="449">
        <v>2</v>
      </c>
      <c r="AD41" s="448">
        <f t="shared" si="4"/>
        <v>8.3333333333333329E-2</v>
      </c>
      <c r="AE41" s="19">
        <v>0</v>
      </c>
      <c r="AF41" s="19">
        <f t="shared" ca="1" si="5"/>
        <v>6</v>
      </c>
      <c r="AG41" s="448">
        <f t="shared" ca="1" si="6"/>
        <v>0.25</v>
      </c>
      <c r="AH41" s="19">
        <f t="shared" ca="1" si="7"/>
        <v>1</v>
      </c>
      <c r="AI41" s="19">
        <f t="shared" ca="1" si="8"/>
        <v>45</v>
      </c>
    </row>
    <row r="42" spans="1:35" ht="15.6">
      <c r="C42" s="439"/>
      <c r="P42" s="19">
        <v>40</v>
      </c>
      <c r="Q42" s="19" t="str">
        <f t="shared" ca="1" si="3"/>
        <v>PO C: TUR/ROU/SVK/KOS</v>
      </c>
      <c r="R42" s="19">
        <f t="shared" ca="1" si="14"/>
        <v>0</v>
      </c>
      <c r="S42" s="448">
        <f t="shared" ca="1" si="14"/>
        <v>0</v>
      </c>
      <c r="T42" s="19">
        <f t="shared" ca="1" si="14"/>
        <v>0</v>
      </c>
      <c r="U42" s="19">
        <f t="shared" ca="1" si="14"/>
        <v>4</v>
      </c>
      <c r="V42" s="448">
        <f t="shared" ca="1" si="14"/>
        <v>0.16666666666666666</v>
      </c>
      <c r="W42" s="19">
        <f t="shared" ca="1" si="14"/>
        <v>1</v>
      </c>
      <c r="X42" s="19">
        <f t="shared" ca="1" si="1"/>
        <v>0</v>
      </c>
      <c r="AA42" s="19">
        <v>40</v>
      </c>
      <c r="AB42" s="19" t="str">
        <f ca="1">Idiomas!D238</f>
        <v>Túnez</v>
      </c>
      <c r="AC42" s="449">
        <v>1</v>
      </c>
      <c r="AD42" s="448">
        <f t="shared" si="4"/>
        <v>4.1666666666666664E-2</v>
      </c>
      <c r="AE42" s="19">
        <v>0</v>
      </c>
      <c r="AF42" s="19">
        <f t="shared" ca="1" si="5"/>
        <v>5</v>
      </c>
      <c r="AG42" s="448">
        <f t="shared" ca="1" si="6"/>
        <v>0.20833333333333334</v>
      </c>
      <c r="AH42" s="19">
        <f t="shared" ca="1" si="7"/>
        <v>1</v>
      </c>
      <c r="AI42" s="19">
        <f t="shared" ca="1" si="8"/>
        <v>46</v>
      </c>
    </row>
    <row r="43" spans="1:35" ht="15.6">
      <c r="A43" s="10" t="s">
        <v>8</v>
      </c>
      <c r="C43" s="439"/>
      <c r="P43" s="19">
        <v>41</v>
      </c>
      <c r="Q43" s="19" t="str">
        <f t="shared" ca="1" si="3"/>
        <v>PO D: DEN/MKD/CZE/IRL</v>
      </c>
      <c r="R43" s="19">
        <f t="shared" ref="R43:W58" ca="1" si="16">+INDEX($AC$3:$AH$86,MATCH($Q43,$AB$3:$AB$86,0),MATCH(R$2,$AC$2:$AH$2,0))</f>
        <v>0</v>
      </c>
      <c r="S43" s="448">
        <f t="shared" ca="1" si="16"/>
        <v>0</v>
      </c>
      <c r="T43" s="19">
        <f t="shared" ca="1" si="14"/>
        <v>0</v>
      </c>
      <c r="U43" s="19">
        <f t="shared" ca="1" si="14"/>
        <v>4</v>
      </c>
      <c r="V43" s="448">
        <f t="shared" ca="1" si="16"/>
        <v>0.16666666666666666</v>
      </c>
      <c r="W43" s="19">
        <f t="shared" ca="1" si="16"/>
        <v>1</v>
      </c>
      <c r="X43" s="19">
        <f t="shared" ca="1" si="1"/>
        <v>0</v>
      </c>
      <c r="AA43" s="19">
        <v>41</v>
      </c>
      <c r="AB43" s="19" t="str">
        <f ca="1">Idiomas!D239</f>
        <v>Uruguay</v>
      </c>
      <c r="AC43" s="449">
        <v>-3</v>
      </c>
      <c r="AD43" s="448">
        <f t="shared" si="4"/>
        <v>0.125</v>
      </c>
      <c r="AE43" s="19">
        <v>0</v>
      </c>
      <c r="AF43" s="19">
        <f t="shared" ca="1" si="5"/>
        <v>1</v>
      </c>
      <c r="AG43" s="448">
        <f t="shared" ca="1" si="6"/>
        <v>4.1666666666666664E-2</v>
      </c>
      <c r="AH43" s="19">
        <f t="shared" ca="1" si="7"/>
        <v>1</v>
      </c>
      <c r="AI43" s="19">
        <f t="shared" ca="1" si="8"/>
        <v>47</v>
      </c>
    </row>
    <row r="44" spans="1:35" ht="15.6">
      <c r="A44" s="439">
        <v>46187.666666666664</v>
      </c>
      <c r="C44" s="439">
        <f t="shared" ref="C44:C49" ca="1" si="17">A44+INDEX($V$3:$V$86,MATCH($C$3,$P$3:$P$86,0))*INDEX($W$3:$W$86,MATCH($C$3,$P$3:$P$86,0))</f>
        <v>46187.916666666664</v>
      </c>
      <c r="D44" s="439"/>
      <c r="P44" s="19">
        <v>42</v>
      </c>
      <c r="Q44" s="19" t="str">
        <f t="shared" ca="1" si="3"/>
        <v>Portugal</v>
      </c>
      <c r="R44" s="19">
        <f t="shared" ca="1" si="16"/>
        <v>1</v>
      </c>
      <c r="S44" s="448">
        <f t="shared" ca="1" si="16"/>
        <v>4.1666666666666664E-2</v>
      </c>
      <c r="T44" s="19">
        <f t="shared" ca="1" si="14"/>
        <v>0</v>
      </c>
      <c r="U44" s="19">
        <f t="shared" ca="1" si="14"/>
        <v>5</v>
      </c>
      <c r="V44" s="448">
        <f t="shared" ca="1" si="16"/>
        <v>0.20833333333333334</v>
      </c>
      <c r="W44" s="19">
        <f t="shared" ca="1" si="16"/>
        <v>1</v>
      </c>
      <c r="X44" s="19">
        <f t="shared" ca="1" si="1"/>
        <v>0</v>
      </c>
      <c r="AA44" s="19">
        <v>42</v>
      </c>
      <c r="AB44" s="19" t="str">
        <f ca="1">Idiomas!D240</f>
        <v>Uzbekistán</v>
      </c>
      <c r="AC44" s="449">
        <v>5</v>
      </c>
      <c r="AD44" s="448">
        <f t="shared" si="4"/>
        <v>0.20833333333333334</v>
      </c>
      <c r="AE44" s="19">
        <v>0</v>
      </c>
      <c r="AF44" s="19">
        <f t="shared" ca="1" si="5"/>
        <v>9</v>
      </c>
      <c r="AG44" s="448">
        <f t="shared" ca="1" si="6"/>
        <v>0.375</v>
      </c>
      <c r="AH44" s="19">
        <f t="shared" ca="1" si="7"/>
        <v>1</v>
      </c>
      <c r="AI44" s="19">
        <f t="shared" ca="1" si="8"/>
        <v>48</v>
      </c>
    </row>
    <row r="45" spans="1:35">
      <c r="A45" s="439">
        <v>46187.916666666664</v>
      </c>
      <c r="C45" s="439">
        <f t="shared" ca="1" si="17"/>
        <v>46188.166666666664</v>
      </c>
      <c r="D45" s="439"/>
      <c r="P45" s="19">
        <v>43</v>
      </c>
      <c r="Q45" s="19" t="str">
        <f t="shared" ca="1" si="3"/>
        <v>Senegal</v>
      </c>
      <c r="R45" s="19">
        <f t="shared" ca="1" si="16"/>
        <v>0</v>
      </c>
      <c r="S45" s="448">
        <f t="shared" ca="1" si="16"/>
        <v>0</v>
      </c>
      <c r="T45" s="19">
        <f t="shared" ca="1" si="14"/>
        <v>0</v>
      </c>
      <c r="U45" s="19">
        <f t="shared" ca="1" si="14"/>
        <v>4</v>
      </c>
      <c r="V45" s="448">
        <f t="shared" ca="1" si="16"/>
        <v>0.16666666666666666</v>
      </c>
      <c r="W45" s="19">
        <f t="shared" ca="1" si="16"/>
        <v>1</v>
      </c>
      <c r="X45" s="19">
        <f t="shared" ca="1" si="1"/>
        <v>0</v>
      </c>
      <c r="AA45" s="19">
        <v>43</v>
      </c>
      <c r="AB45" s="19" t="str">
        <f ca="1">Idiomas!D241</f>
        <v>PO 1: COD/JAM/NCL</v>
      </c>
      <c r="AC45" s="19">
        <v>0</v>
      </c>
      <c r="AD45" s="448">
        <f t="shared" si="4"/>
        <v>0</v>
      </c>
      <c r="AE45" s="19">
        <v>0</v>
      </c>
      <c r="AF45" s="19">
        <f t="shared" ca="1" si="5"/>
        <v>4</v>
      </c>
      <c r="AG45" s="448">
        <f t="shared" ca="1" si="6"/>
        <v>0.16666666666666666</v>
      </c>
      <c r="AH45" s="19">
        <f t="shared" ca="1" si="7"/>
        <v>1</v>
      </c>
      <c r="AI45" s="19">
        <f t="shared" ca="1" si="8"/>
        <v>36</v>
      </c>
    </row>
    <row r="46" spans="1:35">
      <c r="A46" s="439">
        <v>46193</v>
      </c>
      <c r="C46" s="439">
        <f t="shared" ca="1" si="17"/>
        <v>46193.25</v>
      </c>
      <c r="D46" s="439"/>
      <c r="P46" s="19">
        <v>44</v>
      </c>
      <c r="Q46" s="19" t="str">
        <f t="shared" ca="1" si="3"/>
        <v>Sudáfrica</v>
      </c>
      <c r="R46" s="19">
        <f t="shared" ca="1" si="16"/>
        <v>2</v>
      </c>
      <c r="S46" s="448">
        <f t="shared" ca="1" si="16"/>
        <v>8.3333333333333329E-2</v>
      </c>
      <c r="T46" s="19">
        <f t="shared" ca="1" si="14"/>
        <v>0</v>
      </c>
      <c r="U46" s="19">
        <f t="shared" ca="1" si="14"/>
        <v>6</v>
      </c>
      <c r="V46" s="448">
        <f t="shared" ca="1" si="16"/>
        <v>0.25</v>
      </c>
      <c r="W46" s="19">
        <f t="shared" ca="1" si="16"/>
        <v>1</v>
      </c>
      <c r="X46" s="19">
        <f t="shared" ca="1" si="1"/>
        <v>0</v>
      </c>
      <c r="AA46" s="19">
        <v>44</v>
      </c>
      <c r="AB46" s="19" t="str">
        <f ca="1">Idiomas!D242</f>
        <v>PO 2: IRQ/BOL/SUR</v>
      </c>
      <c r="AC46" s="19">
        <v>0</v>
      </c>
      <c r="AD46" s="448">
        <f t="shared" si="4"/>
        <v>0</v>
      </c>
      <c r="AE46" s="19">
        <v>0</v>
      </c>
      <c r="AF46" s="19">
        <f t="shared" ca="1" si="5"/>
        <v>4</v>
      </c>
      <c r="AG46" s="448">
        <f t="shared" ca="1" si="6"/>
        <v>0.16666666666666666</v>
      </c>
      <c r="AH46" s="19">
        <f t="shared" ca="1" si="7"/>
        <v>1</v>
      </c>
      <c r="AI46" s="19">
        <f t="shared" ca="1" si="8"/>
        <v>37</v>
      </c>
    </row>
    <row r="47" spans="1:35">
      <c r="A47" s="439">
        <v>46193.541666666664</v>
      </c>
      <c r="C47" s="439">
        <f t="shared" ca="1" si="17"/>
        <v>46193.791666666664</v>
      </c>
      <c r="D47" s="439"/>
      <c r="P47" s="19">
        <v>45</v>
      </c>
      <c r="Q47" s="19" t="str">
        <f t="shared" ca="1" si="3"/>
        <v>Suiza</v>
      </c>
      <c r="R47" s="19">
        <f t="shared" ca="1" si="16"/>
        <v>2</v>
      </c>
      <c r="S47" s="448">
        <f t="shared" ca="1" si="16"/>
        <v>8.3333333333333329E-2</v>
      </c>
      <c r="T47" s="19">
        <f t="shared" ca="1" si="14"/>
        <v>0</v>
      </c>
      <c r="U47" s="19">
        <f t="shared" ca="1" si="14"/>
        <v>6</v>
      </c>
      <c r="V47" s="448">
        <f t="shared" ca="1" si="16"/>
        <v>0.25</v>
      </c>
      <c r="W47" s="19">
        <f t="shared" ca="1" si="16"/>
        <v>1</v>
      </c>
      <c r="X47" s="19">
        <f t="shared" ca="1" si="1"/>
        <v>0</v>
      </c>
      <c r="AA47" s="19">
        <v>45</v>
      </c>
      <c r="AB47" s="19" t="str">
        <f ca="1">Idiomas!D243</f>
        <v>PO A: ITA/NIR/WAL/BIH</v>
      </c>
      <c r="AC47" s="19">
        <v>0</v>
      </c>
      <c r="AD47" s="448">
        <f t="shared" si="4"/>
        <v>0</v>
      </c>
      <c r="AE47" s="19">
        <v>0</v>
      </c>
      <c r="AF47" s="19">
        <f t="shared" ca="1" si="5"/>
        <v>4</v>
      </c>
      <c r="AG47" s="448">
        <f t="shared" ca="1" si="6"/>
        <v>0.16666666666666666</v>
      </c>
      <c r="AH47" s="19">
        <f t="shared" ca="1" si="7"/>
        <v>1</v>
      </c>
      <c r="AI47" s="19">
        <f t="shared" ca="1" si="8"/>
        <v>38</v>
      </c>
    </row>
    <row r="48" spans="1:35">
      <c r="A48" s="439">
        <v>46198.791666666664</v>
      </c>
      <c r="C48" s="439">
        <f t="shared" ca="1" si="17"/>
        <v>46199.041666666664</v>
      </c>
      <c r="D48" s="439"/>
      <c r="P48" s="19">
        <v>46</v>
      </c>
      <c r="Q48" s="19" t="str">
        <f t="shared" ca="1" si="3"/>
        <v>Túnez</v>
      </c>
      <c r="R48" s="19">
        <f t="shared" ca="1" si="16"/>
        <v>1</v>
      </c>
      <c r="S48" s="448">
        <f t="shared" ca="1" si="16"/>
        <v>4.1666666666666664E-2</v>
      </c>
      <c r="T48" s="19">
        <f t="shared" ca="1" si="14"/>
        <v>0</v>
      </c>
      <c r="U48" s="19">
        <f t="shared" ca="1" si="14"/>
        <v>5</v>
      </c>
      <c r="V48" s="448">
        <f t="shared" ca="1" si="16"/>
        <v>0.20833333333333334</v>
      </c>
      <c r="W48" s="19">
        <f t="shared" ca="1" si="16"/>
        <v>1</v>
      </c>
      <c r="X48" s="19">
        <f t="shared" ca="1" si="1"/>
        <v>0</v>
      </c>
      <c r="AA48" s="19">
        <v>46</v>
      </c>
      <c r="AB48" s="19" t="str">
        <f ca="1">Idiomas!D244</f>
        <v>PO B: UKR/SWE/POL/ALB</v>
      </c>
      <c r="AC48" s="19">
        <v>0</v>
      </c>
      <c r="AD48" s="448">
        <f t="shared" si="4"/>
        <v>0</v>
      </c>
      <c r="AE48" s="19">
        <v>0</v>
      </c>
      <c r="AF48" s="19">
        <f t="shared" ca="1" si="5"/>
        <v>4</v>
      </c>
      <c r="AG48" s="448">
        <f t="shared" ca="1" si="6"/>
        <v>0.16666666666666666</v>
      </c>
      <c r="AH48" s="19">
        <f t="shared" ca="1" si="7"/>
        <v>1</v>
      </c>
      <c r="AI48" s="19">
        <f t="shared" ca="1" si="8"/>
        <v>39</v>
      </c>
    </row>
    <row r="49" spans="1:35">
      <c r="A49" s="439">
        <v>46198.791666666664</v>
      </c>
      <c r="C49" s="439">
        <f t="shared" ca="1" si="17"/>
        <v>46199.041666666664</v>
      </c>
      <c r="D49" s="439"/>
      <c r="P49" s="19">
        <v>47</v>
      </c>
      <c r="Q49" s="19" t="str">
        <f t="shared" ca="1" si="3"/>
        <v>Uruguay</v>
      </c>
      <c r="R49" s="19">
        <f t="shared" ca="1" si="16"/>
        <v>-3</v>
      </c>
      <c r="S49" s="448">
        <f t="shared" ca="1" si="16"/>
        <v>0.125</v>
      </c>
      <c r="T49" s="19">
        <f t="shared" ca="1" si="16"/>
        <v>0</v>
      </c>
      <c r="U49" s="19">
        <f t="shared" ca="1" si="16"/>
        <v>1</v>
      </c>
      <c r="V49" s="448">
        <f t="shared" ca="1" si="16"/>
        <v>4.1666666666666664E-2</v>
      </c>
      <c r="W49" s="19">
        <f t="shared" ca="1" si="16"/>
        <v>1</v>
      </c>
      <c r="X49" s="19">
        <f t="shared" ca="1" si="1"/>
        <v>0</v>
      </c>
      <c r="AA49" s="19">
        <v>47</v>
      </c>
      <c r="AB49" s="19" t="str">
        <f ca="1">Idiomas!D245</f>
        <v>PO C: TUR/ROU/SVK/KOS</v>
      </c>
      <c r="AC49" s="19">
        <v>0</v>
      </c>
      <c r="AD49" s="448">
        <f t="shared" si="4"/>
        <v>0</v>
      </c>
      <c r="AE49" s="19">
        <v>0</v>
      </c>
      <c r="AF49" s="19">
        <f t="shared" ca="1" si="5"/>
        <v>4</v>
      </c>
      <c r="AG49" s="448">
        <f t="shared" ca="1" si="6"/>
        <v>0.16666666666666666</v>
      </c>
      <c r="AH49" s="19">
        <f t="shared" ca="1" si="7"/>
        <v>1</v>
      </c>
      <c r="AI49" s="19">
        <f t="shared" ca="1" si="8"/>
        <v>40</v>
      </c>
    </row>
    <row r="50" spans="1:35">
      <c r="C50" s="439"/>
      <c r="P50" s="19">
        <v>48</v>
      </c>
      <c r="Q50" s="19" t="str">
        <f t="shared" ca="1" si="3"/>
        <v>Uzbekistán</v>
      </c>
      <c r="R50" s="19">
        <f t="shared" ca="1" si="16"/>
        <v>5</v>
      </c>
      <c r="S50" s="448">
        <f t="shared" ca="1" si="16"/>
        <v>0.20833333333333334</v>
      </c>
      <c r="T50" s="19">
        <f t="shared" ca="1" si="16"/>
        <v>0</v>
      </c>
      <c r="U50" s="19">
        <f t="shared" ca="1" si="16"/>
        <v>9</v>
      </c>
      <c r="V50" s="448">
        <f t="shared" ca="1" si="16"/>
        <v>0.375</v>
      </c>
      <c r="W50" s="19">
        <f t="shared" ca="1" si="16"/>
        <v>1</v>
      </c>
      <c r="X50" s="19">
        <f t="shared" ca="1" si="1"/>
        <v>0</v>
      </c>
      <c r="AA50" s="19">
        <v>48</v>
      </c>
      <c r="AB50" s="19" t="str">
        <f ca="1">Idiomas!D246</f>
        <v>PO D: DEN/MKD/CZE/IRL</v>
      </c>
      <c r="AC50" s="19">
        <v>0</v>
      </c>
      <c r="AD50" s="448">
        <f t="shared" si="4"/>
        <v>0</v>
      </c>
      <c r="AE50" s="19">
        <v>0</v>
      </c>
      <c r="AF50" s="19">
        <f t="shared" ca="1" si="5"/>
        <v>4</v>
      </c>
      <c r="AG50" s="448">
        <f t="shared" ca="1" si="6"/>
        <v>0.16666666666666666</v>
      </c>
      <c r="AH50" s="19">
        <f t="shared" ca="1" si="7"/>
        <v>1</v>
      </c>
      <c r="AI50" s="19">
        <f t="shared" ca="1" si="8"/>
        <v>41</v>
      </c>
    </row>
    <row r="51" spans="1:35">
      <c r="A51" s="10" t="s">
        <v>501</v>
      </c>
      <c r="C51" s="439"/>
      <c r="P51" s="19">
        <v>49</v>
      </c>
      <c r="Q51" s="19" t="s">
        <v>159</v>
      </c>
      <c r="R51" s="19">
        <f t="shared" ca="1" si="16"/>
        <v>-12</v>
      </c>
      <c r="S51" s="448">
        <f t="shared" ca="1" si="16"/>
        <v>0.5</v>
      </c>
      <c r="T51" s="19">
        <f t="shared" ca="1" si="16"/>
        <v>0</v>
      </c>
      <c r="U51" s="19">
        <f t="shared" ca="1" si="16"/>
        <v>-8</v>
      </c>
      <c r="V51" s="448">
        <f t="shared" ca="1" si="16"/>
        <v>0.33333333333333331</v>
      </c>
      <c r="W51" s="19">
        <f t="shared" ref="W51:W60" ca="1" si="18">IF(R51&gt;$M$2,1,IF(R51=$M$2,0,-1))</f>
        <v>-1</v>
      </c>
      <c r="AA51" s="19">
        <v>49</v>
      </c>
      <c r="AB51" s="19" t="s">
        <v>159</v>
      </c>
      <c r="AC51" s="19">
        <v>-12</v>
      </c>
      <c r="AD51" s="448">
        <f t="shared" si="4"/>
        <v>0.5</v>
      </c>
      <c r="AE51" s="19">
        <v>0</v>
      </c>
      <c r="AF51" s="19">
        <f t="shared" ref="AF51:AF60" ca="1" si="19">AC51-$M$2</f>
        <v>-8</v>
      </c>
      <c r="AG51" s="448">
        <f t="shared" ca="1" si="6"/>
        <v>0.33333333333333331</v>
      </c>
      <c r="AH51" s="19">
        <f t="shared" ref="AH51:AH60" ca="1" si="20">IF(AC51&gt;$M$2,1,IF(AC51=$M$2,0,-1))</f>
        <v>-1</v>
      </c>
    </row>
    <row r="52" spans="1:35">
      <c r="A52" s="439">
        <v>46188.625</v>
      </c>
      <c r="C52" s="439">
        <f t="shared" ref="C52:C57" ca="1" si="21">A52+INDEX($V$3:$V$86,MATCH($C$3,$P$3:$P$86,0))*INDEX($W$3:$W$86,MATCH($C$3,$P$3:$P$86,0))</f>
        <v>46188.875</v>
      </c>
      <c r="D52" s="439"/>
      <c r="P52" s="19">
        <v>50</v>
      </c>
      <c r="Q52" s="19" t="s">
        <v>160</v>
      </c>
      <c r="R52" s="19">
        <f t="shared" ca="1" si="16"/>
        <v>-11</v>
      </c>
      <c r="S52" s="448">
        <f t="shared" ca="1" si="16"/>
        <v>0.45833333333333331</v>
      </c>
      <c r="T52" s="19">
        <f t="shared" ca="1" si="16"/>
        <v>0</v>
      </c>
      <c r="U52" s="19">
        <f t="shared" ca="1" si="16"/>
        <v>-7</v>
      </c>
      <c r="V52" s="448">
        <f t="shared" ca="1" si="16"/>
        <v>0.29166666666666669</v>
      </c>
      <c r="W52" s="19">
        <f t="shared" ca="1" si="18"/>
        <v>-1</v>
      </c>
      <c r="AA52" s="19">
        <v>50</v>
      </c>
      <c r="AB52" s="19" t="s">
        <v>160</v>
      </c>
      <c r="AC52" s="19">
        <v>-11</v>
      </c>
      <c r="AD52" s="448">
        <f t="shared" si="4"/>
        <v>0.45833333333333331</v>
      </c>
      <c r="AE52" s="19">
        <v>0</v>
      </c>
      <c r="AF52" s="19">
        <f t="shared" ca="1" si="19"/>
        <v>-7</v>
      </c>
      <c r="AG52" s="448">
        <f t="shared" ca="1" si="6"/>
        <v>0.29166666666666669</v>
      </c>
      <c r="AH52" s="19">
        <f t="shared" ca="1" si="20"/>
        <v>-1</v>
      </c>
    </row>
    <row r="53" spans="1:35">
      <c r="A53" s="439">
        <v>46188.875</v>
      </c>
      <c r="C53" s="439">
        <f t="shared" ca="1" si="21"/>
        <v>46189.125</v>
      </c>
      <c r="D53" s="439"/>
      <c r="P53" s="19">
        <v>51</v>
      </c>
      <c r="Q53" s="19" t="s">
        <v>161</v>
      </c>
      <c r="R53" s="19">
        <f t="shared" ca="1" si="16"/>
        <v>-10</v>
      </c>
      <c r="S53" s="448">
        <f t="shared" ca="1" si="16"/>
        <v>0.41666666666666669</v>
      </c>
      <c r="T53" s="19">
        <f t="shared" ca="1" si="16"/>
        <v>0</v>
      </c>
      <c r="U53" s="19">
        <f t="shared" ca="1" si="16"/>
        <v>-6</v>
      </c>
      <c r="V53" s="448">
        <f t="shared" ca="1" si="16"/>
        <v>0.25</v>
      </c>
      <c r="W53" s="19">
        <f t="shared" ca="1" si="18"/>
        <v>-1</v>
      </c>
      <c r="AA53" s="19">
        <v>51</v>
      </c>
      <c r="AB53" s="19" t="s">
        <v>161</v>
      </c>
      <c r="AC53" s="19">
        <v>-10</v>
      </c>
      <c r="AD53" s="448">
        <f t="shared" si="4"/>
        <v>0.41666666666666669</v>
      </c>
      <c r="AE53" s="19">
        <v>0</v>
      </c>
      <c r="AF53" s="19">
        <f t="shared" ca="1" si="19"/>
        <v>-6</v>
      </c>
      <c r="AG53" s="448">
        <f t="shared" ca="1" si="6"/>
        <v>0.25</v>
      </c>
      <c r="AH53" s="19">
        <f t="shared" ca="1" si="20"/>
        <v>-1</v>
      </c>
    </row>
    <row r="54" spans="1:35">
      <c r="A54" s="439">
        <v>46194.625</v>
      </c>
      <c r="C54" s="439">
        <f t="shared" ca="1" si="21"/>
        <v>46194.875</v>
      </c>
      <c r="D54" s="439"/>
      <c r="P54" s="19">
        <v>52</v>
      </c>
      <c r="Q54" s="19" t="s">
        <v>162</v>
      </c>
      <c r="R54" s="19">
        <f t="shared" ca="1" si="16"/>
        <v>-9</v>
      </c>
      <c r="S54" s="448">
        <f t="shared" ca="1" si="16"/>
        <v>0.375</v>
      </c>
      <c r="T54" s="19">
        <f t="shared" ca="1" si="16"/>
        <v>0</v>
      </c>
      <c r="U54" s="19">
        <f t="shared" ca="1" si="16"/>
        <v>-5</v>
      </c>
      <c r="V54" s="448">
        <f t="shared" ca="1" si="16"/>
        <v>0.20833333333333334</v>
      </c>
      <c r="W54" s="19">
        <f t="shared" ca="1" si="18"/>
        <v>-1</v>
      </c>
      <c r="AA54" s="19">
        <v>52</v>
      </c>
      <c r="AB54" s="19" t="s">
        <v>162</v>
      </c>
      <c r="AC54" s="19">
        <v>-9</v>
      </c>
      <c r="AD54" s="448">
        <f t="shared" si="4"/>
        <v>0.375</v>
      </c>
      <c r="AE54" s="19">
        <v>0</v>
      </c>
      <c r="AF54" s="19">
        <f t="shared" ca="1" si="19"/>
        <v>-5</v>
      </c>
      <c r="AG54" s="448">
        <f t="shared" ca="1" si="6"/>
        <v>0.20833333333333334</v>
      </c>
      <c r="AH54" s="19">
        <f t="shared" ca="1" si="20"/>
        <v>-1</v>
      </c>
    </row>
    <row r="55" spans="1:35">
      <c r="A55" s="439">
        <v>46194.875</v>
      </c>
      <c r="C55" s="439">
        <f t="shared" ca="1" si="21"/>
        <v>46195.125</v>
      </c>
      <c r="D55" s="439"/>
      <c r="P55" s="19">
        <v>53</v>
      </c>
      <c r="Q55" s="19" t="s">
        <v>163</v>
      </c>
      <c r="R55" s="19">
        <f t="shared" ca="1" si="16"/>
        <v>-8</v>
      </c>
      <c r="S55" s="448">
        <f t="shared" ca="1" si="16"/>
        <v>0.33333333333333331</v>
      </c>
      <c r="T55" s="19">
        <f t="shared" ca="1" si="16"/>
        <v>0</v>
      </c>
      <c r="U55" s="19">
        <f t="shared" ca="1" si="16"/>
        <v>-4</v>
      </c>
      <c r="V55" s="448">
        <f t="shared" ca="1" si="16"/>
        <v>0.16666666666666666</v>
      </c>
      <c r="W55" s="19">
        <f t="shared" ca="1" si="18"/>
        <v>-1</v>
      </c>
      <c r="AA55" s="19">
        <v>53</v>
      </c>
      <c r="AB55" s="19" t="s">
        <v>163</v>
      </c>
      <c r="AC55" s="19">
        <v>-8</v>
      </c>
      <c r="AD55" s="448">
        <f t="shared" si="4"/>
        <v>0.33333333333333331</v>
      </c>
      <c r="AE55" s="19">
        <v>0</v>
      </c>
      <c r="AF55" s="19">
        <f t="shared" ca="1" si="19"/>
        <v>-4</v>
      </c>
      <c r="AG55" s="448">
        <f t="shared" ca="1" si="6"/>
        <v>0.16666666666666666</v>
      </c>
      <c r="AH55" s="19">
        <f t="shared" ca="1" si="20"/>
        <v>-1</v>
      </c>
    </row>
    <row r="56" spans="1:35">
      <c r="A56" s="439">
        <v>46199.958333333336</v>
      </c>
      <c r="C56" s="439">
        <f t="shared" ca="1" si="21"/>
        <v>46200.208333333336</v>
      </c>
      <c r="D56" s="439"/>
      <c r="P56" s="19">
        <v>54</v>
      </c>
      <c r="Q56" s="19" t="s">
        <v>164</v>
      </c>
      <c r="R56" s="19">
        <f t="shared" ca="1" si="16"/>
        <v>-7</v>
      </c>
      <c r="S56" s="448">
        <f t="shared" ca="1" si="16"/>
        <v>0.29166666666666669</v>
      </c>
      <c r="T56" s="19">
        <f t="shared" ca="1" si="16"/>
        <v>0</v>
      </c>
      <c r="U56" s="19">
        <f t="shared" ca="1" si="16"/>
        <v>-3</v>
      </c>
      <c r="V56" s="448">
        <f t="shared" ca="1" si="16"/>
        <v>0.125</v>
      </c>
      <c r="W56" s="19">
        <f t="shared" ca="1" si="18"/>
        <v>-1</v>
      </c>
      <c r="AA56" s="19">
        <v>54</v>
      </c>
      <c r="AB56" s="19" t="s">
        <v>164</v>
      </c>
      <c r="AC56" s="19">
        <v>-7</v>
      </c>
      <c r="AD56" s="448">
        <f t="shared" si="4"/>
        <v>0.29166666666666669</v>
      </c>
      <c r="AE56" s="19">
        <v>0</v>
      </c>
      <c r="AF56" s="19">
        <f t="shared" ca="1" si="19"/>
        <v>-3</v>
      </c>
      <c r="AG56" s="448">
        <f t="shared" ca="1" si="6"/>
        <v>0.125</v>
      </c>
      <c r="AH56" s="19">
        <f t="shared" ca="1" si="20"/>
        <v>-1</v>
      </c>
    </row>
    <row r="57" spans="1:35">
      <c r="A57" s="439">
        <v>46199.958333333336</v>
      </c>
      <c r="C57" s="439">
        <f t="shared" ca="1" si="21"/>
        <v>46200.208333333336</v>
      </c>
      <c r="D57" s="439"/>
      <c r="P57" s="19">
        <v>55</v>
      </c>
      <c r="Q57" s="19" t="s">
        <v>165</v>
      </c>
      <c r="R57" s="19">
        <f t="shared" ca="1" si="16"/>
        <v>-6</v>
      </c>
      <c r="S57" s="448">
        <f t="shared" ca="1" si="16"/>
        <v>0.25</v>
      </c>
      <c r="T57" s="19">
        <f t="shared" ca="1" si="16"/>
        <v>0</v>
      </c>
      <c r="U57" s="19">
        <f t="shared" ca="1" si="16"/>
        <v>-2</v>
      </c>
      <c r="V57" s="448">
        <f t="shared" ca="1" si="16"/>
        <v>8.3333333333333329E-2</v>
      </c>
      <c r="W57" s="19">
        <f t="shared" ca="1" si="18"/>
        <v>-1</v>
      </c>
      <c r="AA57" s="19">
        <v>55</v>
      </c>
      <c r="AB57" s="19" t="s">
        <v>165</v>
      </c>
      <c r="AC57" s="19">
        <v>-6</v>
      </c>
      <c r="AD57" s="448">
        <f t="shared" si="4"/>
        <v>0.25</v>
      </c>
      <c r="AE57" s="19">
        <v>0</v>
      </c>
      <c r="AF57" s="19">
        <f t="shared" ca="1" si="19"/>
        <v>-2</v>
      </c>
      <c r="AG57" s="448">
        <f t="shared" ca="1" si="6"/>
        <v>8.3333333333333329E-2</v>
      </c>
      <c r="AH57" s="19">
        <f t="shared" ca="1" si="20"/>
        <v>-1</v>
      </c>
    </row>
    <row r="58" spans="1:35">
      <c r="C58" s="439"/>
      <c r="P58" s="19">
        <v>56</v>
      </c>
      <c r="Q58" s="19" t="s">
        <v>166</v>
      </c>
      <c r="R58" s="19">
        <f t="shared" ca="1" si="16"/>
        <v>-5</v>
      </c>
      <c r="S58" s="448">
        <f t="shared" ca="1" si="16"/>
        <v>0.20833333333333334</v>
      </c>
      <c r="T58" s="19">
        <f t="shared" ca="1" si="16"/>
        <v>0</v>
      </c>
      <c r="U58" s="19">
        <f t="shared" ca="1" si="16"/>
        <v>-1</v>
      </c>
      <c r="V58" s="448">
        <f t="shared" ca="1" si="16"/>
        <v>4.1666666666666664E-2</v>
      </c>
      <c r="W58" s="19">
        <f t="shared" ca="1" si="18"/>
        <v>-1</v>
      </c>
      <c r="AA58" s="19">
        <v>56</v>
      </c>
      <c r="AB58" s="19" t="s">
        <v>166</v>
      </c>
      <c r="AC58" s="19">
        <v>-5</v>
      </c>
      <c r="AD58" s="448">
        <f t="shared" si="4"/>
        <v>0.20833333333333334</v>
      </c>
      <c r="AE58" s="19">
        <v>0</v>
      </c>
      <c r="AF58" s="19">
        <f t="shared" ca="1" si="19"/>
        <v>-1</v>
      </c>
      <c r="AG58" s="448">
        <f t="shared" ca="1" si="6"/>
        <v>4.1666666666666664E-2</v>
      </c>
      <c r="AH58" s="19">
        <f t="shared" ca="1" si="20"/>
        <v>-1</v>
      </c>
    </row>
    <row r="59" spans="1:35">
      <c r="A59" s="10" t="s">
        <v>502</v>
      </c>
      <c r="C59" s="439"/>
      <c r="P59" s="19">
        <v>57</v>
      </c>
      <c r="Q59" s="19" t="s">
        <v>167</v>
      </c>
      <c r="R59" s="19">
        <f t="shared" ref="R59:R86" ca="1" si="22">+INDEX($AC$3:$AH$86,MATCH($Q59,$AB$3:$AB$86,0),MATCH(R$2,$AC$2:$AH$2,0))</f>
        <v>-4</v>
      </c>
      <c r="S59" s="448">
        <f t="shared" ref="S59:S86" ca="1" si="23">+INDEX($AC$3:$AH$86,MATCH($Q59,$AB$3:$AB$86,0),MATCH(S$2,$AC$2:$AH$2,0))</f>
        <v>0.16666666666666666</v>
      </c>
      <c r="T59" s="19">
        <f t="shared" ref="T59:T86" ca="1" si="24">+INDEX($AC$3:$AH$86,MATCH($Q59,$AB$3:$AB$86,0),MATCH(T$2,$AC$2:$AH$2,0))</f>
        <v>0</v>
      </c>
      <c r="U59" s="19">
        <f t="shared" ref="U59:U86" ca="1" si="25">+INDEX($AC$3:$AH$86,MATCH($Q59,$AB$3:$AB$86,0),MATCH(U$2,$AC$2:$AH$2,0))</f>
        <v>0</v>
      </c>
      <c r="V59" s="448">
        <f t="shared" ref="V59:V86" ca="1" si="26">+INDEX($AC$3:$AH$86,MATCH($Q59,$AB$3:$AB$86,0),MATCH(V$2,$AC$2:$AH$2,0))</f>
        <v>0</v>
      </c>
      <c r="W59" s="19">
        <f t="shared" ca="1" si="18"/>
        <v>0</v>
      </c>
      <c r="AA59" s="19">
        <v>57</v>
      </c>
      <c r="AB59" s="19" t="s">
        <v>167</v>
      </c>
      <c r="AC59" s="19">
        <v>-4</v>
      </c>
      <c r="AD59" s="448">
        <f t="shared" si="4"/>
        <v>0.16666666666666666</v>
      </c>
      <c r="AE59" s="19">
        <v>0</v>
      </c>
      <c r="AF59" s="19">
        <f t="shared" ca="1" si="19"/>
        <v>0</v>
      </c>
      <c r="AG59" s="448">
        <f t="shared" ca="1" si="6"/>
        <v>0</v>
      </c>
      <c r="AH59" s="19">
        <f t="shared" ca="1" si="20"/>
        <v>0</v>
      </c>
    </row>
    <row r="60" spans="1:35">
      <c r="A60" s="439">
        <v>46188.5</v>
      </c>
      <c r="C60" s="439">
        <f t="shared" ref="C60:C65" ca="1" si="27">A60+INDEX($V$3:$V$86,MATCH($C$3,$P$3:$P$86,0))*INDEX($W$3:$W$86,MATCH($C$3,$P$3:$P$86,0))</f>
        <v>46188.75</v>
      </c>
      <c r="D60" s="439"/>
      <c r="P60" s="19">
        <v>58</v>
      </c>
      <c r="Q60" s="19" t="s">
        <v>383</v>
      </c>
      <c r="R60" s="19">
        <f t="shared" ca="1" si="22"/>
        <v>-3.5</v>
      </c>
      <c r="S60" s="448">
        <f t="shared" ca="1" si="23"/>
        <v>0.14583333333333334</v>
      </c>
      <c r="T60" s="19">
        <f t="shared" ca="1" si="24"/>
        <v>0</v>
      </c>
      <c r="U60" s="19">
        <f t="shared" ca="1" si="25"/>
        <v>0.5</v>
      </c>
      <c r="V60" s="448">
        <f t="shared" ca="1" si="26"/>
        <v>2.0833333333333332E-2</v>
      </c>
      <c r="W60" s="19">
        <f t="shared" ca="1" si="18"/>
        <v>1</v>
      </c>
      <c r="AA60" s="19">
        <v>58</v>
      </c>
      <c r="AB60" s="19" t="s">
        <v>383</v>
      </c>
      <c r="AC60" s="19">
        <v>-3.5</v>
      </c>
      <c r="AD60" s="448">
        <f t="shared" si="4"/>
        <v>0.14583333333333334</v>
      </c>
      <c r="AE60" s="19">
        <v>0</v>
      </c>
      <c r="AF60" s="19">
        <f t="shared" ca="1" si="19"/>
        <v>0.5</v>
      </c>
      <c r="AG60" s="448">
        <f t="shared" ca="1" si="6"/>
        <v>2.0833333333333332E-2</v>
      </c>
      <c r="AH60" s="19">
        <f t="shared" ca="1" si="20"/>
        <v>1</v>
      </c>
    </row>
    <row r="61" spans="1:35">
      <c r="A61" s="439">
        <v>46188.75</v>
      </c>
      <c r="C61" s="439">
        <f t="shared" ca="1" si="27"/>
        <v>46189</v>
      </c>
      <c r="D61" s="439"/>
      <c r="P61" s="19">
        <v>59</v>
      </c>
      <c r="Q61" s="19" t="s">
        <v>168</v>
      </c>
      <c r="R61" s="19">
        <f t="shared" ca="1" si="22"/>
        <v>-3</v>
      </c>
      <c r="S61" s="448">
        <f t="shared" ca="1" si="23"/>
        <v>0.125</v>
      </c>
      <c r="T61" s="19">
        <f t="shared" ca="1" si="24"/>
        <v>0</v>
      </c>
      <c r="U61" s="19">
        <f t="shared" ca="1" si="25"/>
        <v>1</v>
      </c>
      <c r="V61" s="448">
        <f t="shared" ca="1" si="26"/>
        <v>4.1666666666666664E-2</v>
      </c>
      <c r="W61" s="19">
        <f t="shared" ref="W61:W86" ca="1" si="28">IF(R61&gt;$M$2,1,IF(R61=$M$2,0,-1))</f>
        <v>1</v>
      </c>
      <c r="AA61" s="19">
        <v>59</v>
      </c>
      <c r="AB61" s="19" t="s">
        <v>168</v>
      </c>
      <c r="AC61" s="19">
        <v>-3</v>
      </c>
      <c r="AD61" s="448">
        <f t="shared" si="4"/>
        <v>0.125</v>
      </c>
      <c r="AE61" s="19">
        <v>0</v>
      </c>
      <c r="AF61" s="19">
        <f t="shared" ref="AF61:AF86" ca="1" si="29">AC61-$M$2</f>
        <v>1</v>
      </c>
      <c r="AG61" s="448">
        <f t="shared" ca="1" si="6"/>
        <v>4.1666666666666664E-2</v>
      </c>
      <c r="AH61" s="19">
        <f t="shared" ref="AH61:AH86" ca="1" si="30">IF(AC61&gt;$M$2,1,IF(AC61=$M$2,0,-1))</f>
        <v>1</v>
      </c>
    </row>
    <row r="62" spans="1:35">
      <c r="A62" s="439">
        <v>46194.5</v>
      </c>
      <c r="C62" s="439">
        <f t="shared" ca="1" si="27"/>
        <v>46194.75</v>
      </c>
      <c r="D62" s="439"/>
      <c r="P62" s="19">
        <v>60</v>
      </c>
      <c r="Q62" s="19" t="s">
        <v>169</v>
      </c>
      <c r="R62" s="19">
        <f t="shared" ca="1" si="22"/>
        <v>-2</v>
      </c>
      <c r="S62" s="448">
        <f t="shared" ca="1" si="23"/>
        <v>8.3333333333333329E-2</v>
      </c>
      <c r="T62" s="19">
        <f t="shared" ca="1" si="24"/>
        <v>0</v>
      </c>
      <c r="U62" s="19">
        <f t="shared" ca="1" si="25"/>
        <v>2</v>
      </c>
      <c r="V62" s="448">
        <f t="shared" ca="1" si="26"/>
        <v>8.3333333333333329E-2</v>
      </c>
      <c r="W62" s="19">
        <f t="shared" ca="1" si="28"/>
        <v>1</v>
      </c>
      <c r="AA62" s="19">
        <v>60</v>
      </c>
      <c r="AB62" s="19" t="s">
        <v>169</v>
      </c>
      <c r="AC62" s="19">
        <v>-2</v>
      </c>
      <c r="AD62" s="448">
        <f t="shared" si="4"/>
        <v>8.3333333333333329E-2</v>
      </c>
      <c r="AE62" s="19">
        <v>0</v>
      </c>
      <c r="AF62" s="19">
        <f t="shared" ca="1" si="29"/>
        <v>2</v>
      </c>
      <c r="AG62" s="448">
        <f t="shared" ca="1" si="6"/>
        <v>8.3333333333333329E-2</v>
      </c>
      <c r="AH62" s="19">
        <f t="shared" ca="1" si="30"/>
        <v>1</v>
      </c>
    </row>
    <row r="63" spans="1:35">
      <c r="A63" s="439">
        <v>46194.75</v>
      </c>
      <c r="C63" s="439">
        <f t="shared" ca="1" si="27"/>
        <v>46195</v>
      </c>
      <c r="D63" s="439"/>
      <c r="P63" s="19">
        <v>61</v>
      </c>
      <c r="Q63" s="19" t="s">
        <v>170</v>
      </c>
      <c r="R63" s="19">
        <f t="shared" ca="1" si="22"/>
        <v>-1</v>
      </c>
      <c r="S63" s="448">
        <f t="shared" ca="1" si="23"/>
        <v>4.1666666666666664E-2</v>
      </c>
      <c r="T63" s="19">
        <f t="shared" ca="1" si="24"/>
        <v>0</v>
      </c>
      <c r="U63" s="19">
        <f t="shared" ca="1" si="25"/>
        <v>3</v>
      </c>
      <c r="V63" s="448">
        <f t="shared" ca="1" si="26"/>
        <v>0.125</v>
      </c>
      <c r="W63" s="19">
        <f t="shared" ca="1" si="28"/>
        <v>1</v>
      </c>
      <c r="AA63" s="19">
        <v>61</v>
      </c>
      <c r="AB63" s="19" t="s">
        <v>170</v>
      </c>
      <c r="AC63" s="19">
        <v>-1</v>
      </c>
      <c r="AD63" s="448">
        <f t="shared" si="4"/>
        <v>4.1666666666666664E-2</v>
      </c>
      <c r="AE63" s="19">
        <v>0</v>
      </c>
      <c r="AF63" s="19">
        <f t="shared" ca="1" si="29"/>
        <v>3</v>
      </c>
      <c r="AG63" s="448">
        <f t="shared" ca="1" si="6"/>
        <v>0.125</v>
      </c>
      <c r="AH63" s="19">
        <f t="shared" ca="1" si="30"/>
        <v>1</v>
      </c>
    </row>
    <row r="64" spans="1:35">
      <c r="A64" s="439">
        <v>46199.833333333336</v>
      </c>
      <c r="C64" s="439">
        <f t="shared" ca="1" si="27"/>
        <v>46200.083333333336</v>
      </c>
      <c r="D64" s="439"/>
      <c r="P64" s="19">
        <v>62</v>
      </c>
      <c r="Q64" s="19" t="s">
        <v>158</v>
      </c>
      <c r="R64" s="19">
        <f t="shared" ca="1" si="22"/>
        <v>0</v>
      </c>
      <c r="S64" s="448">
        <f t="shared" ca="1" si="23"/>
        <v>0</v>
      </c>
      <c r="T64" s="19">
        <f t="shared" ca="1" si="24"/>
        <v>0</v>
      </c>
      <c r="U64" s="19">
        <f t="shared" ca="1" si="25"/>
        <v>4</v>
      </c>
      <c r="V64" s="448">
        <f t="shared" ca="1" si="26"/>
        <v>0.16666666666666666</v>
      </c>
      <c r="W64" s="19">
        <f t="shared" ca="1" si="28"/>
        <v>1</v>
      </c>
      <c r="AA64" s="19">
        <v>62</v>
      </c>
      <c r="AB64" s="19" t="s">
        <v>158</v>
      </c>
      <c r="AC64" s="19">
        <v>0</v>
      </c>
      <c r="AD64" s="448">
        <f t="shared" si="4"/>
        <v>0</v>
      </c>
      <c r="AE64" s="19">
        <v>0</v>
      </c>
      <c r="AF64" s="19">
        <f t="shared" ca="1" si="29"/>
        <v>4</v>
      </c>
      <c r="AG64" s="448">
        <f t="shared" ca="1" si="6"/>
        <v>0.16666666666666666</v>
      </c>
      <c r="AH64" s="19">
        <f t="shared" ca="1" si="30"/>
        <v>1</v>
      </c>
    </row>
    <row r="65" spans="1:34">
      <c r="A65" s="439">
        <v>46199.833333333336</v>
      </c>
      <c r="C65" s="439">
        <f t="shared" ca="1" si="27"/>
        <v>46200.083333333336</v>
      </c>
      <c r="D65" s="439"/>
      <c r="P65" s="19">
        <v>63</v>
      </c>
      <c r="Q65" s="19" t="s">
        <v>171</v>
      </c>
      <c r="R65" s="19">
        <f t="shared" ca="1" si="22"/>
        <v>1</v>
      </c>
      <c r="S65" s="448">
        <f t="shared" ca="1" si="23"/>
        <v>4.1666666666666664E-2</v>
      </c>
      <c r="T65" s="19">
        <f t="shared" ca="1" si="24"/>
        <v>0</v>
      </c>
      <c r="U65" s="19">
        <f t="shared" ca="1" si="25"/>
        <v>5</v>
      </c>
      <c r="V65" s="448">
        <f t="shared" ca="1" si="26"/>
        <v>0.20833333333333334</v>
      </c>
      <c r="W65" s="19">
        <f t="shared" ca="1" si="28"/>
        <v>1</v>
      </c>
      <c r="AA65" s="19">
        <v>63</v>
      </c>
      <c r="AB65" s="19" t="s">
        <v>171</v>
      </c>
      <c r="AC65" s="19">
        <v>1</v>
      </c>
      <c r="AD65" s="448">
        <f t="shared" si="4"/>
        <v>4.1666666666666664E-2</v>
      </c>
      <c r="AE65" s="19">
        <v>0</v>
      </c>
      <c r="AF65" s="19">
        <f t="shared" ca="1" si="29"/>
        <v>5</v>
      </c>
      <c r="AG65" s="448">
        <f t="shared" ca="1" si="6"/>
        <v>0.20833333333333334</v>
      </c>
      <c r="AH65" s="19">
        <f t="shared" ca="1" si="30"/>
        <v>1</v>
      </c>
    </row>
    <row r="66" spans="1:34">
      <c r="C66" s="439"/>
      <c r="P66" s="19">
        <v>64</v>
      </c>
      <c r="Q66" s="19" t="s">
        <v>172</v>
      </c>
      <c r="R66" s="19">
        <f t="shared" ca="1" si="22"/>
        <v>2</v>
      </c>
      <c r="S66" s="448">
        <f t="shared" ca="1" si="23"/>
        <v>8.3333333333333329E-2</v>
      </c>
      <c r="T66" s="19">
        <f t="shared" ca="1" si="24"/>
        <v>0</v>
      </c>
      <c r="U66" s="19">
        <f t="shared" ca="1" si="25"/>
        <v>6</v>
      </c>
      <c r="V66" s="448">
        <f t="shared" ca="1" si="26"/>
        <v>0.25</v>
      </c>
      <c r="W66" s="19">
        <f t="shared" ca="1" si="28"/>
        <v>1</v>
      </c>
      <c r="AA66" s="19">
        <v>64</v>
      </c>
      <c r="AB66" s="19" t="s">
        <v>172</v>
      </c>
      <c r="AC66" s="19">
        <v>2</v>
      </c>
      <c r="AD66" s="448">
        <f t="shared" si="4"/>
        <v>8.3333333333333329E-2</v>
      </c>
      <c r="AE66" s="19">
        <v>0</v>
      </c>
      <c r="AF66" s="19">
        <f t="shared" ca="1" si="29"/>
        <v>6</v>
      </c>
      <c r="AG66" s="448">
        <f t="shared" ca="1" si="6"/>
        <v>0.25</v>
      </c>
      <c r="AH66" s="19">
        <f t="shared" ca="1" si="30"/>
        <v>1</v>
      </c>
    </row>
    <row r="67" spans="1:34">
      <c r="A67" s="10" t="s">
        <v>503</v>
      </c>
      <c r="C67" s="439"/>
      <c r="P67" s="19">
        <v>65</v>
      </c>
      <c r="Q67" s="19" t="s">
        <v>173</v>
      </c>
      <c r="R67" s="19">
        <f t="shared" ca="1" si="22"/>
        <v>3</v>
      </c>
      <c r="S67" s="448">
        <f t="shared" ca="1" si="23"/>
        <v>0.125</v>
      </c>
      <c r="T67" s="19">
        <f t="shared" ca="1" si="24"/>
        <v>0</v>
      </c>
      <c r="U67" s="19">
        <f t="shared" ca="1" si="25"/>
        <v>7</v>
      </c>
      <c r="V67" s="448">
        <f t="shared" ca="1" si="26"/>
        <v>0.29166666666666669</v>
      </c>
      <c r="W67" s="19">
        <f t="shared" ca="1" si="28"/>
        <v>1</v>
      </c>
      <c r="AA67" s="19">
        <v>65</v>
      </c>
      <c r="AB67" s="19" t="s">
        <v>173</v>
      </c>
      <c r="AC67" s="19">
        <v>3</v>
      </c>
      <c r="AD67" s="448">
        <f t="shared" si="4"/>
        <v>0.125</v>
      </c>
      <c r="AE67" s="19">
        <v>0</v>
      </c>
      <c r="AF67" s="19">
        <f t="shared" ca="1" si="29"/>
        <v>7</v>
      </c>
      <c r="AG67" s="448">
        <f t="shared" ca="1" si="6"/>
        <v>0.29166666666666669</v>
      </c>
      <c r="AH67" s="19">
        <f t="shared" ca="1" si="30"/>
        <v>1</v>
      </c>
    </row>
    <row r="68" spans="1:34">
      <c r="A68" s="439">
        <v>46189.625</v>
      </c>
      <c r="C68" s="439">
        <f t="shared" ref="C68:C73" ca="1" si="31">A68+INDEX($V$3:$V$86,MATCH($C$3,$P$3:$P$86,0))*INDEX($W$3:$W$86,MATCH($C$3,$P$3:$P$86,0))</f>
        <v>46189.875</v>
      </c>
      <c r="D68" s="439"/>
      <c r="P68" s="19">
        <v>66</v>
      </c>
      <c r="Q68" s="19" t="s">
        <v>373</v>
      </c>
      <c r="R68" s="19">
        <f t="shared" ca="1" si="22"/>
        <v>3.5</v>
      </c>
      <c r="S68" s="448">
        <f t="shared" ca="1" si="23"/>
        <v>0.14583333333333334</v>
      </c>
      <c r="T68" s="19">
        <f t="shared" ca="1" si="24"/>
        <v>0</v>
      </c>
      <c r="U68" s="19">
        <f t="shared" ca="1" si="25"/>
        <v>7.5</v>
      </c>
      <c r="V68" s="448">
        <f t="shared" ca="1" si="26"/>
        <v>0.3125</v>
      </c>
      <c r="W68" s="19">
        <f t="shared" ca="1" si="28"/>
        <v>1</v>
      </c>
      <c r="AA68" s="19">
        <v>66</v>
      </c>
      <c r="AB68" s="19" t="s">
        <v>373</v>
      </c>
      <c r="AC68" s="19">
        <v>3.5</v>
      </c>
      <c r="AD68" s="448">
        <f t="shared" ref="AD68:AD86" si="32">ABS(AC68/24)</f>
        <v>0.14583333333333334</v>
      </c>
      <c r="AE68" s="19">
        <v>0</v>
      </c>
      <c r="AF68" s="19">
        <f t="shared" ca="1" si="29"/>
        <v>7.5</v>
      </c>
      <c r="AG68" s="448">
        <f t="shared" ref="AG68:AG86" ca="1" si="33">ABS(AF68/24)</f>
        <v>0.3125</v>
      </c>
      <c r="AH68" s="19">
        <f t="shared" ca="1" si="30"/>
        <v>1</v>
      </c>
    </row>
    <row r="69" spans="1:34">
      <c r="A69" s="439">
        <v>46189.75</v>
      </c>
      <c r="C69" s="439">
        <f t="shared" ca="1" si="31"/>
        <v>46190</v>
      </c>
      <c r="D69" s="439"/>
      <c r="P69" s="19">
        <v>67</v>
      </c>
      <c r="Q69" s="19" t="s">
        <v>174</v>
      </c>
      <c r="R69" s="19">
        <f t="shared" ca="1" si="22"/>
        <v>4</v>
      </c>
      <c r="S69" s="448">
        <f t="shared" ca="1" si="23"/>
        <v>0.16666666666666666</v>
      </c>
      <c r="T69" s="19">
        <f t="shared" ca="1" si="24"/>
        <v>0</v>
      </c>
      <c r="U69" s="19">
        <f t="shared" ca="1" si="25"/>
        <v>8</v>
      </c>
      <c r="V69" s="448">
        <f t="shared" ca="1" si="26"/>
        <v>0.33333333333333331</v>
      </c>
      <c r="W69" s="19">
        <f t="shared" ca="1" si="28"/>
        <v>1</v>
      </c>
      <c r="AA69" s="19">
        <v>67</v>
      </c>
      <c r="AB69" s="19" t="s">
        <v>174</v>
      </c>
      <c r="AC69" s="19">
        <v>4</v>
      </c>
      <c r="AD69" s="448">
        <f t="shared" si="32"/>
        <v>0.16666666666666666</v>
      </c>
      <c r="AE69" s="19">
        <v>0</v>
      </c>
      <c r="AF69" s="19">
        <f t="shared" ca="1" si="29"/>
        <v>8</v>
      </c>
      <c r="AG69" s="448">
        <f t="shared" ca="1" si="33"/>
        <v>0.33333333333333331</v>
      </c>
      <c r="AH69" s="19">
        <f t="shared" ca="1" si="30"/>
        <v>1</v>
      </c>
    </row>
    <row r="70" spans="1:34">
      <c r="A70" s="439">
        <v>46195.708333333336</v>
      </c>
      <c r="C70" s="439">
        <f t="shared" ca="1" si="31"/>
        <v>46195.958333333336</v>
      </c>
      <c r="D70" s="439"/>
      <c r="P70" s="19">
        <v>68</v>
      </c>
      <c r="Q70" s="19" t="s">
        <v>374</v>
      </c>
      <c r="R70" s="19">
        <f t="shared" ca="1" si="22"/>
        <v>4.5</v>
      </c>
      <c r="S70" s="448">
        <f t="shared" ca="1" si="23"/>
        <v>0.1875</v>
      </c>
      <c r="T70" s="19">
        <f t="shared" ca="1" si="24"/>
        <v>0</v>
      </c>
      <c r="U70" s="19">
        <f t="shared" ca="1" si="25"/>
        <v>8.5</v>
      </c>
      <c r="V70" s="448">
        <f t="shared" ca="1" si="26"/>
        <v>0.35416666666666669</v>
      </c>
      <c r="W70" s="19">
        <f t="shared" ca="1" si="28"/>
        <v>1</v>
      </c>
      <c r="AA70" s="19">
        <v>68</v>
      </c>
      <c r="AB70" s="19" t="s">
        <v>374</v>
      </c>
      <c r="AC70" s="19">
        <v>4.5</v>
      </c>
      <c r="AD70" s="448">
        <f t="shared" si="32"/>
        <v>0.1875</v>
      </c>
      <c r="AE70" s="19">
        <v>0</v>
      </c>
      <c r="AF70" s="19">
        <f t="shared" ca="1" si="29"/>
        <v>8.5</v>
      </c>
      <c r="AG70" s="448">
        <f t="shared" ca="1" si="33"/>
        <v>0.35416666666666669</v>
      </c>
      <c r="AH70" s="19">
        <f t="shared" ca="1" si="30"/>
        <v>1</v>
      </c>
    </row>
    <row r="71" spans="1:34">
      <c r="A71" s="439">
        <v>46195.833333333336</v>
      </c>
      <c r="C71" s="439">
        <f t="shared" ca="1" si="31"/>
        <v>46196.083333333336</v>
      </c>
      <c r="D71" s="439"/>
      <c r="P71" s="19">
        <v>69</v>
      </c>
      <c r="Q71" s="19" t="s">
        <v>175</v>
      </c>
      <c r="R71" s="19">
        <f t="shared" ca="1" si="22"/>
        <v>5</v>
      </c>
      <c r="S71" s="448">
        <f t="shared" ca="1" si="23"/>
        <v>0.20833333333333334</v>
      </c>
      <c r="T71" s="19">
        <f t="shared" ca="1" si="24"/>
        <v>0</v>
      </c>
      <c r="U71" s="19">
        <f t="shared" ca="1" si="25"/>
        <v>9</v>
      </c>
      <c r="V71" s="448">
        <f t="shared" ca="1" si="26"/>
        <v>0.375</v>
      </c>
      <c r="W71" s="19">
        <f t="shared" ca="1" si="28"/>
        <v>1</v>
      </c>
      <c r="AA71" s="19">
        <v>69</v>
      </c>
      <c r="AB71" s="19" t="s">
        <v>175</v>
      </c>
      <c r="AC71" s="19">
        <v>5</v>
      </c>
      <c r="AD71" s="448">
        <f t="shared" si="32"/>
        <v>0.20833333333333334</v>
      </c>
      <c r="AE71" s="19">
        <v>0</v>
      </c>
      <c r="AF71" s="19">
        <f t="shared" ca="1" si="29"/>
        <v>9</v>
      </c>
      <c r="AG71" s="448">
        <f t="shared" ca="1" si="33"/>
        <v>0.375</v>
      </c>
      <c r="AH71" s="19">
        <f t="shared" ca="1" si="30"/>
        <v>1</v>
      </c>
    </row>
    <row r="72" spans="1:34">
      <c r="A72" s="439">
        <v>46199.625</v>
      </c>
      <c r="C72" s="439">
        <f t="shared" ca="1" si="31"/>
        <v>46199.875</v>
      </c>
      <c r="D72" s="439"/>
      <c r="P72" s="19">
        <v>70</v>
      </c>
      <c r="Q72" s="19" t="s">
        <v>375</v>
      </c>
      <c r="R72" s="19">
        <f t="shared" ca="1" si="22"/>
        <v>5.5</v>
      </c>
      <c r="S72" s="448">
        <f t="shared" ca="1" si="23"/>
        <v>0.22916666666666666</v>
      </c>
      <c r="T72" s="19">
        <f t="shared" ca="1" si="24"/>
        <v>0</v>
      </c>
      <c r="U72" s="19">
        <f t="shared" ca="1" si="25"/>
        <v>9.5</v>
      </c>
      <c r="V72" s="448">
        <f t="shared" ca="1" si="26"/>
        <v>0.39583333333333331</v>
      </c>
      <c r="W72" s="19">
        <f t="shared" ca="1" si="28"/>
        <v>1</v>
      </c>
      <c r="AA72" s="19">
        <v>70</v>
      </c>
      <c r="AB72" s="19" t="s">
        <v>375</v>
      </c>
      <c r="AC72" s="19">
        <v>5.5</v>
      </c>
      <c r="AD72" s="448">
        <f t="shared" si="32"/>
        <v>0.22916666666666666</v>
      </c>
      <c r="AE72" s="19">
        <v>0</v>
      </c>
      <c r="AF72" s="19">
        <f t="shared" ca="1" si="29"/>
        <v>9.5</v>
      </c>
      <c r="AG72" s="448">
        <f t="shared" ca="1" si="33"/>
        <v>0.39583333333333331</v>
      </c>
      <c r="AH72" s="19">
        <f t="shared" ca="1" si="30"/>
        <v>1</v>
      </c>
    </row>
    <row r="73" spans="1:34">
      <c r="A73" s="439">
        <v>46199.625</v>
      </c>
      <c r="C73" s="439">
        <f t="shared" ca="1" si="31"/>
        <v>46199.875</v>
      </c>
      <c r="D73" s="439"/>
      <c r="P73" s="19">
        <v>71</v>
      </c>
      <c r="Q73" s="19" t="s">
        <v>376</v>
      </c>
      <c r="R73" s="19">
        <f t="shared" ca="1" si="22"/>
        <v>5.75</v>
      </c>
      <c r="S73" s="448">
        <f t="shared" ca="1" si="23"/>
        <v>0.23958333333333334</v>
      </c>
      <c r="T73" s="19">
        <f t="shared" ca="1" si="24"/>
        <v>0</v>
      </c>
      <c r="U73" s="19">
        <f t="shared" ca="1" si="25"/>
        <v>9.75</v>
      </c>
      <c r="V73" s="448">
        <f t="shared" ca="1" si="26"/>
        <v>0.40625</v>
      </c>
      <c r="W73" s="19">
        <f t="shared" ca="1" si="28"/>
        <v>1</v>
      </c>
      <c r="AA73" s="19">
        <v>71</v>
      </c>
      <c r="AB73" s="19" t="s">
        <v>376</v>
      </c>
      <c r="AC73" s="19">
        <v>5.75</v>
      </c>
      <c r="AD73" s="448">
        <f t="shared" si="32"/>
        <v>0.23958333333333334</v>
      </c>
      <c r="AE73" s="19">
        <v>0</v>
      </c>
      <c r="AF73" s="19">
        <f t="shared" ca="1" si="29"/>
        <v>9.75</v>
      </c>
      <c r="AG73" s="448">
        <f t="shared" ca="1" si="33"/>
        <v>0.40625</v>
      </c>
      <c r="AH73" s="19">
        <f t="shared" ca="1" si="30"/>
        <v>1</v>
      </c>
    </row>
    <row r="74" spans="1:34">
      <c r="C74" s="439"/>
      <c r="P74" s="19">
        <v>72</v>
      </c>
      <c r="Q74" s="19" t="s">
        <v>176</v>
      </c>
      <c r="R74" s="19">
        <f t="shared" ca="1" si="22"/>
        <v>6</v>
      </c>
      <c r="S74" s="448">
        <f t="shared" ca="1" si="23"/>
        <v>0.25</v>
      </c>
      <c r="T74" s="19">
        <f t="shared" ca="1" si="24"/>
        <v>0</v>
      </c>
      <c r="U74" s="19">
        <f t="shared" ca="1" si="25"/>
        <v>10</v>
      </c>
      <c r="V74" s="448">
        <f t="shared" ca="1" si="26"/>
        <v>0.41666666666666669</v>
      </c>
      <c r="W74" s="19">
        <f t="shared" ca="1" si="28"/>
        <v>1</v>
      </c>
      <c r="AA74" s="19">
        <v>72</v>
      </c>
      <c r="AB74" s="19" t="s">
        <v>176</v>
      </c>
      <c r="AC74" s="19">
        <v>6</v>
      </c>
      <c r="AD74" s="448">
        <f t="shared" si="32"/>
        <v>0.25</v>
      </c>
      <c r="AE74" s="19">
        <v>0</v>
      </c>
      <c r="AF74" s="19">
        <f t="shared" ca="1" si="29"/>
        <v>10</v>
      </c>
      <c r="AG74" s="448">
        <f t="shared" ca="1" si="33"/>
        <v>0.41666666666666669</v>
      </c>
      <c r="AH74" s="19">
        <f t="shared" ca="1" si="30"/>
        <v>1</v>
      </c>
    </row>
    <row r="75" spans="1:34">
      <c r="A75" s="10" t="s">
        <v>504</v>
      </c>
      <c r="C75" s="439"/>
      <c r="P75" s="19">
        <v>73</v>
      </c>
      <c r="Q75" s="19" t="s">
        <v>377</v>
      </c>
      <c r="R75" s="19">
        <f t="shared" ca="1" si="22"/>
        <v>6.5</v>
      </c>
      <c r="S75" s="448">
        <f t="shared" ca="1" si="23"/>
        <v>0.27083333333333331</v>
      </c>
      <c r="T75" s="19">
        <f t="shared" ca="1" si="24"/>
        <v>0</v>
      </c>
      <c r="U75" s="19">
        <f t="shared" ca="1" si="25"/>
        <v>10.5</v>
      </c>
      <c r="V75" s="448">
        <f t="shared" ca="1" si="26"/>
        <v>0.4375</v>
      </c>
      <c r="W75" s="19">
        <f t="shared" ca="1" si="28"/>
        <v>1</v>
      </c>
      <c r="AA75" s="19">
        <v>73</v>
      </c>
      <c r="AB75" s="19" t="s">
        <v>377</v>
      </c>
      <c r="AC75" s="19">
        <v>6.5</v>
      </c>
      <c r="AD75" s="448">
        <f t="shared" si="32"/>
        <v>0.27083333333333331</v>
      </c>
      <c r="AE75" s="19">
        <v>0</v>
      </c>
      <c r="AF75" s="19">
        <f t="shared" ca="1" si="29"/>
        <v>10.5</v>
      </c>
      <c r="AG75" s="448">
        <f t="shared" ca="1" si="33"/>
        <v>0.4375</v>
      </c>
      <c r="AH75" s="19">
        <f t="shared" ca="1" si="30"/>
        <v>1</v>
      </c>
    </row>
    <row r="76" spans="1:34">
      <c r="A76" s="439">
        <v>46189</v>
      </c>
      <c r="C76" s="439">
        <f t="shared" ref="C76:C81" ca="1" si="34">A76+INDEX($V$3:$V$86,MATCH($C$3,$P$3:$P$86,0))*INDEX($W$3:$W$86,MATCH($C$3,$P$3:$P$86,0))</f>
        <v>46189.25</v>
      </c>
      <c r="D76" s="439"/>
      <c r="P76" s="19">
        <v>74</v>
      </c>
      <c r="Q76" s="19" t="s">
        <v>177</v>
      </c>
      <c r="R76" s="19">
        <f t="shared" ca="1" si="22"/>
        <v>7</v>
      </c>
      <c r="S76" s="448">
        <f t="shared" ca="1" si="23"/>
        <v>0.29166666666666669</v>
      </c>
      <c r="T76" s="19">
        <f t="shared" ca="1" si="24"/>
        <v>0</v>
      </c>
      <c r="U76" s="19">
        <f t="shared" ca="1" si="25"/>
        <v>11</v>
      </c>
      <c r="V76" s="448">
        <f t="shared" ca="1" si="26"/>
        <v>0.45833333333333331</v>
      </c>
      <c r="W76" s="19">
        <f t="shared" ca="1" si="28"/>
        <v>1</v>
      </c>
      <c r="AA76" s="19">
        <v>74</v>
      </c>
      <c r="AB76" s="19" t="s">
        <v>177</v>
      </c>
      <c r="AC76" s="19">
        <v>7</v>
      </c>
      <c r="AD76" s="448">
        <f t="shared" si="32"/>
        <v>0.29166666666666669</v>
      </c>
      <c r="AE76" s="19">
        <v>0</v>
      </c>
      <c r="AF76" s="19">
        <f t="shared" ca="1" si="29"/>
        <v>11</v>
      </c>
      <c r="AG76" s="448">
        <f t="shared" ca="1" si="33"/>
        <v>0.45833333333333331</v>
      </c>
      <c r="AH76" s="19">
        <f t="shared" ca="1" si="30"/>
        <v>1</v>
      </c>
    </row>
    <row r="77" spans="1:34">
      <c r="A77" s="439">
        <v>46189.875</v>
      </c>
      <c r="C77" s="439">
        <f t="shared" ca="1" si="34"/>
        <v>46190.125</v>
      </c>
      <c r="D77" s="439"/>
      <c r="P77" s="19">
        <v>75</v>
      </c>
      <c r="Q77" s="19" t="s">
        <v>178</v>
      </c>
      <c r="R77" s="19">
        <f t="shared" ca="1" si="22"/>
        <v>8</v>
      </c>
      <c r="S77" s="448">
        <f t="shared" ca="1" si="23"/>
        <v>0.33333333333333331</v>
      </c>
      <c r="T77" s="19">
        <f t="shared" ca="1" si="24"/>
        <v>0</v>
      </c>
      <c r="U77" s="19">
        <f t="shared" ca="1" si="25"/>
        <v>12</v>
      </c>
      <c r="V77" s="448">
        <f t="shared" ca="1" si="26"/>
        <v>0.5</v>
      </c>
      <c r="W77" s="19">
        <f t="shared" ca="1" si="28"/>
        <v>1</v>
      </c>
      <c r="AA77" s="19">
        <v>75</v>
      </c>
      <c r="AB77" s="19" t="s">
        <v>178</v>
      </c>
      <c r="AC77" s="19">
        <v>8</v>
      </c>
      <c r="AD77" s="448">
        <f t="shared" si="32"/>
        <v>0.33333333333333331</v>
      </c>
      <c r="AE77" s="19">
        <v>0</v>
      </c>
      <c r="AF77" s="19">
        <f t="shared" ca="1" si="29"/>
        <v>12</v>
      </c>
      <c r="AG77" s="448">
        <f t="shared" ca="1" si="33"/>
        <v>0.5</v>
      </c>
      <c r="AH77" s="19">
        <f t="shared" ca="1" si="30"/>
        <v>1</v>
      </c>
    </row>
    <row r="78" spans="1:34">
      <c r="A78" s="439">
        <v>46195.541666666664</v>
      </c>
      <c r="C78" s="439">
        <f t="shared" ca="1" si="34"/>
        <v>46195.791666666664</v>
      </c>
      <c r="D78" s="439"/>
      <c r="P78" s="19">
        <v>76</v>
      </c>
      <c r="Q78" s="19" t="s">
        <v>179</v>
      </c>
      <c r="R78" s="19">
        <f t="shared" ca="1" si="22"/>
        <v>9</v>
      </c>
      <c r="S78" s="448">
        <f t="shared" ca="1" si="23"/>
        <v>0.375</v>
      </c>
      <c r="T78" s="19">
        <f t="shared" ca="1" si="24"/>
        <v>0</v>
      </c>
      <c r="U78" s="19">
        <f t="shared" ca="1" si="25"/>
        <v>13</v>
      </c>
      <c r="V78" s="448">
        <f t="shared" ca="1" si="26"/>
        <v>0.54166666666666663</v>
      </c>
      <c r="W78" s="19">
        <f t="shared" ca="1" si="28"/>
        <v>1</v>
      </c>
      <c r="AA78" s="19">
        <v>76</v>
      </c>
      <c r="AB78" s="19" t="s">
        <v>179</v>
      </c>
      <c r="AC78" s="19">
        <v>9</v>
      </c>
      <c r="AD78" s="448">
        <f t="shared" si="32"/>
        <v>0.375</v>
      </c>
      <c r="AE78" s="19">
        <v>0</v>
      </c>
      <c r="AF78" s="19">
        <f t="shared" ca="1" si="29"/>
        <v>13</v>
      </c>
      <c r="AG78" s="448">
        <f t="shared" ca="1" si="33"/>
        <v>0.54166666666666663</v>
      </c>
      <c r="AH78" s="19">
        <f t="shared" ca="1" si="30"/>
        <v>1</v>
      </c>
    </row>
    <row r="79" spans="1:34">
      <c r="A79" s="439">
        <v>46195.958333333336</v>
      </c>
      <c r="C79" s="439">
        <f t="shared" ca="1" si="34"/>
        <v>46196.208333333336</v>
      </c>
      <c r="D79" s="439"/>
      <c r="P79" s="19">
        <v>77</v>
      </c>
      <c r="Q79" s="19" t="s">
        <v>378</v>
      </c>
      <c r="R79" s="19">
        <f t="shared" ca="1" si="22"/>
        <v>9.5</v>
      </c>
      <c r="S79" s="448">
        <f t="shared" ca="1" si="23"/>
        <v>0.39583333333333331</v>
      </c>
      <c r="T79" s="19">
        <f t="shared" ca="1" si="24"/>
        <v>0</v>
      </c>
      <c r="U79" s="19">
        <f t="shared" ca="1" si="25"/>
        <v>13.5</v>
      </c>
      <c r="V79" s="448">
        <f t="shared" ca="1" si="26"/>
        <v>0.5625</v>
      </c>
      <c r="W79" s="19">
        <f t="shared" ca="1" si="28"/>
        <v>1</v>
      </c>
      <c r="AA79" s="19">
        <v>77</v>
      </c>
      <c r="AB79" s="19" t="s">
        <v>378</v>
      </c>
      <c r="AC79" s="19">
        <v>9.5</v>
      </c>
      <c r="AD79" s="448">
        <f t="shared" si="32"/>
        <v>0.39583333333333331</v>
      </c>
      <c r="AE79" s="19">
        <v>0</v>
      </c>
      <c r="AF79" s="19">
        <f t="shared" ca="1" si="29"/>
        <v>13.5</v>
      </c>
      <c r="AG79" s="448">
        <f t="shared" ca="1" si="33"/>
        <v>0.5625</v>
      </c>
      <c r="AH79" s="19">
        <f t="shared" ca="1" si="30"/>
        <v>1</v>
      </c>
    </row>
    <row r="80" spans="1:34">
      <c r="A80" s="439">
        <v>46200.916666666664</v>
      </c>
      <c r="C80" s="439">
        <f t="shared" ca="1" si="34"/>
        <v>46201.166666666664</v>
      </c>
      <c r="D80" s="439"/>
      <c r="P80" s="19">
        <v>78</v>
      </c>
      <c r="Q80" s="19" t="s">
        <v>180</v>
      </c>
      <c r="R80" s="19">
        <f t="shared" ca="1" si="22"/>
        <v>10</v>
      </c>
      <c r="S80" s="448">
        <f t="shared" ca="1" si="23"/>
        <v>0.41666666666666669</v>
      </c>
      <c r="T80" s="19">
        <f t="shared" ca="1" si="24"/>
        <v>0</v>
      </c>
      <c r="U80" s="19">
        <f t="shared" ca="1" si="25"/>
        <v>14</v>
      </c>
      <c r="V80" s="448">
        <f t="shared" ca="1" si="26"/>
        <v>0.58333333333333337</v>
      </c>
      <c r="W80" s="19">
        <f t="shared" ca="1" si="28"/>
        <v>1</v>
      </c>
      <c r="AA80" s="19">
        <v>78</v>
      </c>
      <c r="AB80" s="19" t="s">
        <v>180</v>
      </c>
      <c r="AC80" s="19">
        <v>10</v>
      </c>
      <c r="AD80" s="448">
        <f t="shared" si="32"/>
        <v>0.41666666666666669</v>
      </c>
      <c r="AE80" s="19">
        <v>0</v>
      </c>
      <c r="AF80" s="19">
        <f t="shared" ca="1" si="29"/>
        <v>14</v>
      </c>
      <c r="AG80" s="448">
        <f t="shared" ca="1" si="33"/>
        <v>0.58333333333333337</v>
      </c>
      <c r="AH80" s="19">
        <f t="shared" ca="1" si="30"/>
        <v>1</v>
      </c>
    </row>
    <row r="81" spans="1:34">
      <c r="A81" s="439">
        <v>46200.916666666664</v>
      </c>
      <c r="C81" s="439">
        <f t="shared" ca="1" si="34"/>
        <v>46201.166666666664</v>
      </c>
      <c r="D81" s="439"/>
      <c r="P81" s="19">
        <v>79</v>
      </c>
      <c r="Q81" s="19" t="s">
        <v>379</v>
      </c>
      <c r="R81" s="19">
        <f t="shared" ca="1" si="22"/>
        <v>10.5</v>
      </c>
      <c r="S81" s="448">
        <f t="shared" ca="1" si="23"/>
        <v>0.4375</v>
      </c>
      <c r="T81" s="19">
        <f t="shared" ca="1" si="24"/>
        <v>0</v>
      </c>
      <c r="U81" s="19">
        <f t="shared" ca="1" si="25"/>
        <v>14.5</v>
      </c>
      <c r="V81" s="448">
        <f t="shared" ca="1" si="26"/>
        <v>0.60416666666666663</v>
      </c>
      <c r="W81" s="19">
        <f t="shared" ca="1" si="28"/>
        <v>1</v>
      </c>
      <c r="AA81" s="19">
        <v>79</v>
      </c>
      <c r="AB81" s="19" t="s">
        <v>379</v>
      </c>
      <c r="AC81" s="19">
        <v>10.5</v>
      </c>
      <c r="AD81" s="448">
        <f t="shared" si="32"/>
        <v>0.4375</v>
      </c>
      <c r="AE81" s="19">
        <v>0</v>
      </c>
      <c r="AF81" s="19">
        <f t="shared" ca="1" si="29"/>
        <v>14.5</v>
      </c>
      <c r="AG81" s="448">
        <f t="shared" ca="1" si="33"/>
        <v>0.60416666666666663</v>
      </c>
      <c r="AH81" s="19">
        <f t="shared" ca="1" si="30"/>
        <v>1</v>
      </c>
    </row>
    <row r="82" spans="1:34">
      <c r="C82" s="439"/>
      <c r="P82" s="19">
        <v>80</v>
      </c>
      <c r="Q82" s="19" t="s">
        <v>181</v>
      </c>
      <c r="R82" s="19">
        <f t="shared" ca="1" si="22"/>
        <v>11</v>
      </c>
      <c r="S82" s="448">
        <f t="shared" ca="1" si="23"/>
        <v>0.45833333333333331</v>
      </c>
      <c r="T82" s="19">
        <f t="shared" ca="1" si="24"/>
        <v>0</v>
      </c>
      <c r="U82" s="19">
        <f t="shared" ca="1" si="25"/>
        <v>15</v>
      </c>
      <c r="V82" s="448">
        <f t="shared" ca="1" si="26"/>
        <v>0.625</v>
      </c>
      <c r="W82" s="19">
        <f t="shared" ca="1" si="28"/>
        <v>1</v>
      </c>
      <c r="AA82" s="19">
        <v>80</v>
      </c>
      <c r="AB82" s="19" t="s">
        <v>181</v>
      </c>
      <c r="AC82" s="19">
        <v>11</v>
      </c>
      <c r="AD82" s="448">
        <f t="shared" si="32"/>
        <v>0.45833333333333331</v>
      </c>
      <c r="AE82" s="19">
        <v>0</v>
      </c>
      <c r="AF82" s="19">
        <f t="shared" ca="1" si="29"/>
        <v>15</v>
      </c>
      <c r="AG82" s="448">
        <f t="shared" ca="1" si="33"/>
        <v>0.625</v>
      </c>
      <c r="AH82" s="19">
        <f t="shared" ca="1" si="30"/>
        <v>1</v>
      </c>
    </row>
    <row r="83" spans="1:34">
      <c r="A83" s="10" t="s">
        <v>505</v>
      </c>
      <c r="C83" s="439"/>
      <c r="P83" s="19">
        <v>81</v>
      </c>
      <c r="Q83" s="19" t="s">
        <v>182</v>
      </c>
      <c r="R83" s="19">
        <f t="shared" ca="1" si="22"/>
        <v>12</v>
      </c>
      <c r="S83" s="448">
        <f t="shared" ca="1" si="23"/>
        <v>0.5</v>
      </c>
      <c r="T83" s="19">
        <f t="shared" ca="1" si="24"/>
        <v>0</v>
      </c>
      <c r="U83" s="19">
        <f t="shared" ca="1" si="25"/>
        <v>16</v>
      </c>
      <c r="V83" s="448">
        <f t="shared" ca="1" si="26"/>
        <v>0.66666666666666663</v>
      </c>
      <c r="W83" s="19">
        <f t="shared" ca="1" si="28"/>
        <v>1</v>
      </c>
      <c r="AA83" s="19">
        <v>81</v>
      </c>
      <c r="AB83" s="19" t="s">
        <v>182</v>
      </c>
      <c r="AC83" s="19">
        <v>12</v>
      </c>
      <c r="AD83" s="448">
        <f t="shared" si="32"/>
        <v>0.5</v>
      </c>
      <c r="AE83" s="19">
        <v>0</v>
      </c>
      <c r="AF83" s="19">
        <f t="shared" ca="1" si="29"/>
        <v>16</v>
      </c>
      <c r="AG83" s="448">
        <f t="shared" ca="1" si="33"/>
        <v>0.66666666666666663</v>
      </c>
      <c r="AH83" s="19">
        <f t="shared" ca="1" si="30"/>
        <v>1</v>
      </c>
    </row>
    <row r="84" spans="1:34">
      <c r="A84" s="439">
        <v>46190.541666666664</v>
      </c>
      <c r="C84" s="439">
        <f t="shared" ref="C84:C89" ca="1" si="35">A84+INDEX($V$3:$V$86,MATCH($C$3,$P$3:$P$86,0))*INDEX($W$3:$W$86,MATCH($C$3,$P$3:$P$86,0))</f>
        <v>46190.791666666664</v>
      </c>
      <c r="D84" s="439"/>
      <c r="P84" s="19">
        <v>82</v>
      </c>
      <c r="Q84" s="19" t="s">
        <v>380</v>
      </c>
      <c r="R84" s="19">
        <f t="shared" ca="1" si="22"/>
        <v>12.75</v>
      </c>
      <c r="S84" s="448">
        <f t="shared" ca="1" si="23"/>
        <v>0.53125</v>
      </c>
      <c r="T84" s="19">
        <f t="shared" ca="1" si="24"/>
        <v>0</v>
      </c>
      <c r="U84" s="19">
        <f t="shared" ca="1" si="25"/>
        <v>16.75</v>
      </c>
      <c r="V84" s="448">
        <f t="shared" ca="1" si="26"/>
        <v>0.69791666666666663</v>
      </c>
      <c r="W84" s="19">
        <f t="shared" ca="1" si="28"/>
        <v>1</v>
      </c>
      <c r="AA84" s="19">
        <v>82</v>
      </c>
      <c r="AB84" s="19" t="s">
        <v>380</v>
      </c>
      <c r="AC84" s="19">
        <v>12.75</v>
      </c>
      <c r="AD84" s="448">
        <f t="shared" si="32"/>
        <v>0.53125</v>
      </c>
      <c r="AE84" s="19">
        <v>0</v>
      </c>
      <c r="AF84" s="19">
        <f t="shared" ca="1" si="29"/>
        <v>16.75</v>
      </c>
      <c r="AG84" s="448">
        <f t="shared" ca="1" si="33"/>
        <v>0.69791666666666663</v>
      </c>
      <c r="AH84" s="19">
        <f t="shared" ca="1" si="30"/>
        <v>1</v>
      </c>
    </row>
    <row r="85" spans="1:34">
      <c r="A85" s="439">
        <v>46190.916666666664</v>
      </c>
      <c r="C85" s="439">
        <f t="shared" ca="1" si="35"/>
        <v>46191.166666666664</v>
      </c>
      <c r="D85" s="439"/>
      <c r="P85" s="19">
        <v>83</v>
      </c>
      <c r="Q85" s="19" t="s">
        <v>381</v>
      </c>
      <c r="R85" s="19">
        <f t="shared" ca="1" si="22"/>
        <v>13</v>
      </c>
      <c r="S85" s="448">
        <f t="shared" ca="1" si="23"/>
        <v>0.54166666666666663</v>
      </c>
      <c r="T85" s="19">
        <f t="shared" ca="1" si="24"/>
        <v>0</v>
      </c>
      <c r="U85" s="19">
        <f t="shared" ca="1" si="25"/>
        <v>17</v>
      </c>
      <c r="V85" s="448">
        <f t="shared" ca="1" si="26"/>
        <v>0.70833333333333337</v>
      </c>
      <c r="W85" s="19">
        <f t="shared" ca="1" si="28"/>
        <v>1</v>
      </c>
      <c r="AA85" s="19">
        <v>83</v>
      </c>
      <c r="AB85" s="19" t="s">
        <v>381</v>
      </c>
      <c r="AC85" s="19">
        <v>13</v>
      </c>
      <c r="AD85" s="448">
        <f t="shared" si="32"/>
        <v>0.54166666666666663</v>
      </c>
      <c r="AE85" s="19">
        <v>0</v>
      </c>
      <c r="AF85" s="19">
        <f t="shared" ca="1" si="29"/>
        <v>17</v>
      </c>
      <c r="AG85" s="448">
        <f t="shared" ca="1" si="33"/>
        <v>0.70833333333333337</v>
      </c>
      <c r="AH85" s="19">
        <f t="shared" ca="1" si="30"/>
        <v>1</v>
      </c>
    </row>
    <row r="86" spans="1:34">
      <c r="A86" s="439">
        <v>46196.541666666664</v>
      </c>
      <c r="C86" s="439">
        <f t="shared" ca="1" si="35"/>
        <v>46196.791666666664</v>
      </c>
      <c r="D86" s="439"/>
      <c r="P86" s="19">
        <v>84</v>
      </c>
      <c r="Q86" s="19" t="s">
        <v>382</v>
      </c>
      <c r="R86" s="19">
        <f t="shared" ca="1" si="22"/>
        <v>14</v>
      </c>
      <c r="S86" s="448">
        <f t="shared" ca="1" si="23"/>
        <v>0.58333333333333337</v>
      </c>
      <c r="T86" s="19">
        <f t="shared" ca="1" si="24"/>
        <v>0</v>
      </c>
      <c r="U86" s="19">
        <f t="shared" ca="1" si="25"/>
        <v>18</v>
      </c>
      <c r="V86" s="448">
        <f t="shared" ca="1" si="26"/>
        <v>0.75</v>
      </c>
      <c r="W86" s="19">
        <f t="shared" ca="1" si="28"/>
        <v>1</v>
      </c>
      <c r="AA86" s="19">
        <v>84</v>
      </c>
      <c r="AB86" s="19" t="s">
        <v>382</v>
      </c>
      <c r="AC86" s="19">
        <v>14</v>
      </c>
      <c r="AD86" s="448">
        <f t="shared" si="32"/>
        <v>0.58333333333333337</v>
      </c>
      <c r="AE86" s="19">
        <v>0</v>
      </c>
      <c r="AF86" s="19">
        <f t="shared" ca="1" si="29"/>
        <v>18</v>
      </c>
      <c r="AG86" s="448">
        <f t="shared" ca="1" si="33"/>
        <v>0.75</v>
      </c>
      <c r="AH86" s="19">
        <f t="shared" ca="1" si="30"/>
        <v>1</v>
      </c>
    </row>
    <row r="87" spans="1:34">
      <c r="A87" s="439">
        <v>46196.916666666664</v>
      </c>
      <c r="C87" s="439">
        <f t="shared" ca="1" si="35"/>
        <v>46197.166666666664</v>
      </c>
      <c r="D87" s="439"/>
    </row>
    <row r="88" spans="1:34">
      <c r="A88" s="439">
        <v>46200.8125</v>
      </c>
      <c r="C88" s="439">
        <f t="shared" ca="1" si="35"/>
        <v>46201.0625</v>
      </c>
      <c r="D88" s="439"/>
    </row>
    <row r="89" spans="1:34">
      <c r="A89" s="439">
        <v>46200.8125</v>
      </c>
      <c r="C89" s="439">
        <f t="shared" ca="1" si="35"/>
        <v>46201.0625</v>
      </c>
      <c r="D89" s="439"/>
    </row>
    <row r="90" spans="1:34">
      <c r="C90" s="439"/>
    </row>
    <row r="91" spans="1:34">
      <c r="A91" s="10" t="s">
        <v>506</v>
      </c>
      <c r="C91" s="439"/>
    </row>
    <row r="92" spans="1:34">
      <c r="A92" s="439">
        <v>46190.666666666664</v>
      </c>
      <c r="C92" s="439">
        <f t="shared" ref="C92:C97" ca="1" si="36">A92+INDEX($V$3:$V$86,MATCH($C$3,$P$3:$P$86,0))*INDEX($W$3:$W$86,MATCH($C$3,$P$3:$P$86,0))</f>
        <v>46190.916666666664</v>
      </c>
      <c r="D92" s="439"/>
    </row>
    <row r="93" spans="1:34">
      <c r="A93" s="439">
        <v>46190.791666666664</v>
      </c>
      <c r="C93" s="439">
        <f t="shared" ca="1" si="36"/>
        <v>46191.041666666664</v>
      </c>
      <c r="D93" s="439"/>
    </row>
    <row r="94" spans="1:34">
      <c r="A94" s="439">
        <v>46196.666666666664</v>
      </c>
      <c r="C94" s="439">
        <f t="shared" ca="1" si="36"/>
        <v>46196.916666666664</v>
      </c>
      <c r="D94" s="439"/>
    </row>
    <row r="95" spans="1:34">
      <c r="A95" s="439">
        <v>46196.791666666664</v>
      </c>
      <c r="C95" s="439">
        <f t="shared" ca="1" si="36"/>
        <v>46197.041666666664</v>
      </c>
      <c r="D95" s="439"/>
    </row>
    <row r="96" spans="1:34">
      <c r="A96" s="439">
        <v>46200.708333333336</v>
      </c>
      <c r="C96" s="439">
        <f t="shared" ca="1" si="36"/>
        <v>46200.958333333336</v>
      </c>
      <c r="D96" s="439"/>
    </row>
    <row r="97" spans="1:10">
      <c r="A97" s="439">
        <v>46200.708333333336</v>
      </c>
      <c r="C97" s="439">
        <f t="shared" ca="1" si="36"/>
        <v>46200.958333333336</v>
      </c>
      <c r="D97" s="439"/>
    </row>
    <row r="100" spans="1:10">
      <c r="A100" s="450" t="s">
        <v>507</v>
      </c>
      <c r="C100" s="439"/>
      <c r="F100" s="451" t="s">
        <v>1472</v>
      </c>
      <c r="G100" s="451"/>
      <c r="I100" s="451" t="s">
        <v>1471</v>
      </c>
      <c r="J100" s="451"/>
    </row>
    <row r="101" spans="1:10">
      <c r="A101" s="439">
        <v>46201.625</v>
      </c>
      <c r="C101" s="439">
        <f t="shared" ref="C101:C116" ca="1" si="37">A101+INDEX($V$3:$V$86,MATCH($C$3,$P$3:$P$86,0))*INDEX($W$3:$W$86,MATCH($C$3,$P$3:$P$86,0))</f>
        <v>46201.875</v>
      </c>
      <c r="F101" s="19">
        <v>73</v>
      </c>
      <c r="G101" s="439">
        <v>46201.625</v>
      </c>
      <c r="I101" s="19">
        <v>73</v>
      </c>
      <c r="J101" s="439">
        <v>46201.625</v>
      </c>
    </row>
    <row r="102" spans="1:10">
      <c r="A102" s="439">
        <v>46202.541666666664</v>
      </c>
      <c r="C102" s="439">
        <f t="shared" ca="1" si="37"/>
        <v>46202.791666666664</v>
      </c>
      <c r="F102" s="19">
        <v>76</v>
      </c>
      <c r="G102" s="439">
        <v>46202.541666666664</v>
      </c>
      <c r="I102" s="19">
        <v>74</v>
      </c>
      <c r="J102" s="439">
        <v>46202.6875</v>
      </c>
    </row>
    <row r="103" spans="1:10">
      <c r="A103" s="439">
        <v>46202.6875</v>
      </c>
      <c r="C103" s="439">
        <f t="shared" ca="1" si="37"/>
        <v>46202.9375</v>
      </c>
      <c r="F103" s="19">
        <v>74</v>
      </c>
      <c r="G103" s="439">
        <v>46202.6875</v>
      </c>
      <c r="I103" s="19">
        <v>75</v>
      </c>
      <c r="J103" s="439">
        <v>46202.875</v>
      </c>
    </row>
    <row r="104" spans="1:10">
      <c r="A104" s="439">
        <v>46202.875</v>
      </c>
      <c r="C104" s="439">
        <f t="shared" ca="1" si="37"/>
        <v>46203.125</v>
      </c>
      <c r="F104" s="19">
        <v>75</v>
      </c>
      <c r="G104" s="439">
        <v>46202.875</v>
      </c>
      <c r="I104" s="19">
        <v>76</v>
      </c>
      <c r="J104" s="439">
        <v>46202.541666666664</v>
      </c>
    </row>
    <row r="105" spans="1:10">
      <c r="A105" s="439">
        <v>46203.541666666664</v>
      </c>
      <c r="C105" s="439">
        <f t="shared" ca="1" si="37"/>
        <v>46203.791666666664</v>
      </c>
      <c r="F105" s="19">
        <v>78</v>
      </c>
      <c r="G105" s="439">
        <v>46203.541666666664</v>
      </c>
      <c r="I105" s="19">
        <v>77</v>
      </c>
      <c r="J105" s="439">
        <v>46203.708333333336</v>
      </c>
    </row>
    <row r="106" spans="1:10">
      <c r="A106" s="439">
        <v>46203.708333333336</v>
      </c>
      <c r="C106" s="439">
        <f t="shared" ca="1" si="37"/>
        <v>46203.958333333336</v>
      </c>
      <c r="F106" s="19">
        <v>77</v>
      </c>
      <c r="G106" s="439">
        <v>46203.708333333336</v>
      </c>
      <c r="I106" s="19">
        <v>78</v>
      </c>
      <c r="J106" s="439">
        <v>46203.541666666664</v>
      </c>
    </row>
    <row r="107" spans="1:10">
      <c r="A107" s="439">
        <v>46203.875</v>
      </c>
      <c r="C107" s="439">
        <f t="shared" ca="1" si="37"/>
        <v>46204.125</v>
      </c>
      <c r="F107" s="19">
        <v>79</v>
      </c>
      <c r="G107" s="439">
        <v>46203.875</v>
      </c>
      <c r="I107" s="19">
        <v>79</v>
      </c>
      <c r="J107" s="439">
        <v>46203.875</v>
      </c>
    </row>
    <row r="108" spans="1:10">
      <c r="A108" s="439">
        <v>46204.5</v>
      </c>
      <c r="C108" s="439">
        <f t="shared" ca="1" si="37"/>
        <v>46204.75</v>
      </c>
      <c r="F108" s="19">
        <v>80</v>
      </c>
      <c r="G108" s="439">
        <v>46204.5</v>
      </c>
      <c r="I108" s="19">
        <v>80</v>
      </c>
      <c r="J108" s="439">
        <v>46204.5</v>
      </c>
    </row>
    <row r="109" spans="1:10">
      <c r="A109" s="439">
        <v>46204.666666666664</v>
      </c>
      <c r="C109" s="439">
        <f t="shared" ca="1" si="37"/>
        <v>46204.916666666664</v>
      </c>
      <c r="F109" s="19">
        <v>82</v>
      </c>
      <c r="G109" s="439">
        <v>46204.666666666664</v>
      </c>
      <c r="I109" s="19">
        <v>81</v>
      </c>
      <c r="J109" s="439">
        <v>46204.833333333336</v>
      </c>
    </row>
    <row r="110" spans="1:10">
      <c r="A110" s="439">
        <v>46204.833333333336</v>
      </c>
      <c r="C110" s="439">
        <f t="shared" ca="1" si="37"/>
        <v>46205.083333333336</v>
      </c>
      <c r="F110" s="19">
        <v>81</v>
      </c>
      <c r="G110" s="439">
        <v>46204.833333333336</v>
      </c>
      <c r="I110" s="19">
        <v>82</v>
      </c>
      <c r="J110" s="439">
        <v>46204.666666666664</v>
      </c>
    </row>
    <row r="111" spans="1:10">
      <c r="A111" s="439">
        <v>46205.625</v>
      </c>
      <c r="C111" s="439">
        <f t="shared" ca="1" si="37"/>
        <v>46205.875</v>
      </c>
      <c r="F111" s="19">
        <v>84</v>
      </c>
      <c r="G111" s="439">
        <v>46205.625</v>
      </c>
      <c r="I111" s="19">
        <v>83</v>
      </c>
      <c r="J111" s="439">
        <v>46205.791666666664</v>
      </c>
    </row>
    <row r="112" spans="1:10">
      <c r="A112" s="439">
        <v>46205.791666666664</v>
      </c>
      <c r="C112" s="439">
        <f t="shared" ca="1" si="37"/>
        <v>46206.041666666664</v>
      </c>
      <c r="F112" s="19">
        <v>83</v>
      </c>
      <c r="G112" s="439">
        <v>46205.791666666664</v>
      </c>
      <c r="I112" s="19">
        <v>84</v>
      </c>
      <c r="J112" s="439">
        <v>46205.625</v>
      </c>
    </row>
    <row r="113" spans="1:10">
      <c r="A113" s="439">
        <v>46205.958333333336</v>
      </c>
      <c r="C113" s="439">
        <f t="shared" ca="1" si="37"/>
        <v>46206.208333333336</v>
      </c>
      <c r="F113" s="19">
        <v>85</v>
      </c>
      <c r="G113" s="439">
        <v>46205.958333333336</v>
      </c>
      <c r="I113" s="19">
        <v>85</v>
      </c>
      <c r="J113" s="439">
        <v>46205.958333333336</v>
      </c>
    </row>
    <row r="114" spans="1:10">
      <c r="A114" s="439">
        <v>46206.583333333336</v>
      </c>
      <c r="C114" s="439">
        <f t="shared" ca="1" si="37"/>
        <v>46206.833333333336</v>
      </c>
      <c r="F114" s="19">
        <v>88</v>
      </c>
      <c r="G114" s="439">
        <v>46206.583333333336</v>
      </c>
      <c r="I114" s="19">
        <v>86</v>
      </c>
      <c r="J114" s="439">
        <v>46206.75</v>
      </c>
    </row>
    <row r="115" spans="1:10">
      <c r="A115" s="439">
        <v>46206.75</v>
      </c>
      <c r="C115" s="439">
        <f t="shared" ca="1" si="37"/>
        <v>46207</v>
      </c>
      <c r="F115" s="19">
        <v>86</v>
      </c>
      <c r="G115" s="439">
        <v>46206.75</v>
      </c>
      <c r="I115" s="19">
        <v>87</v>
      </c>
      <c r="J115" s="439">
        <v>46206.895833333336</v>
      </c>
    </row>
    <row r="116" spans="1:10">
      <c r="A116" s="439">
        <v>46206.895833333336</v>
      </c>
      <c r="C116" s="439">
        <f t="shared" ca="1" si="37"/>
        <v>46207.145833333336</v>
      </c>
      <c r="F116" s="19">
        <v>87</v>
      </c>
      <c r="G116" s="439">
        <v>46206.895833333336</v>
      </c>
      <c r="I116" s="19">
        <v>88</v>
      </c>
      <c r="J116" s="439">
        <v>46206.583333333336</v>
      </c>
    </row>
    <row r="117" spans="1:10">
      <c r="C117" s="439"/>
      <c r="G117" s="439"/>
    </row>
    <row r="118" spans="1:10">
      <c r="C118" s="439"/>
      <c r="G118" s="439"/>
    </row>
    <row r="119" spans="1:10">
      <c r="A119" s="450" t="s">
        <v>737</v>
      </c>
      <c r="G119" s="439"/>
    </row>
    <row r="120" spans="1:10">
      <c r="A120" s="439">
        <v>46207.541666666664</v>
      </c>
      <c r="C120" s="439">
        <f t="shared" ref="C120:C127" ca="1" si="38">A120+INDEX($V$3:$V$86,MATCH($C$3,$P$3:$P$86,0))*INDEX($W$3:$W$86,MATCH($C$3,$P$3:$P$86,0))</f>
        <v>46207.791666666664</v>
      </c>
      <c r="D120" s="439"/>
      <c r="F120" s="19">
        <v>90</v>
      </c>
      <c r="G120" s="439">
        <v>46207.541666666664</v>
      </c>
      <c r="I120" s="19">
        <v>89</v>
      </c>
      <c r="J120" s="439">
        <v>46207.708333333336</v>
      </c>
    </row>
    <row r="121" spans="1:10">
      <c r="A121" s="439">
        <v>46207.708333333336</v>
      </c>
      <c r="C121" s="439">
        <f t="shared" ca="1" si="38"/>
        <v>46207.958333333336</v>
      </c>
      <c r="D121" s="439"/>
      <c r="F121" s="19">
        <v>89</v>
      </c>
      <c r="G121" s="439">
        <v>46207.708333333336</v>
      </c>
      <c r="I121" s="19">
        <v>90</v>
      </c>
      <c r="J121" s="439">
        <v>46207.541666666664</v>
      </c>
    </row>
    <row r="122" spans="1:10">
      <c r="A122" s="439">
        <v>46208.666666666664</v>
      </c>
      <c r="C122" s="439">
        <f t="shared" ca="1" si="38"/>
        <v>46208.916666666664</v>
      </c>
      <c r="D122" s="439"/>
      <c r="F122" s="19">
        <v>91</v>
      </c>
      <c r="G122" s="439">
        <v>46208.666666666664</v>
      </c>
      <c r="I122" s="19">
        <v>91</v>
      </c>
      <c r="J122" s="439">
        <v>46208.666666666664</v>
      </c>
    </row>
    <row r="123" spans="1:10">
      <c r="A123" s="439">
        <v>46208.833333333336</v>
      </c>
      <c r="C123" s="439">
        <f t="shared" ca="1" si="38"/>
        <v>46209.083333333336</v>
      </c>
      <c r="D123" s="439"/>
      <c r="F123" s="19">
        <v>92</v>
      </c>
      <c r="G123" s="439">
        <v>46208.833333333336</v>
      </c>
      <c r="I123" s="19">
        <v>92</v>
      </c>
      <c r="J123" s="439">
        <v>46208.833333333336</v>
      </c>
    </row>
    <row r="124" spans="1:10">
      <c r="A124" s="439">
        <v>46209.625</v>
      </c>
      <c r="C124" s="439">
        <f t="shared" ca="1" si="38"/>
        <v>46209.875</v>
      </c>
      <c r="D124" s="439"/>
      <c r="F124" s="19">
        <v>93</v>
      </c>
      <c r="G124" s="439">
        <v>46209.625</v>
      </c>
      <c r="I124" s="19">
        <v>93</v>
      </c>
      <c r="J124" s="439">
        <v>46209.625</v>
      </c>
    </row>
    <row r="125" spans="1:10">
      <c r="A125" s="439">
        <v>46209.833333333336</v>
      </c>
      <c r="C125" s="439">
        <f t="shared" ca="1" si="38"/>
        <v>46210.083333333336</v>
      </c>
      <c r="D125" s="439"/>
      <c r="F125" s="19">
        <v>94</v>
      </c>
      <c r="G125" s="439">
        <v>46209.833333333336</v>
      </c>
      <c r="I125" s="19">
        <v>94</v>
      </c>
      <c r="J125" s="439">
        <v>46209.833333333336</v>
      </c>
    </row>
    <row r="126" spans="1:10">
      <c r="A126" s="439">
        <v>46210.5</v>
      </c>
      <c r="C126" s="439">
        <f t="shared" ca="1" si="38"/>
        <v>46210.75</v>
      </c>
      <c r="D126" s="439"/>
      <c r="F126" s="19">
        <v>95</v>
      </c>
      <c r="G126" s="439">
        <v>46210.5</v>
      </c>
      <c r="I126" s="19">
        <v>95</v>
      </c>
      <c r="J126" s="439">
        <v>46210.5</v>
      </c>
    </row>
    <row r="127" spans="1:10">
      <c r="A127" s="439">
        <v>46210.666666666664</v>
      </c>
      <c r="C127" s="439">
        <f t="shared" ca="1" si="38"/>
        <v>46210.916666666664</v>
      </c>
      <c r="D127" s="439"/>
      <c r="F127" s="19">
        <v>96</v>
      </c>
      <c r="G127" s="439">
        <v>46210.666666666664</v>
      </c>
      <c r="I127" s="19">
        <v>96</v>
      </c>
      <c r="J127" s="439">
        <v>46210.666666666664</v>
      </c>
    </row>
    <row r="128" spans="1:10">
      <c r="G128" s="439"/>
    </row>
    <row r="129" spans="1:10">
      <c r="G129" s="439"/>
    </row>
    <row r="130" spans="1:10">
      <c r="A130" s="450" t="s">
        <v>97</v>
      </c>
      <c r="C130" s="439"/>
      <c r="G130" s="439"/>
    </row>
    <row r="131" spans="1:10">
      <c r="A131" s="439">
        <v>46212.666666666664</v>
      </c>
      <c r="C131" s="439">
        <f ca="1">A131+INDEX($V$3:$V$86,MATCH($C$3,$P$3:$P$86,0))*INDEX($W$3:$W$86,MATCH($C$3,$P$3:$P$86,0))</f>
        <v>46212.916666666664</v>
      </c>
      <c r="D131" s="439"/>
      <c r="F131" s="19">
        <v>97</v>
      </c>
      <c r="G131" s="439">
        <v>46212.666666666664</v>
      </c>
      <c r="I131" s="19">
        <v>97</v>
      </c>
      <c r="J131" s="439">
        <v>46212.666666666664</v>
      </c>
    </row>
    <row r="132" spans="1:10">
      <c r="A132" s="439">
        <v>46213.625</v>
      </c>
      <c r="C132" s="439">
        <f ca="1">A132+INDEX($V$3:$V$86,MATCH($C$3,$P$3:$P$86,0))*INDEX($W$3:$W$86,MATCH($C$3,$P$3:$P$86,0))</f>
        <v>46213.875</v>
      </c>
      <c r="D132" s="439"/>
      <c r="F132" s="19">
        <v>98</v>
      </c>
      <c r="G132" s="439">
        <v>46213.625</v>
      </c>
      <c r="I132" s="19">
        <v>98</v>
      </c>
      <c r="J132" s="439">
        <v>46213.625</v>
      </c>
    </row>
    <row r="133" spans="1:10">
      <c r="A133" s="439">
        <v>46214.708333333336</v>
      </c>
      <c r="C133" s="439">
        <f ca="1">A133+INDEX($V$3:$V$86,MATCH($C$3,$P$3:$P$86,0))*INDEX($W$3:$W$86,MATCH($C$3,$P$3:$P$86,0))</f>
        <v>46214.958333333336</v>
      </c>
      <c r="D133" s="439"/>
      <c r="F133" s="19">
        <v>99</v>
      </c>
      <c r="G133" s="439">
        <v>46214.708333333336</v>
      </c>
      <c r="I133" s="19">
        <v>99</v>
      </c>
      <c r="J133" s="439">
        <v>46214.708333333336</v>
      </c>
    </row>
    <row r="134" spans="1:10">
      <c r="A134" s="439">
        <v>46214.875</v>
      </c>
      <c r="C134" s="439">
        <f ca="1">A134+INDEX($V$3:$V$86,MATCH($C$3,$P$3:$P$86,0))*INDEX($W$3:$W$86,MATCH($C$3,$P$3:$P$86,0))</f>
        <v>46215.125</v>
      </c>
      <c r="D134" s="439"/>
      <c r="F134" s="19">
        <v>100</v>
      </c>
      <c r="G134" s="439">
        <v>46214.875</v>
      </c>
      <c r="I134" s="19">
        <v>100</v>
      </c>
      <c r="J134" s="439">
        <v>46214.875</v>
      </c>
    </row>
    <row r="135" spans="1:10">
      <c r="C135" s="439"/>
    </row>
    <row r="137" spans="1:10">
      <c r="A137" s="452" t="s">
        <v>43</v>
      </c>
      <c r="C137" s="439"/>
    </row>
    <row r="138" spans="1:10">
      <c r="A138" s="439">
        <v>46217.625</v>
      </c>
      <c r="C138" s="439">
        <f ca="1">A138+INDEX($V$3:$V$86,MATCH($C$3,$P$3:$P$86,0))*INDEX($W$3:$W$86,MATCH($C$3,$P$3:$P$86,0))</f>
        <v>46217.875</v>
      </c>
      <c r="D138" s="439"/>
    </row>
    <row r="139" spans="1:10">
      <c r="A139" s="439">
        <v>46218.625</v>
      </c>
      <c r="C139" s="439">
        <f ca="1">A139+INDEX($V$3:$V$86,MATCH($C$3,$P$3:$P$86,0))*INDEX($W$3:$W$86,MATCH($C$3,$P$3:$P$86,0))</f>
        <v>46218.875</v>
      </c>
      <c r="D139" s="439"/>
    </row>
    <row r="140" spans="1:10">
      <c r="C140" s="439"/>
    </row>
    <row r="142" spans="1:10">
      <c r="A142" s="453" t="s">
        <v>510</v>
      </c>
    </row>
    <row r="143" spans="1:10">
      <c r="A143" s="439">
        <v>46221.708333333336</v>
      </c>
      <c r="C143" s="439">
        <f ca="1">A143+INDEX($V$3:$V$86,MATCH($C$3,$P$3:$P$86,0))*INDEX($W$3:$W$86,MATCH($C$3,$P$3:$P$86,0))</f>
        <v>46221.958333333336</v>
      </c>
      <c r="D143" s="439"/>
    </row>
    <row r="146" spans="1:4">
      <c r="A146" s="454" t="s">
        <v>4</v>
      </c>
      <c r="C146" s="439"/>
    </row>
    <row r="147" spans="1:4">
      <c r="A147" s="439">
        <v>46222.625</v>
      </c>
      <c r="C147" s="439">
        <f ca="1">A147+INDEX($V$3:$V$86,MATCH($C$3,$P$3:$P$86,0))*INDEX($W$3:$W$86,MATCH($C$3,$P$3:$P$86,0))</f>
        <v>46222.875</v>
      </c>
      <c r="D147" s="439"/>
    </row>
  </sheetData>
  <sheetProtection algorithmName="SHA-512" hashValue="UjDRXX+G341L3UfM6qXb4AyVKhgxjk0WiI6nwTYKf66wM+3Q7i8YPkomqBlUc1qXrEhkCItzc+QXC3u6lCrW4Q==" saltValue="8viHjXSHTfrMD/AhlvO4Iw==" spinCount="100000" sheet="1" objects="1" scenarios="1" selectLockedCells="1" selectUnlockedCells="1"/>
  <conditionalFormatting sqref="F4:F27">
    <cfRule type="duplicateValues" dxfId="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topLeftCell="AD189" zoomScaleNormal="100" zoomScalePageLayoutView="75" workbookViewId="0">
      <selection activeCell="AJ216" sqref="AJ216"/>
    </sheetView>
  </sheetViews>
  <sheetFormatPr baseColWidth="10" defaultColWidth="20.44140625" defaultRowHeight="15" customHeight="1"/>
  <cols>
    <col min="1" max="1" width="6.77734375" style="431" bestFit="1" customWidth="1"/>
    <col min="2" max="2" width="16.77734375" style="431" customWidth="1"/>
    <col min="3" max="3" width="11.44140625" style="431" customWidth="1"/>
    <col min="4" max="4" width="8.77734375" style="431" bestFit="1" customWidth="1"/>
    <col min="5" max="5" width="11.33203125" style="431" customWidth="1"/>
    <col min="6" max="6" width="15.33203125" style="431" customWidth="1"/>
    <col min="7" max="7" width="4.109375" style="431" bestFit="1" customWidth="1"/>
    <col min="8" max="8" width="20.44140625" style="431"/>
    <col min="9" max="9" width="13" style="431" customWidth="1"/>
    <col min="10" max="10" width="12" style="431" customWidth="1"/>
    <col min="11" max="13" width="20.44140625" style="431"/>
    <col min="14" max="14" width="4.44140625" style="433" customWidth="1"/>
    <col min="15" max="16384" width="20.44140625" style="434"/>
  </cols>
  <sheetData>
    <row r="1" spans="1:18 8826:8826" ht="15" customHeight="1">
      <c r="A1" s="429" t="s">
        <v>386</v>
      </c>
      <c r="B1" s="429" t="s">
        <v>32</v>
      </c>
      <c r="C1" s="429" t="s">
        <v>73</v>
      </c>
      <c r="D1" s="429" t="s">
        <v>11</v>
      </c>
      <c r="F1" s="431" t="s">
        <v>35</v>
      </c>
      <c r="H1" s="432"/>
      <c r="I1" s="432"/>
      <c r="K1" s="431" t="s">
        <v>70</v>
      </c>
      <c r="L1" s="431" t="s">
        <v>1369</v>
      </c>
    </row>
    <row r="2" spans="1:18 8826:8826" ht="15" customHeight="1">
      <c r="A2" s="431">
        <v>1</v>
      </c>
      <c r="B2" s="431" t="str">
        <f ca="1">+INDEX(Idiomas!$D$199:$D$246,MATCH(T_Equipos[[#This Row],[Num]],Idiomas!$C$199:$C$246,0))</f>
        <v>México</v>
      </c>
      <c r="C2" s="431" t="s">
        <v>0</v>
      </c>
      <c r="D2" s="431">
        <v>1</v>
      </c>
      <c r="F2" s="431" t="s">
        <v>0</v>
      </c>
      <c r="K2" s="431" t="str">
        <f ca="1">Idiomas!D199</f>
        <v>Alemania</v>
      </c>
      <c r="L2" s="431" t="s">
        <v>153</v>
      </c>
      <c r="MAL2" s="434" t="s">
        <v>15</v>
      </c>
    </row>
    <row r="3" spans="1:18 8826:8826" ht="15" customHeight="1">
      <c r="A3" s="431">
        <v>2</v>
      </c>
      <c r="B3" s="431" t="str">
        <f ca="1">+INDEX(Idiomas!$D$199:$D$246,MATCH(T_Equipos[[#This Row],[Num]],Idiomas!$C$199:$C$246,0))</f>
        <v>Sudáfrica</v>
      </c>
      <c r="C3" s="431" t="s">
        <v>0</v>
      </c>
      <c r="D3" s="431">
        <v>2</v>
      </c>
      <c r="F3" s="431" t="s">
        <v>1</v>
      </c>
      <c r="K3" s="431" t="str">
        <f ca="1">Idiomas!D200</f>
        <v>Arabia Saudita</v>
      </c>
      <c r="L3" s="431" t="s">
        <v>1390</v>
      </c>
    </row>
    <row r="4" spans="1:18 8826:8826" ht="15" customHeight="1">
      <c r="A4" s="431">
        <v>3</v>
      </c>
      <c r="B4" s="431" t="str">
        <f ca="1">+INDEX(Idiomas!$D$199:$D$246,MATCH(T_Equipos[[#This Row],[Num]],Idiomas!$C$199:$C$246,0))</f>
        <v>Corea del Sur</v>
      </c>
      <c r="C4" s="431" t="s">
        <v>0</v>
      </c>
      <c r="D4" s="431">
        <v>3</v>
      </c>
      <c r="F4" s="431" t="s">
        <v>2</v>
      </c>
      <c r="K4" s="431" t="str">
        <f ca="1">Idiomas!D201</f>
        <v>Argelia</v>
      </c>
      <c r="L4" s="431" t="s">
        <v>1393</v>
      </c>
    </row>
    <row r="5" spans="1:18 8826:8826" ht="15" customHeight="1">
      <c r="A5" s="431">
        <v>4</v>
      </c>
      <c r="B5" s="431" t="str">
        <f ca="1">+INDEX(Idiomas!$D$199:$D$246,MATCH(T_Equipos[[#This Row],[Num]],Idiomas!$C$199:$C$246,0))</f>
        <v>PO D: DEN/MKD/CZE/IRL</v>
      </c>
      <c r="C5" s="431" t="s">
        <v>0</v>
      </c>
      <c r="D5" s="431">
        <v>4</v>
      </c>
      <c r="F5" s="431" t="s">
        <v>75</v>
      </c>
      <c r="K5" s="431" t="str">
        <f ca="1">Idiomas!D202</f>
        <v>Argentina</v>
      </c>
      <c r="L5" s="431" t="s">
        <v>1285</v>
      </c>
    </row>
    <row r="6" spans="1:18 8826:8826" ht="15" customHeight="1">
      <c r="A6" s="431">
        <v>5</v>
      </c>
      <c r="B6" s="431" t="str">
        <f ca="1">+INDEX(Idiomas!$D$199:$D$246,MATCH(T_Equipos[[#This Row],[Num]],Idiomas!$C$199:$C$246,0))</f>
        <v>Canadá</v>
      </c>
      <c r="C6" s="431" t="s">
        <v>1</v>
      </c>
      <c r="D6" s="431">
        <v>1</v>
      </c>
      <c r="F6" s="431" t="s">
        <v>3</v>
      </c>
      <c r="K6" s="431" t="str">
        <f ca="1">Idiomas!D203</f>
        <v>Australia</v>
      </c>
      <c r="L6" s="431" t="s">
        <v>1286</v>
      </c>
    </row>
    <row r="7" spans="1:18 8826:8826" ht="15" customHeight="1">
      <c r="A7" s="431">
        <v>6</v>
      </c>
      <c r="B7" s="431" t="str">
        <f ca="1">+INDEX(Idiomas!$D$199:$D$246,MATCH(T_Equipos[[#This Row],[Num]],Idiomas!$C$199:$C$246,0))</f>
        <v>PO A: ITA/NIR/WAL/BIH</v>
      </c>
      <c r="C7" s="431" t="s">
        <v>1</v>
      </c>
      <c r="D7" s="431">
        <v>2</v>
      </c>
      <c r="F7" s="431" t="s">
        <v>4</v>
      </c>
      <c r="K7" s="431" t="str">
        <f ca="1">Idiomas!D204</f>
        <v>Austria</v>
      </c>
      <c r="L7" s="435" t="s">
        <v>154</v>
      </c>
      <c r="M7" s="435"/>
    </row>
    <row r="8" spans="1:18 8826:8826" ht="15" customHeight="1">
      <c r="A8" s="431">
        <v>7</v>
      </c>
      <c r="B8" s="431" t="str">
        <f ca="1">+INDEX(Idiomas!$D$199:$D$246,MATCH(T_Equipos[[#This Row],[Num]],Idiomas!$C$199:$C$246,0))</f>
        <v>Catar</v>
      </c>
      <c r="C8" s="431" t="s">
        <v>1</v>
      </c>
      <c r="D8" s="431">
        <v>3</v>
      </c>
      <c r="F8" s="431" t="s">
        <v>6</v>
      </c>
      <c r="K8" s="431" t="str">
        <f ca="1">Idiomas!D205</f>
        <v>Bélgica</v>
      </c>
      <c r="L8" s="431" t="s">
        <v>149</v>
      </c>
    </row>
    <row r="9" spans="1:18 8826:8826" ht="15" customHeight="1">
      <c r="A9" s="431">
        <v>8</v>
      </c>
      <c r="B9" s="431" t="str">
        <f ca="1">+INDEX(Idiomas!$D$199:$D$246,MATCH(T_Equipos[[#This Row],[Num]],Idiomas!$C$199:$C$246,0))</f>
        <v>Suiza</v>
      </c>
      <c r="C9" s="431" t="s">
        <v>1</v>
      </c>
      <c r="D9" s="431">
        <v>4</v>
      </c>
      <c r="F9" s="431" t="s">
        <v>454</v>
      </c>
      <c r="K9" s="431" t="str">
        <f ca="1">Idiomas!D206</f>
        <v>Brasil</v>
      </c>
      <c r="L9" s="431" t="s">
        <v>1288</v>
      </c>
    </row>
    <row r="10" spans="1:18 8826:8826" ht="15" customHeight="1">
      <c r="A10" s="431">
        <v>9</v>
      </c>
      <c r="B10" s="431" t="str">
        <f ca="1">+INDEX(Idiomas!$D$199:$D$246,MATCH(T_Equipos[[#This Row],[Num]],Idiomas!$C$199:$C$246,0))</f>
        <v>Brasil</v>
      </c>
      <c r="C10" s="431" t="s">
        <v>2</v>
      </c>
      <c r="D10" s="431">
        <v>1</v>
      </c>
      <c r="F10" s="431" t="s">
        <v>455</v>
      </c>
      <c r="K10" s="431" t="str">
        <f ca="1">Idiomas!D207</f>
        <v>Cabo Verde</v>
      </c>
      <c r="L10" s="431" t="s">
        <v>1396</v>
      </c>
    </row>
    <row r="11" spans="1:18 8826:8826" ht="15" customHeight="1">
      <c r="A11" s="431">
        <v>10</v>
      </c>
      <c r="B11" s="431" t="str">
        <f ca="1">+INDEX(Idiomas!$D$199:$D$246,MATCH(T_Equipos[[#This Row],[Num]],Idiomas!$C$199:$C$246,0))</f>
        <v>Marruecos</v>
      </c>
      <c r="C11" s="431" t="s">
        <v>2</v>
      </c>
      <c r="D11" s="431">
        <v>2</v>
      </c>
      <c r="F11" s="431" t="s">
        <v>5</v>
      </c>
      <c r="K11" s="431" t="str">
        <f ca="1">Idiomas!D208</f>
        <v>Canadá</v>
      </c>
      <c r="L11" s="431" t="s">
        <v>1290</v>
      </c>
    </row>
    <row r="12" spans="1:18 8826:8826" ht="15" customHeight="1">
      <c r="A12" s="431">
        <v>11</v>
      </c>
      <c r="B12" s="431" t="str">
        <f ca="1">+INDEX(Idiomas!$D$199:$D$246,MATCH(T_Equipos[[#This Row],[Num]],Idiomas!$C$199:$C$246,0))</f>
        <v>Haití</v>
      </c>
      <c r="C12" s="431" t="s">
        <v>2</v>
      </c>
      <c r="D12" s="431">
        <v>3</v>
      </c>
      <c r="F12" s="431" t="s">
        <v>456</v>
      </c>
      <c r="K12" s="431" t="str">
        <f ca="1">Idiomas!D209</f>
        <v>Catar</v>
      </c>
      <c r="L12" s="431" t="s">
        <v>1399</v>
      </c>
    </row>
    <row r="13" spans="1:18 8826:8826" ht="15" customHeight="1">
      <c r="A13" s="431">
        <v>12</v>
      </c>
      <c r="B13" s="431" t="str">
        <f ca="1">+INDEX(Idiomas!$D$199:$D$246,MATCH(T_Equipos[[#This Row],[Num]],Idiomas!$C$199:$C$246,0))</f>
        <v>Escocia</v>
      </c>
      <c r="C13" s="431" t="s">
        <v>2</v>
      </c>
      <c r="D13" s="431">
        <v>4</v>
      </c>
      <c r="F13" s="431" t="s">
        <v>254</v>
      </c>
      <c r="K13" s="431" t="str">
        <f ca="1">Idiomas!D210</f>
        <v>Colombia</v>
      </c>
      <c r="L13" s="431" t="s">
        <v>1348</v>
      </c>
    </row>
    <row r="14" spans="1:18 8826:8826" ht="15" customHeight="1">
      <c r="A14" s="431">
        <v>13</v>
      </c>
      <c r="B14" s="431" t="str">
        <f ca="1">+INDEX(Idiomas!$D$199:$D$246,MATCH(T_Equipos[[#This Row],[Num]],Idiomas!$C$199:$C$246,0))</f>
        <v>Estados Unidos</v>
      </c>
      <c r="C14" s="431" t="s">
        <v>75</v>
      </c>
      <c r="D14" s="431">
        <v>1</v>
      </c>
      <c r="K14" s="431" t="str">
        <f ca="1">Idiomas!D211</f>
        <v>Corea del Sur</v>
      </c>
      <c r="L14" s="431" t="s">
        <v>1292</v>
      </c>
    </row>
    <row r="15" spans="1:18 8826:8826" ht="15" customHeight="1">
      <c r="A15" s="431">
        <v>14</v>
      </c>
      <c r="B15" s="431" t="str">
        <f ca="1">+INDEX(Idiomas!$D$199:$D$246,MATCH(T_Equipos[[#This Row],[Num]],Idiomas!$C$199:$C$246,0))</f>
        <v>Paraguay</v>
      </c>
      <c r="C15" s="431" t="s">
        <v>75</v>
      </c>
      <c r="D15" s="431">
        <v>2</v>
      </c>
      <c r="K15" s="431" t="str">
        <f ca="1">Idiomas!D212</f>
        <v>Costa de Marfil</v>
      </c>
      <c r="L15" s="431" t="s">
        <v>1402</v>
      </c>
      <c r="P15" s="436"/>
      <c r="Q15" s="436"/>
      <c r="R15" s="436"/>
    </row>
    <row r="16" spans="1:18 8826:8826" ht="15" customHeight="1">
      <c r="A16" s="431">
        <v>15</v>
      </c>
      <c r="B16" s="431" t="str">
        <f ca="1">+INDEX(Idiomas!$D$199:$D$246,MATCH(T_Equipos[[#This Row],[Num]],Idiomas!$C$199:$C$246,0))</f>
        <v>Australia</v>
      </c>
      <c r="C16" s="431" t="s">
        <v>75</v>
      </c>
      <c r="D16" s="431">
        <v>3</v>
      </c>
      <c r="K16" s="431" t="str">
        <f ca="1">Idiomas!D213</f>
        <v>Croacia</v>
      </c>
      <c r="L16" s="431" t="s">
        <v>152</v>
      </c>
    </row>
    <row r="17" spans="1:331 8826:8826" ht="15" customHeight="1">
      <c r="A17" s="431">
        <v>16</v>
      </c>
      <c r="B17" s="431" t="str">
        <f ca="1">+INDEX(Idiomas!$D$199:$D$246,MATCH(T_Equipos[[#This Row],[Num]],Idiomas!$C$199:$C$246,0))</f>
        <v>PO C: TUR/ROU/SVK/KOS</v>
      </c>
      <c r="C17" s="431" t="s">
        <v>75</v>
      </c>
      <c r="D17" s="431">
        <v>4</v>
      </c>
      <c r="K17" s="431" t="str">
        <f ca="1">Idiomas!D214</f>
        <v>Curazao</v>
      </c>
      <c r="L17" s="431" t="s">
        <v>1421</v>
      </c>
    </row>
    <row r="18" spans="1:331 8826:8826" ht="15" customHeight="1">
      <c r="A18" s="431">
        <v>17</v>
      </c>
      <c r="B18" s="431" t="str">
        <f ca="1">+INDEX(Idiomas!$D$199:$D$246,MATCH(T_Equipos[[#This Row],[Num]],Idiomas!$C$199:$C$246,0))</f>
        <v>Alemania</v>
      </c>
      <c r="C18" s="431" t="s">
        <v>3</v>
      </c>
      <c r="D18" s="431">
        <v>1</v>
      </c>
      <c r="K18" s="431" t="str">
        <f ca="1">Idiomas!D215</f>
        <v>Ecuador</v>
      </c>
      <c r="L18" s="431" t="s">
        <v>1293</v>
      </c>
    </row>
    <row r="19" spans="1:331 8826:8826" ht="15" customHeight="1">
      <c r="A19" s="431">
        <v>18</v>
      </c>
      <c r="B19" s="431" t="str">
        <f ca="1">+INDEX(Idiomas!$D$199:$D$246,MATCH(T_Equipos[[#This Row],[Num]],Idiomas!$C$199:$C$246,0))</f>
        <v>Curazao</v>
      </c>
      <c r="C19" s="431" t="s">
        <v>3</v>
      </c>
      <c r="D19" s="431">
        <v>2</v>
      </c>
      <c r="K19" s="431" t="str">
        <f ca="1">Idiomas!D216</f>
        <v>Egipto</v>
      </c>
      <c r="L19" s="431" t="s">
        <v>1405</v>
      </c>
    </row>
    <row r="20" spans="1:331 8826:8826" ht="15" customHeight="1">
      <c r="A20" s="431">
        <v>19</v>
      </c>
      <c r="B20" s="431" t="str">
        <f ca="1">+INDEX(Idiomas!$D$199:$D$246,MATCH(T_Equipos[[#This Row],[Num]],Idiomas!$C$199:$C$246,0))</f>
        <v>Costa de Marfil</v>
      </c>
      <c r="C20" s="431" t="s">
        <v>3</v>
      </c>
      <c r="D20" s="431">
        <v>3</v>
      </c>
      <c r="K20" s="431" t="str">
        <f ca="1">Idiomas!D217</f>
        <v>Escocia</v>
      </c>
      <c r="L20" s="431" t="s">
        <v>155</v>
      </c>
    </row>
    <row r="21" spans="1:331 8826:8826" ht="15" customHeight="1">
      <c r="A21" s="431">
        <v>20</v>
      </c>
      <c r="B21" s="431" t="str">
        <f ca="1">+INDEX(Idiomas!$D$199:$D$246,MATCH(T_Equipos[[#This Row],[Num]],Idiomas!$C$199:$C$246,0))</f>
        <v>Ecuador</v>
      </c>
      <c r="C21" s="431" t="s">
        <v>3</v>
      </c>
      <c r="D21" s="431">
        <v>4</v>
      </c>
      <c r="K21" s="431" t="str">
        <f ca="1">Idiomas!D218</f>
        <v>España</v>
      </c>
      <c r="L21" s="431" t="s">
        <v>151</v>
      </c>
    </row>
    <row r="22" spans="1:331 8826:8826" ht="15" customHeight="1">
      <c r="A22" s="431">
        <v>21</v>
      </c>
      <c r="B22" s="431" t="str">
        <f ca="1">+INDEX(Idiomas!$D$199:$D$246,MATCH(T_Equipos[[#This Row],[Num]],Idiomas!$C$199:$C$246,0))</f>
        <v>Países Bajos</v>
      </c>
      <c r="C22" s="431" t="s">
        <v>4</v>
      </c>
      <c r="D22" s="431">
        <v>1</v>
      </c>
      <c r="K22" s="431" t="str">
        <f ca="1">Idiomas!D219</f>
        <v>Estados Unidos</v>
      </c>
      <c r="L22" s="431" t="s">
        <v>1294</v>
      </c>
    </row>
    <row r="23" spans="1:331 8826:8826" ht="15" customHeight="1">
      <c r="A23" s="431">
        <v>22</v>
      </c>
      <c r="B23" s="431" t="str">
        <f ca="1">+INDEX(Idiomas!$D$199:$D$246,MATCH(T_Equipos[[#This Row],[Num]],Idiomas!$C$199:$C$246,0))</f>
        <v>Japón</v>
      </c>
      <c r="C23" s="431" t="s">
        <v>4</v>
      </c>
      <c r="D23" s="431">
        <v>2</v>
      </c>
      <c r="K23" s="431" t="str">
        <f ca="1">Idiomas!D220</f>
        <v>Francia</v>
      </c>
      <c r="L23" s="431" t="s">
        <v>150</v>
      </c>
    </row>
    <row r="24" spans="1:331 8826:8826" ht="15" customHeight="1">
      <c r="A24" s="431">
        <v>23</v>
      </c>
      <c r="B24" s="431" t="str">
        <f ca="1">+INDEX(Idiomas!$D$199:$D$246,MATCH(T_Equipos[[#This Row],[Num]],Idiomas!$C$199:$C$246,0))</f>
        <v>PO B: UKR/SWE/POL/ALB</v>
      </c>
      <c r="C24" s="431" t="s">
        <v>4</v>
      </c>
      <c r="D24" s="431">
        <v>3</v>
      </c>
      <c r="K24" s="431" t="str">
        <f ca="1">Idiomas!D221</f>
        <v>Ghana</v>
      </c>
      <c r="L24" s="431" t="s">
        <v>1407</v>
      </c>
    </row>
    <row r="25" spans="1:331 8826:8826" ht="15" customHeight="1">
      <c r="A25" s="431">
        <v>24</v>
      </c>
      <c r="B25" s="431" t="str">
        <f ca="1">+INDEX(Idiomas!$D$199:$D$246,MATCH(T_Equipos[[#This Row],[Num]],Idiomas!$C$199:$C$246,0))</f>
        <v>Túnez</v>
      </c>
      <c r="C25" s="431" t="s">
        <v>4</v>
      </c>
      <c r="D25" s="431">
        <v>4</v>
      </c>
      <c r="K25" s="431" t="str">
        <f ca="1">Idiomas!D222</f>
        <v>Haití</v>
      </c>
      <c r="L25" s="431" t="s">
        <v>1419</v>
      </c>
    </row>
    <row r="26" spans="1:331 8826:8826" ht="15" customHeight="1">
      <c r="A26" s="431">
        <v>25</v>
      </c>
      <c r="B26" s="431" t="str">
        <f ca="1">+INDEX(Idiomas!$D$199:$D$246,MATCH(T_Equipos[[#This Row],[Num]],Idiomas!$C$199:$C$246,0))</f>
        <v>Bélgica</v>
      </c>
      <c r="C26" s="431" t="s">
        <v>6</v>
      </c>
      <c r="D26" s="431">
        <v>1</v>
      </c>
      <c r="K26" s="431" t="str">
        <f ca="1">Idiomas!D223</f>
        <v>Inglaterra</v>
      </c>
      <c r="L26" s="431" t="s">
        <v>148</v>
      </c>
    </row>
    <row r="27" spans="1:331 8826:8826" ht="15" customHeight="1">
      <c r="A27" s="431">
        <v>26</v>
      </c>
      <c r="B27" s="431" t="str">
        <f ca="1">+INDEX(Idiomas!$D$199:$D$246,MATCH(T_Equipos[[#This Row],[Num]],Idiomas!$C$199:$C$246,0))</f>
        <v>Egipto</v>
      </c>
      <c r="C27" s="431" t="s">
        <v>6</v>
      </c>
      <c r="D27" s="431">
        <v>2</v>
      </c>
      <c r="K27" s="431" t="str">
        <f ca="1">Idiomas!D224</f>
        <v>Irán</v>
      </c>
      <c r="L27" s="431" t="s">
        <v>1296</v>
      </c>
    </row>
    <row r="28" spans="1:331 8826:8826" ht="15" customHeight="1">
      <c r="A28" s="431">
        <v>27</v>
      </c>
      <c r="B28" s="431" t="str">
        <f ca="1">+INDEX(Idiomas!$D$199:$D$246,MATCH(T_Equipos[[#This Row],[Num]],Idiomas!$C$199:$C$246,0))</f>
        <v>Irán</v>
      </c>
      <c r="C28" s="431" t="s">
        <v>6</v>
      </c>
      <c r="D28" s="431">
        <v>3</v>
      </c>
      <c r="K28" s="431" t="str">
        <f ca="1">Idiomas!D225</f>
        <v>Japón</v>
      </c>
      <c r="L28" s="431" t="s">
        <v>1298</v>
      </c>
      <c r="LS28" s="434" t="s">
        <v>15</v>
      </c>
      <c r="MAL28" s="434" t="s">
        <v>15</v>
      </c>
    </row>
    <row r="29" spans="1:331 8826:8826" ht="15" customHeight="1">
      <c r="A29" s="431">
        <v>28</v>
      </c>
      <c r="B29" s="431" t="str">
        <f ca="1">+INDEX(Idiomas!$D$199:$D$246,MATCH(T_Equipos[[#This Row],[Num]],Idiomas!$C$199:$C$246,0))</f>
        <v>Nueva Zelanda</v>
      </c>
      <c r="C29" s="431" t="s">
        <v>6</v>
      </c>
      <c r="D29" s="431">
        <v>4</v>
      </c>
      <c r="K29" s="431" t="str">
        <f ca="1">Idiomas!D226</f>
        <v>Jordania</v>
      </c>
      <c r="L29" s="431" t="s">
        <v>1300</v>
      </c>
    </row>
    <row r="30" spans="1:331 8826:8826" ht="15" customHeight="1">
      <c r="A30" s="431">
        <v>29</v>
      </c>
      <c r="B30" s="431" t="str">
        <f ca="1">+INDEX(Idiomas!$D$199:$D$246,MATCH(T_Equipos[[#This Row],[Num]],Idiomas!$C$199:$C$246,0))</f>
        <v>España</v>
      </c>
      <c r="C30" s="431" t="s">
        <v>454</v>
      </c>
      <c r="D30" s="431">
        <v>1</v>
      </c>
      <c r="K30" s="431" t="str">
        <f ca="1">Idiomas!D227</f>
        <v>Marruecos</v>
      </c>
      <c r="L30" s="431" t="s">
        <v>1350</v>
      </c>
    </row>
    <row r="31" spans="1:331 8826:8826" ht="15" customHeight="1">
      <c r="A31" s="431">
        <v>30</v>
      </c>
      <c r="B31" s="431" t="str">
        <f ca="1">+INDEX(Idiomas!$D$199:$D$246,MATCH(T_Equipos[[#This Row],[Num]],Idiomas!$C$199:$C$246,0))</f>
        <v>Cabo Verde</v>
      </c>
      <c r="C31" s="431" t="s">
        <v>454</v>
      </c>
      <c r="D31" s="431">
        <v>2</v>
      </c>
      <c r="K31" s="431" t="str">
        <f ca="1">Idiomas!D228</f>
        <v>México</v>
      </c>
      <c r="L31" s="431" t="s">
        <v>1302</v>
      </c>
    </row>
    <row r="32" spans="1:331 8826:8826" ht="15" customHeight="1">
      <c r="A32" s="431">
        <v>31</v>
      </c>
      <c r="B32" s="431" t="str">
        <f ca="1">+INDEX(Idiomas!$D$199:$D$246,MATCH(T_Equipos[[#This Row],[Num]],Idiomas!$C$199:$C$246,0))</f>
        <v>Arabia Saudita</v>
      </c>
      <c r="C32" s="431" t="s">
        <v>454</v>
      </c>
      <c r="D32" s="431">
        <v>3</v>
      </c>
      <c r="K32" s="431" t="str">
        <f ca="1">Idiomas!D229</f>
        <v>Noruega</v>
      </c>
      <c r="L32" s="431" t="s">
        <v>156</v>
      </c>
    </row>
    <row r="33" spans="1:12" ht="15" customHeight="1">
      <c r="A33" s="431">
        <v>32</v>
      </c>
      <c r="B33" s="431" t="str">
        <f ca="1">+INDEX(Idiomas!$D$199:$D$246,MATCH(T_Equipos[[#This Row],[Num]],Idiomas!$C$199:$C$246,0))</f>
        <v>Uruguay</v>
      </c>
      <c r="C33" s="431" t="s">
        <v>454</v>
      </c>
      <c r="D33" s="431">
        <v>4</v>
      </c>
      <c r="K33" s="431" t="str">
        <f ca="1">Idiomas!D230</f>
        <v>Nueva Zelanda</v>
      </c>
      <c r="L33" s="431" t="s">
        <v>1304</v>
      </c>
    </row>
    <row r="34" spans="1:12" ht="15" customHeight="1">
      <c r="A34" s="431">
        <v>33</v>
      </c>
      <c r="B34" s="431" t="str">
        <f ca="1">+INDEX(Idiomas!$D$199:$D$246,MATCH(T_Equipos[[#This Row],[Num]],Idiomas!$C$199:$C$246,0))</f>
        <v>Francia</v>
      </c>
      <c r="C34" s="431" t="s">
        <v>455</v>
      </c>
      <c r="D34" s="431">
        <v>1</v>
      </c>
      <c r="K34" s="431" t="str">
        <f ca="1">Idiomas!D231</f>
        <v>Países Bajos</v>
      </c>
      <c r="L34" s="431" t="s">
        <v>147</v>
      </c>
    </row>
    <row r="35" spans="1:12" ht="15" customHeight="1">
      <c r="A35" s="431">
        <v>34</v>
      </c>
      <c r="B35" s="431" t="str">
        <f ca="1">+INDEX(Idiomas!$D$199:$D$246,MATCH(T_Equipos[[#This Row],[Num]],Idiomas!$C$199:$C$246,0))</f>
        <v>Senegal</v>
      </c>
      <c r="C35" s="431" t="s">
        <v>455</v>
      </c>
      <c r="D35" s="431">
        <v>2</v>
      </c>
      <c r="K35" s="431" t="str">
        <f ca="1">Idiomas!D232</f>
        <v>Panamá</v>
      </c>
      <c r="L35" s="431" t="s">
        <v>1417</v>
      </c>
    </row>
    <row r="36" spans="1:12" ht="15" customHeight="1">
      <c r="A36" s="431">
        <v>35</v>
      </c>
      <c r="B36" s="431" t="str">
        <f ca="1">+INDEX(Idiomas!$D$199:$D$246,MATCH(T_Equipos[[#This Row],[Num]],Idiomas!$C$199:$C$246,0))</f>
        <v>PO 2: IRQ/BOL/SUR</v>
      </c>
      <c r="C36" s="431" t="s">
        <v>455</v>
      </c>
      <c r="D36" s="431">
        <v>3</v>
      </c>
      <c r="K36" s="431" t="str">
        <f ca="1">Idiomas!D233</f>
        <v>Paraguay</v>
      </c>
      <c r="L36" s="431" t="s">
        <v>1347</v>
      </c>
    </row>
    <row r="37" spans="1:12" ht="15" customHeight="1">
      <c r="A37" s="431">
        <v>36</v>
      </c>
      <c r="B37" s="431" t="str">
        <f ca="1">+INDEX(Idiomas!$D$199:$D$246,MATCH(T_Equipos[[#This Row],[Num]],Idiomas!$C$199:$C$246,0))</f>
        <v>Noruega</v>
      </c>
      <c r="C37" s="431" t="s">
        <v>455</v>
      </c>
      <c r="D37" s="431">
        <v>4</v>
      </c>
      <c r="K37" s="431" t="str">
        <f ca="1">Idiomas!D234</f>
        <v>Portugal</v>
      </c>
      <c r="L37" s="431" t="s">
        <v>146</v>
      </c>
    </row>
    <row r="38" spans="1:12" ht="15" customHeight="1">
      <c r="A38" s="431">
        <v>37</v>
      </c>
      <c r="B38" s="431" t="str">
        <f ca="1">+INDEX(Idiomas!$D$199:$D$246,MATCH(T_Equipos[[#This Row],[Num]],Idiomas!$C$199:$C$246,0))</f>
        <v>Argentina</v>
      </c>
      <c r="C38" s="431" t="s">
        <v>5</v>
      </c>
      <c r="D38" s="431">
        <v>1</v>
      </c>
      <c r="K38" s="431" t="str">
        <f ca="1">Idiomas!D235</f>
        <v>Senegal</v>
      </c>
      <c r="L38" s="431" t="s">
        <v>1409</v>
      </c>
    </row>
    <row r="39" spans="1:12" ht="15" customHeight="1">
      <c r="A39" s="431">
        <v>38</v>
      </c>
      <c r="B39" s="431" t="str">
        <f ca="1">+INDEX(Idiomas!$D$199:$D$246,MATCH(T_Equipos[[#This Row],[Num]],Idiomas!$C$199:$C$246,0))</f>
        <v>Argelia</v>
      </c>
      <c r="C39" s="431" t="s">
        <v>5</v>
      </c>
      <c r="D39" s="431">
        <v>2</v>
      </c>
      <c r="K39" s="431" t="str">
        <f ca="1">Idiomas!D236</f>
        <v>Sudáfrica</v>
      </c>
      <c r="L39" s="431" t="s">
        <v>1412</v>
      </c>
    </row>
    <row r="40" spans="1:12" ht="15" customHeight="1">
      <c r="A40" s="431">
        <v>39</v>
      </c>
      <c r="B40" s="431" t="str">
        <f ca="1">+INDEX(Idiomas!$D$199:$D$246,MATCH(T_Equipos[[#This Row],[Num]],Idiomas!$C$199:$C$246,0))</f>
        <v>Austria</v>
      </c>
      <c r="C40" s="431" t="s">
        <v>5</v>
      </c>
      <c r="D40" s="431">
        <v>3</v>
      </c>
      <c r="K40" s="431" t="str">
        <f ca="1">Idiomas!D237</f>
        <v>Suiza</v>
      </c>
      <c r="L40" s="431" t="s">
        <v>145</v>
      </c>
    </row>
    <row r="41" spans="1:12" ht="15" customHeight="1">
      <c r="A41" s="431">
        <v>40</v>
      </c>
      <c r="B41" s="431" t="str">
        <f ca="1">+INDEX(Idiomas!$D$199:$D$246,MATCH(T_Equipos[[#This Row],[Num]],Idiomas!$C$199:$C$246,0))</f>
        <v>Jordania</v>
      </c>
      <c r="C41" s="431" t="s">
        <v>5</v>
      </c>
      <c r="D41" s="431">
        <v>4</v>
      </c>
      <c r="K41" s="431" t="str">
        <f ca="1">Idiomas!D238</f>
        <v>Túnez</v>
      </c>
      <c r="L41" s="431" t="s">
        <v>1352</v>
      </c>
    </row>
    <row r="42" spans="1:12" ht="15" customHeight="1">
      <c r="A42" s="431">
        <v>41</v>
      </c>
      <c r="B42" s="431" t="str">
        <f ca="1">+INDEX(Idiomas!$D$199:$D$246,MATCH(T_Equipos[[#This Row],[Num]],Idiomas!$C$199:$C$246,0))</f>
        <v>Portugal</v>
      </c>
      <c r="C42" s="431" t="s">
        <v>456</v>
      </c>
      <c r="D42" s="431">
        <v>1</v>
      </c>
      <c r="K42" s="431" t="str">
        <f ca="1">Idiomas!D239</f>
        <v>Uruguay</v>
      </c>
      <c r="L42" s="431" t="s">
        <v>1346</v>
      </c>
    </row>
    <row r="43" spans="1:12" ht="15" customHeight="1">
      <c r="A43" s="431">
        <v>42</v>
      </c>
      <c r="B43" s="431" t="str">
        <f ca="1">+INDEX(Idiomas!$D$199:$D$246,MATCH(T_Equipos[[#This Row],[Num]],Idiomas!$C$199:$C$246,0))</f>
        <v>PO 1: COD/JAM/NCL</v>
      </c>
      <c r="C43" s="431" t="s">
        <v>456</v>
      </c>
      <c r="D43" s="431">
        <v>2</v>
      </c>
      <c r="K43" s="431" t="str">
        <f ca="1">Idiomas!D240</f>
        <v>Uzbekistán</v>
      </c>
      <c r="L43" s="431" t="s">
        <v>1306</v>
      </c>
    </row>
    <row r="44" spans="1:12" ht="15" customHeight="1">
      <c r="A44" s="431">
        <v>43</v>
      </c>
      <c r="B44" s="431" t="str">
        <f ca="1">+INDEX(Idiomas!$D$199:$D$246,MATCH(T_Equipos[[#This Row],[Num]],Idiomas!$C$199:$C$246,0))</f>
        <v>Uzbekistán</v>
      </c>
      <c r="C44" s="431" t="s">
        <v>456</v>
      </c>
      <c r="D44" s="431">
        <v>3</v>
      </c>
      <c r="K44" s="431" t="str">
        <f ca="1">Idiomas!D241</f>
        <v>PO 1: COD/JAM/NCL</v>
      </c>
      <c r="L44" s="437" t="s">
        <v>1319</v>
      </c>
    </row>
    <row r="45" spans="1:12" ht="15" customHeight="1">
      <c r="A45" s="431">
        <v>44</v>
      </c>
      <c r="B45" s="431" t="str">
        <f ca="1">+INDEX(Idiomas!$D$199:$D$246,MATCH(T_Equipos[[#This Row],[Num]],Idiomas!$C$199:$C$246,0))</f>
        <v>Colombia</v>
      </c>
      <c r="C45" s="431" t="s">
        <v>456</v>
      </c>
      <c r="D45" s="431">
        <v>4</v>
      </c>
      <c r="K45" s="431" t="str">
        <f ca="1">Idiomas!D242</f>
        <v>PO 2: IRQ/BOL/SUR</v>
      </c>
      <c r="L45" s="437" t="s">
        <v>1319</v>
      </c>
    </row>
    <row r="46" spans="1:12" ht="15" customHeight="1">
      <c r="A46" s="431">
        <v>45</v>
      </c>
      <c r="B46" s="431" t="str">
        <f ca="1">+INDEX(Idiomas!$D$199:$D$246,MATCH(T_Equipos[[#This Row],[Num]],Idiomas!$C$199:$C$246,0))</f>
        <v>Inglaterra</v>
      </c>
      <c r="C46" s="431" t="s">
        <v>254</v>
      </c>
      <c r="D46" s="431">
        <v>1</v>
      </c>
      <c r="K46" s="431" t="str">
        <f ca="1">Idiomas!D243</f>
        <v>PO A: ITA/NIR/WAL/BIH</v>
      </c>
      <c r="L46" s="438" t="s">
        <v>1319</v>
      </c>
    </row>
    <row r="47" spans="1:12" ht="15" customHeight="1">
      <c r="A47" s="431">
        <v>46</v>
      </c>
      <c r="B47" s="431" t="str">
        <f ca="1">+INDEX(Idiomas!$D$199:$D$246,MATCH(T_Equipos[[#This Row],[Num]],Idiomas!$C$199:$C$246,0))</f>
        <v>Croacia</v>
      </c>
      <c r="C47" s="431" t="s">
        <v>254</v>
      </c>
      <c r="D47" s="431">
        <v>2</v>
      </c>
      <c r="K47" s="431" t="str">
        <f ca="1">Idiomas!D244</f>
        <v>PO B: UKR/SWE/POL/ALB</v>
      </c>
      <c r="L47" s="437" t="s">
        <v>1319</v>
      </c>
    </row>
    <row r="48" spans="1:12" ht="15" customHeight="1">
      <c r="A48" s="431">
        <v>47</v>
      </c>
      <c r="B48" s="431" t="str">
        <f ca="1">+INDEX(Idiomas!$D$199:$D$246,MATCH(T_Equipos[[#This Row],[Num]],Idiomas!$C$199:$C$246,0))</f>
        <v>Ghana</v>
      </c>
      <c r="C48" s="431" t="s">
        <v>254</v>
      </c>
      <c r="D48" s="431">
        <v>3</v>
      </c>
      <c r="K48" s="431" t="str">
        <f ca="1">Idiomas!D245</f>
        <v>PO C: TUR/ROU/SVK/KOS</v>
      </c>
      <c r="L48" s="437" t="s">
        <v>1319</v>
      </c>
    </row>
    <row r="49" spans="1:12" ht="15" customHeight="1">
      <c r="A49" s="431">
        <v>48</v>
      </c>
      <c r="B49" s="431" t="str">
        <f ca="1">+INDEX(Idiomas!$D$199:$D$246,MATCH(T_Equipos[[#This Row],[Num]],Idiomas!$C$199:$C$246,0))</f>
        <v>Panamá</v>
      </c>
      <c r="C49" s="431" t="s">
        <v>254</v>
      </c>
      <c r="D49" s="431">
        <v>4</v>
      </c>
      <c r="K49" s="431" t="str">
        <f ca="1">Idiomas!D246</f>
        <v>PO D: DEN/MKD/CZE/IRL</v>
      </c>
      <c r="L49" s="437" t="s">
        <v>1319</v>
      </c>
    </row>
  </sheetData>
  <sheetProtection algorithmName="SHA-512" hashValue="aBX1MoaisrZ4/aFI811RbXTWUIaGw4ZSuk42l6JKVxkK3wH4De3UZgSAcgv/e8IDKcjvkPdH1XPjWKtyYu6flA==" saltValue="aIK22GNgidPQhhhaX+2K6A=="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0"/>
  <sheetViews>
    <sheetView showGridLines="0" showRowColHeaders="0" topLeftCell="EF643" zoomScaleNormal="100" workbookViewId="0">
      <selection activeCell="EG644" sqref="EG64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9"/>
    <col min="4" max="4" width="17.33203125" style="19" bestFit="1" customWidth="1"/>
    <col min="5" max="6" width="10.77734375" style="19"/>
    <col min="7" max="7" width="17.33203125" style="19" bestFit="1" customWidth="1"/>
    <col min="8" max="8" width="13" style="19" hidden="1" customWidth="1"/>
    <col min="9" max="9" width="10.77734375" style="19"/>
    <col min="10" max="10" width="13" style="19" bestFit="1" customWidth="1"/>
    <col min="11" max="12" width="12.33203125" style="19" bestFit="1" customWidth="1"/>
    <col min="13" max="16384" width="10.77734375" style="19"/>
  </cols>
  <sheetData>
    <row r="2" spans="1:12">
      <c r="A2" s="19" t="s">
        <v>230</v>
      </c>
      <c r="B2" s="19">
        <f>IF(Home!$C$6=Idiomas!A2,1,0)</f>
        <v>1</v>
      </c>
    </row>
    <row r="3" spans="1:12">
      <c r="A3" s="19" t="s">
        <v>366</v>
      </c>
      <c r="B3" s="19">
        <f>IF(Home!$C$6=Idiomas!A3,1,0)</f>
        <v>0</v>
      </c>
      <c r="E3" s="19" t="s">
        <v>183</v>
      </c>
      <c r="F3" s="19" t="s">
        <v>185</v>
      </c>
      <c r="G3" s="19" t="s">
        <v>230</v>
      </c>
      <c r="H3" s="19" t="s">
        <v>193</v>
      </c>
    </row>
    <row r="4" spans="1:12">
      <c r="D4" s="19" t="str">
        <f>IF($B$2,G4,H4)</f>
        <v>Introducir resultados</v>
      </c>
      <c r="E4" s="19" t="s">
        <v>23</v>
      </c>
      <c r="F4" s="19" t="s">
        <v>186</v>
      </c>
      <c r="G4" s="19" t="s">
        <v>184</v>
      </c>
      <c r="H4" s="19" t="s">
        <v>196</v>
      </c>
    </row>
    <row r="5" spans="1:12">
      <c r="B5" s="440"/>
      <c r="D5" s="19" t="str">
        <f t="shared" ref="D5:D12" si="0">IF($B$2,G5,H5)</f>
        <v>Si quieres organizar una porra (quiniela) con tu grupo puedes descargar el archivo de adminsitrador desde el enlace de abajo</v>
      </c>
      <c r="E5" s="19" t="s">
        <v>23</v>
      </c>
      <c r="F5" s="19" t="s">
        <v>187</v>
      </c>
      <c r="G5" s="19" t="s">
        <v>1360</v>
      </c>
      <c r="H5" s="19" t="s">
        <v>1361</v>
      </c>
      <c r="K5" s="419" t="s">
        <v>1312</v>
      </c>
      <c r="L5" s="419" t="s">
        <v>1313</v>
      </c>
    </row>
    <row r="6" spans="1:12">
      <c r="B6" s="440"/>
      <c r="D6" s="19" t="str">
        <f t="shared" si="0"/>
        <v>Predictor Equipos</v>
      </c>
      <c r="E6" s="19" t="s">
        <v>23</v>
      </c>
      <c r="G6" s="419" t="s">
        <v>1310</v>
      </c>
      <c r="H6" s="419" t="s">
        <v>1311</v>
      </c>
    </row>
    <row r="7" spans="1:12">
      <c r="D7" s="19" t="str">
        <f t="shared" si="0"/>
        <v>Selecciona idioma</v>
      </c>
      <c r="E7" s="19" t="s">
        <v>23</v>
      </c>
      <c r="F7" s="19" t="s">
        <v>365</v>
      </c>
      <c r="G7" s="19" t="s">
        <v>1323</v>
      </c>
      <c r="H7" s="19" t="s">
        <v>1324</v>
      </c>
    </row>
    <row r="8" spans="1:12">
      <c r="D8" s="19" t="str">
        <f t="shared" si="0"/>
        <v>XXIII Mundial USA/MEX/CAN 2026</v>
      </c>
      <c r="E8" s="19" t="s">
        <v>23</v>
      </c>
      <c r="F8" s="19" t="s">
        <v>367</v>
      </c>
      <c r="G8" s="19" t="s">
        <v>511</v>
      </c>
      <c r="H8" s="19" t="s">
        <v>512</v>
      </c>
    </row>
    <row r="9" spans="1:12">
      <c r="D9" s="19" t="str">
        <f t="shared" si="0"/>
        <v>▼ Descargar Excel Administrador Porra ▼</v>
      </c>
      <c r="E9" s="19" t="s">
        <v>23</v>
      </c>
      <c r="F9" s="19" t="s">
        <v>368</v>
      </c>
      <c r="G9" s="19" t="s">
        <v>1335</v>
      </c>
      <c r="H9" s="19" t="s">
        <v>1336</v>
      </c>
    </row>
    <row r="10" spans="1:12">
      <c r="D10" s="19" t="str">
        <f t="shared" si="0"/>
        <v>https://matejero.es/download/administrador-excel-mundial-2026/</v>
      </c>
      <c r="E10" s="19" t="s">
        <v>23</v>
      </c>
      <c r="F10" s="19" t="s">
        <v>451</v>
      </c>
      <c r="G10" s="19" t="s">
        <v>1325</v>
      </c>
      <c r="H10" s="19" t="s">
        <v>1326</v>
      </c>
    </row>
    <row r="11" spans="1:12">
      <c r="D11" s="19" t="str">
        <f>IF($B$2,G11,H11)</f>
        <v>*Versión provisional hasta que se conozcan todos los participantes en marzo 2026</v>
      </c>
      <c r="E11" s="19" t="s">
        <v>23</v>
      </c>
      <c r="G11" s="19" t="s">
        <v>1456</v>
      </c>
      <c r="H11" s="19" t="s">
        <v>1457</v>
      </c>
      <c r="I11" s="19" t="s">
        <v>1363</v>
      </c>
      <c r="J11" s="19" t="s">
        <v>1362</v>
      </c>
    </row>
    <row r="12" spans="1:12">
      <c r="D12" s="19" t="str">
        <f t="shared" si="0"/>
        <v>Donar</v>
      </c>
      <c r="E12" s="19" t="s">
        <v>23</v>
      </c>
      <c r="G12" s="19" t="s">
        <v>1330</v>
      </c>
      <c r="H12" s="19" t="s">
        <v>1329</v>
      </c>
    </row>
    <row r="14" spans="1:12">
      <c r="B14" s="440"/>
    </row>
    <row r="15" spans="1:12">
      <c r="D15" s="19" t="str">
        <f t="shared" ref="D15:D66" si="1">IF($B$2,G15,H15)</f>
        <v>Selecciona horario</v>
      </c>
      <c r="E15" s="19" t="s">
        <v>497</v>
      </c>
      <c r="F15" s="19" t="s">
        <v>125</v>
      </c>
      <c r="G15" s="19" t="s">
        <v>1322</v>
      </c>
      <c r="H15" s="19" t="s">
        <v>1321</v>
      </c>
    </row>
    <row r="16" spans="1:12">
      <c r="D16" s="19" t="str">
        <f t="shared" si="1"/>
        <v>Rellenar los cuadros grises</v>
      </c>
      <c r="E16" s="19" t="s">
        <v>497</v>
      </c>
      <c r="F16" s="19" t="s">
        <v>188</v>
      </c>
      <c r="G16" s="19" t="s">
        <v>1215</v>
      </c>
      <c r="H16" s="19" t="s">
        <v>1216</v>
      </c>
    </row>
    <row r="17" spans="4:8">
      <c r="D17" s="19" t="str">
        <f t="shared" si="1"/>
        <v>Fecha</v>
      </c>
      <c r="E17" s="19" t="s">
        <v>497</v>
      </c>
      <c r="F17" s="19" t="s">
        <v>138</v>
      </c>
      <c r="G17" s="19" t="s">
        <v>10</v>
      </c>
      <c r="H17" s="19" t="s">
        <v>231</v>
      </c>
    </row>
    <row r="18" spans="4:8">
      <c r="D18" s="19" t="str">
        <f t="shared" si="1"/>
        <v>Hora</v>
      </c>
      <c r="E18" s="19" t="s">
        <v>497</v>
      </c>
      <c r="F18" s="19" t="s">
        <v>189</v>
      </c>
      <c r="G18" s="19" t="s">
        <v>31</v>
      </c>
      <c r="H18" s="19" t="s">
        <v>192</v>
      </c>
    </row>
    <row r="19" spans="4:8">
      <c r="D19" s="19" t="str">
        <f t="shared" si="1"/>
        <v>Jor.</v>
      </c>
      <c r="E19" s="19" t="s">
        <v>497</v>
      </c>
      <c r="F19" s="19" t="s">
        <v>190</v>
      </c>
      <c r="G19" s="19" t="s">
        <v>33</v>
      </c>
      <c r="H19" s="19" t="s">
        <v>194</v>
      </c>
    </row>
    <row r="20" spans="4:8">
      <c r="D20" s="19" t="str">
        <f t="shared" si="1"/>
        <v>Casa</v>
      </c>
      <c r="E20" s="19" t="s">
        <v>497</v>
      </c>
      <c r="F20" s="19" t="s">
        <v>191</v>
      </c>
      <c r="G20" s="19" t="s">
        <v>16</v>
      </c>
      <c r="H20" s="19" t="s">
        <v>195</v>
      </c>
    </row>
    <row r="21" spans="4:8">
      <c r="D21" s="19" t="str">
        <f t="shared" si="1"/>
        <v>Gol</v>
      </c>
      <c r="E21" s="19" t="s">
        <v>497</v>
      </c>
      <c r="F21" s="19" t="s">
        <v>197</v>
      </c>
      <c r="G21" s="19" t="s">
        <v>18</v>
      </c>
      <c r="H21" s="19" t="s">
        <v>198</v>
      </c>
    </row>
    <row r="22" spans="4:8">
      <c r="D22" s="19" t="str">
        <f t="shared" si="1"/>
        <v>Fuera</v>
      </c>
      <c r="E22" s="19" t="s">
        <v>497</v>
      </c>
      <c r="F22" s="19" t="s">
        <v>199</v>
      </c>
      <c r="G22" s="19" t="s">
        <v>17</v>
      </c>
      <c r="H22" s="19" t="s">
        <v>200</v>
      </c>
    </row>
    <row r="23" spans="4:8">
      <c r="D23" s="19" t="str">
        <f t="shared" si="1"/>
        <v>Grupo</v>
      </c>
      <c r="E23" s="19" t="s">
        <v>497</v>
      </c>
      <c r="F23" s="19" t="s">
        <v>201</v>
      </c>
      <c r="G23" s="19" t="s">
        <v>73</v>
      </c>
      <c r="H23" s="19" t="s">
        <v>202</v>
      </c>
    </row>
    <row r="24" spans="4:8">
      <c r="D24" s="19" t="str">
        <f t="shared" si="1"/>
        <v>¡EMPATE! Puedes seleccionar el orden de los empatados.</v>
      </c>
      <c r="E24" s="19" t="s">
        <v>497</v>
      </c>
      <c r="F24" s="19" t="s">
        <v>203</v>
      </c>
      <c r="G24" s="19" t="s">
        <v>24</v>
      </c>
      <c r="H24" s="19" t="s">
        <v>238</v>
      </c>
    </row>
    <row r="25" spans="4:8">
      <c r="D25" s="19" t="str">
        <f t="shared" si="1"/>
        <v>¡EMPATE! Puedes seleccionar el orden de los empatados entre los terceros.</v>
      </c>
      <c r="E25" s="19" t="s">
        <v>497</v>
      </c>
      <c r="F25" s="19" t="s">
        <v>218</v>
      </c>
      <c r="G25" s="19" t="s">
        <v>119</v>
      </c>
      <c r="H25" s="19" t="s">
        <v>238</v>
      </c>
    </row>
    <row r="26" spans="4:8">
      <c r="D26" s="19" t="str">
        <f t="shared" si="1"/>
        <v>Mejores terceros</v>
      </c>
      <c r="E26" s="19" t="s">
        <v>497</v>
      </c>
      <c r="F26" s="19" t="s">
        <v>204</v>
      </c>
      <c r="G26" s="19" t="s">
        <v>69</v>
      </c>
      <c r="H26" s="19" t="s">
        <v>239</v>
      </c>
    </row>
    <row r="27" spans="4:8">
      <c r="D27" s="19" t="str">
        <f t="shared" si="1"/>
        <v>Dieciseisavos de final</v>
      </c>
      <c r="E27" s="19" t="s">
        <v>497</v>
      </c>
      <c r="G27" s="19" t="s">
        <v>498</v>
      </c>
      <c r="H27" s="19" t="s">
        <v>499</v>
      </c>
    </row>
    <row r="28" spans="4:8">
      <c r="D28" s="19" t="str">
        <f t="shared" si="1"/>
        <v>Octavos de final</v>
      </c>
      <c r="E28" s="19" t="s">
        <v>497</v>
      </c>
      <c r="F28" s="19" t="s">
        <v>205</v>
      </c>
      <c r="G28" s="19" t="s">
        <v>89</v>
      </c>
      <c r="H28" s="19" t="s">
        <v>232</v>
      </c>
    </row>
    <row r="29" spans="4:8">
      <c r="D29" s="19" t="str">
        <f t="shared" si="1"/>
        <v>Cuartos de final</v>
      </c>
      <c r="E29" s="19" t="s">
        <v>497</v>
      </c>
      <c r="F29" s="19" t="s">
        <v>206</v>
      </c>
      <c r="G29" s="19" t="s">
        <v>71</v>
      </c>
      <c r="H29" s="19" t="s">
        <v>233</v>
      </c>
    </row>
    <row r="30" spans="4:8">
      <c r="D30" s="19" t="str">
        <f t="shared" si="1"/>
        <v>Semifinales</v>
      </c>
      <c r="E30" s="19" t="s">
        <v>497</v>
      </c>
      <c r="F30" s="19" t="s">
        <v>207</v>
      </c>
      <c r="G30" s="19" t="s">
        <v>38</v>
      </c>
      <c r="H30" s="19" t="s">
        <v>234</v>
      </c>
    </row>
    <row r="31" spans="4:8">
      <c r="D31" s="19" t="str">
        <f t="shared" si="1"/>
        <v>3º y 4º puesto</v>
      </c>
      <c r="E31" s="19" t="s">
        <v>497</v>
      </c>
      <c r="G31" s="19" t="s">
        <v>508</v>
      </c>
      <c r="H31" s="19" t="s">
        <v>509</v>
      </c>
    </row>
    <row r="32" spans="4:8">
      <c r="D32" s="19" t="str">
        <f t="shared" si="1"/>
        <v>Final</v>
      </c>
      <c r="E32" s="19" t="s">
        <v>497</v>
      </c>
      <c r="F32" s="19" t="s">
        <v>208</v>
      </c>
      <c r="G32" s="19" t="s">
        <v>39</v>
      </c>
      <c r="H32" s="19" t="s">
        <v>39</v>
      </c>
    </row>
    <row r="33" spans="4:8">
      <c r="D33" s="19" t="str">
        <f t="shared" si="1"/>
        <v>Cuadro de honor</v>
      </c>
      <c r="E33" s="19" t="s">
        <v>497</v>
      </c>
      <c r="F33" s="19" t="s">
        <v>209</v>
      </c>
      <c r="G33" s="19" t="s">
        <v>1327</v>
      </c>
      <c r="H33" s="19" t="s">
        <v>1328</v>
      </c>
    </row>
    <row r="34" spans="4:8">
      <c r="D34" s="19" t="str">
        <f t="shared" si="1"/>
        <v>Campeón</v>
      </c>
      <c r="E34" s="19" t="s">
        <v>497</v>
      </c>
      <c r="F34" s="19" t="s">
        <v>210</v>
      </c>
      <c r="G34" s="19" t="s">
        <v>19</v>
      </c>
      <c r="H34" s="19" t="s">
        <v>236</v>
      </c>
    </row>
    <row r="35" spans="4:8">
      <c r="D35" s="19" t="str">
        <f t="shared" si="1"/>
        <v>Subcampeón</v>
      </c>
      <c r="E35" s="19" t="s">
        <v>497</v>
      </c>
      <c r="F35" s="19" t="s">
        <v>211</v>
      </c>
      <c r="G35" s="19" t="s">
        <v>20</v>
      </c>
      <c r="H35" s="19" t="s">
        <v>237</v>
      </c>
    </row>
    <row r="36" spans="4:8">
      <c r="D36" s="19" t="str">
        <f t="shared" si="1"/>
        <v>3º puesto</v>
      </c>
      <c r="E36" s="19" t="s">
        <v>497</v>
      </c>
      <c r="G36" s="19" t="s">
        <v>1247</v>
      </c>
      <c r="H36" s="19" t="s">
        <v>1248</v>
      </c>
    </row>
    <row r="37" spans="4:8">
      <c r="D37" s="19" t="str">
        <f t="shared" si="1"/>
        <v>Bota de Oro  (máximo goleador)</v>
      </c>
      <c r="E37" s="19" t="s">
        <v>497</v>
      </c>
      <c r="F37" s="19" t="s">
        <v>212</v>
      </c>
      <c r="G37" s="10" t="s">
        <v>516</v>
      </c>
      <c r="H37" s="19" t="s">
        <v>522</v>
      </c>
    </row>
    <row r="38" spans="4:8">
      <c r="D38" s="19" t="str">
        <f t="shared" si="1"/>
        <v>Bota de Plata (2º máximo goleador)</v>
      </c>
      <c r="E38" s="19" t="s">
        <v>497</v>
      </c>
      <c r="F38" s="19" t="s">
        <v>213</v>
      </c>
      <c r="G38" s="10" t="s">
        <v>517</v>
      </c>
      <c r="H38" s="19" t="s">
        <v>523</v>
      </c>
    </row>
    <row r="39" spans="4:8">
      <c r="D39" s="19" t="str">
        <f t="shared" si="1"/>
        <v>Bota de Bronce (3º máximo goleador)</v>
      </c>
      <c r="G39" s="10" t="s">
        <v>518</v>
      </c>
      <c r="H39" s="19" t="s">
        <v>524</v>
      </c>
    </row>
    <row r="40" spans="4:8">
      <c r="D40" s="19" t="str">
        <f t="shared" si="1"/>
        <v>Balón de Oro  (mejor jugador)</v>
      </c>
      <c r="G40" s="10" t="s">
        <v>519</v>
      </c>
      <c r="H40" s="19" t="s">
        <v>525</v>
      </c>
    </row>
    <row r="41" spans="4:8">
      <c r="D41" s="19" t="str">
        <f t="shared" si="1"/>
        <v>Balón de Plata (2º mejor jugador)</v>
      </c>
      <c r="G41" s="10" t="s">
        <v>520</v>
      </c>
      <c r="H41" s="19" t="s">
        <v>526</v>
      </c>
    </row>
    <row r="42" spans="4:8">
      <c r="D42" s="19" t="str">
        <f t="shared" si="1"/>
        <v>Balón de Bronce (3º mejor jugador)</v>
      </c>
      <c r="G42" s="10" t="s">
        <v>521</v>
      </c>
      <c r="H42" s="19" t="s">
        <v>527</v>
      </c>
    </row>
    <row r="43" spans="4:8">
      <c r="D43" s="19" t="str">
        <f t="shared" si="1"/>
        <v>Escribe un jugador</v>
      </c>
      <c r="E43" s="19" t="s">
        <v>497</v>
      </c>
      <c r="F43" s="19" t="s">
        <v>214</v>
      </c>
      <c r="G43" s="19" t="s">
        <v>22</v>
      </c>
      <c r="H43" s="19" t="s">
        <v>255</v>
      </c>
    </row>
    <row r="44" spans="4:8">
      <c r="D44" s="19" t="str">
        <f t="shared" si="1"/>
        <v>Escribe un jugador</v>
      </c>
      <c r="E44" s="19" t="s">
        <v>497</v>
      </c>
      <c r="F44" s="19" t="s">
        <v>215</v>
      </c>
      <c r="G44" s="19" t="s">
        <v>22</v>
      </c>
      <c r="H44" s="19" t="s">
        <v>255</v>
      </c>
    </row>
    <row r="45" spans="4:8">
      <c r="D45" s="19" t="str">
        <f t="shared" si="1"/>
        <v>Nombre</v>
      </c>
      <c r="E45" s="19" t="s">
        <v>497</v>
      </c>
      <c r="F45" s="19" t="s">
        <v>216</v>
      </c>
      <c r="G45" s="19" t="s">
        <v>44</v>
      </c>
      <c r="H45" s="19" t="s">
        <v>287</v>
      </c>
    </row>
    <row r="46" spans="4:8">
      <c r="D46" s="19" t="str">
        <f t="shared" si="1"/>
        <v>Escribe tu nombre</v>
      </c>
      <c r="E46" s="19" t="s">
        <v>497</v>
      </c>
      <c r="F46" s="19" t="s">
        <v>217</v>
      </c>
      <c r="G46" s="19" t="s">
        <v>1337</v>
      </c>
      <c r="H46" s="19" t="s">
        <v>1338</v>
      </c>
    </row>
    <row r="47" spans="4:8">
      <c r="D47" s="19" t="str">
        <f t="shared" si="1"/>
        <v>PORRA INCOMPLETA:</v>
      </c>
      <c r="E47" s="19" t="s">
        <v>497</v>
      </c>
      <c r="F47" s="19" t="s">
        <v>222</v>
      </c>
      <c r="G47" s="19" t="s">
        <v>219</v>
      </c>
      <c r="H47" s="19" t="s">
        <v>240</v>
      </c>
    </row>
    <row r="48" spans="4:8">
      <c r="D48" s="19" t="str">
        <f t="shared" si="1"/>
        <v>Aún falta alguna apuesta</v>
      </c>
      <c r="E48" s="19" t="s">
        <v>497</v>
      </c>
      <c r="F48" s="19" t="s">
        <v>223</v>
      </c>
      <c r="G48" s="19" t="s">
        <v>221</v>
      </c>
      <c r="H48" s="19" t="s">
        <v>256</v>
      </c>
    </row>
    <row r="49" spans="4:11">
      <c r="D49" s="19" t="str">
        <f t="shared" si="1"/>
        <v>PORRA COMPLETA:</v>
      </c>
      <c r="E49" s="19" t="s">
        <v>497</v>
      </c>
      <c r="F49" s="19" t="s">
        <v>224</v>
      </c>
      <c r="G49" s="19" t="s">
        <v>220</v>
      </c>
      <c r="H49" s="19" t="s">
        <v>241</v>
      </c>
    </row>
    <row r="50" spans="4:11">
      <c r="D50" s="19" t="str">
        <f t="shared" si="1"/>
        <v>Guarda el archivo y envialo al administrador de tu porra</v>
      </c>
      <c r="E50" s="19" t="s">
        <v>497</v>
      </c>
      <c r="F50" s="19" t="s">
        <v>225</v>
      </c>
      <c r="G50" s="19" t="s">
        <v>1340</v>
      </c>
      <c r="H50" s="19" t="s">
        <v>257</v>
      </c>
    </row>
    <row r="51" spans="4:11">
      <c r="D51" s="19" t="str">
        <f t="shared" si="1"/>
        <v>Pos</v>
      </c>
      <c r="E51" s="19" t="s">
        <v>497</v>
      </c>
      <c r="F51" s="19" t="s">
        <v>242</v>
      </c>
      <c r="G51" s="19" t="s">
        <v>14</v>
      </c>
      <c r="H51" s="19" t="s">
        <v>14</v>
      </c>
    </row>
    <row r="52" spans="4:11">
      <c r="D52" s="19" t="str">
        <f t="shared" si="1"/>
        <v>Selección</v>
      </c>
      <c r="E52" s="19" t="s">
        <v>497</v>
      </c>
      <c r="F52" s="19" t="s">
        <v>243</v>
      </c>
      <c r="G52" s="19" t="s">
        <v>70</v>
      </c>
      <c r="H52" s="19" t="s">
        <v>252</v>
      </c>
    </row>
    <row r="53" spans="4:11">
      <c r="D53" s="19" t="str">
        <f t="shared" si="1"/>
        <v>Pts</v>
      </c>
      <c r="E53" s="19" t="s">
        <v>497</v>
      </c>
      <c r="F53" s="19" t="s">
        <v>244</v>
      </c>
      <c r="G53" s="19" t="s">
        <v>34</v>
      </c>
      <c r="H53" s="19" t="s">
        <v>34</v>
      </c>
    </row>
    <row r="54" spans="4:11">
      <c r="D54" s="19" t="str">
        <f t="shared" si="1"/>
        <v>J</v>
      </c>
      <c r="E54" s="19" t="s">
        <v>497</v>
      </c>
      <c r="F54" s="19" t="s">
        <v>245</v>
      </c>
      <c r="G54" s="19" t="s">
        <v>5</v>
      </c>
      <c r="H54" s="19" t="s">
        <v>7</v>
      </c>
    </row>
    <row r="55" spans="4:11">
      <c r="D55" s="19" t="str">
        <f t="shared" si="1"/>
        <v>G</v>
      </c>
      <c r="E55" s="19" t="s">
        <v>497</v>
      </c>
      <c r="F55" s="19" t="s">
        <v>246</v>
      </c>
      <c r="G55" s="19" t="s">
        <v>6</v>
      </c>
      <c r="H55" s="19" t="s">
        <v>253</v>
      </c>
    </row>
    <row r="56" spans="4:11">
      <c r="D56" s="19" t="str">
        <f t="shared" si="1"/>
        <v>E</v>
      </c>
      <c r="E56" s="19" t="s">
        <v>497</v>
      </c>
      <c r="F56" s="19" t="s">
        <v>247</v>
      </c>
      <c r="G56" s="19" t="s">
        <v>3</v>
      </c>
      <c r="H56" s="19" t="s">
        <v>75</v>
      </c>
      <c r="K56" s="10"/>
    </row>
    <row r="57" spans="4:11">
      <c r="D57" s="19" t="str">
        <f t="shared" si="1"/>
        <v>P</v>
      </c>
      <c r="E57" s="19" t="s">
        <v>497</v>
      </c>
      <c r="F57" s="19" t="s">
        <v>248</v>
      </c>
      <c r="G57" s="19" t="s">
        <v>7</v>
      </c>
      <c r="H57" s="19" t="s">
        <v>254</v>
      </c>
      <c r="K57" s="10"/>
    </row>
    <row r="58" spans="4:11">
      <c r="D58" s="19" t="str">
        <f t="shared" si="1"/>
        <v>GF</v>
      </c>
      <c r="E58" s="19" t="s">
        <v>497</v>
      </c>
      <c r="F58" s="19" t="s">
        <v>249</v>
      </c>
      <c r="G58" s="19" t="s">
        <v>8</v>
      </c>
      <c r="H58" s="19" t="s">
        <v>4</v>
      </c>
      <c r="K58" s="10"/>
    </row>
    <row r="59" spans="4:11">
      <c r="D59" s="19" t="str">
        <f t="shared" si="1"/>
        <v>GC</v>
      </c>
      <c r="E59" s="19" t="s">
        <v>497</v>
      </c>
      <c r="F59" s="19" t="s">
        <v>250</v>
      </c>
      <c r="G59" s="19" t="s">
        <v>9</v>
      </c>
      <c r="H59" s="19" t="s">
        <v>0</v>
      </c>
      <c r="K59" s="10"/>
    </row>
    <row r="60" spans="4:11">
      <c r="D60" s="19" t="str">
        <f t="shared" si="1"/>
        <v>DG</v>
      </c>
      <c r="E60" s="19" t="s">
        <v>497</v>
      </c>
      <c r="F60" s="19" t="s">
        <v>251</v>
      </c>
      <c r="G60" s="19" t="s">
        <v>68</v>
      </c>
      <c r="H60" s="19" t="s">
        <v>83</v>
      </c>
      <c r="K60" s="10"/>
    </row>
    <row r="61" spans="4:11">
      <c r="D61" s="19" t="str">
        <f t="shared" si="1"/>
        <v>J1</v>
      </c>
      <c r="E61" s="19" t="s">
        <v>497</v>
      </c>
      <c r="G61" s="19" t="s">
        <v>28</v>
      </c>
      <c r="H61" s="19" t="s">
        <v>292</v>
      </c>
      <c r="K61" s="10"/>
    </row>
    <row r="62" spans="4:11">
      <c r="D62" s="19" t="str">
        <f t="shared" si="1"/>
        <v>J2</v>
      </c>
      <c r="E62" s="19" t="s">
        <v>497</v>
      </c>
      <c r="G62" s="19" t="s">
        <v>29</v>
      </c>
      <c r="H62" s="19" t="s">
        <v>293</v>
      </c>
    </row>
    <row r="63" spans="4:11">
      <c r="D63" s="19" t="str">
        <f t="shared" si="1"/>
        <v>J3</v>
      </c>
      <c r="E63" s="19" t="s">
        <v>497</v>
      </c>
      <c r="G63" s="19" t="s">
        <v>30</v>
      </c>
      <c r="H63" s="19" t="s">
        <v>294</v>
      </c>
    </row>
    <row r="64" spans="4:11">
      <c r="D64" s="19" t="str">
        <f t="shared" si="1"/>
        <v>Instrucciones en video</v>
      </c>
      <c r="E64" s="19" t="s">
        <v>497</v>
      </c>
      <c r="F64" s="19" t="s">
        <v>1243</v>
      </c>
      <c r="G64" s="441" t="s">
        <v>1357</v>
      </c>
      <c r="H64" s="19" t="s">
        <v>1244</v>
      </c>
    </row>
    <row r="65" spans="4:8">
      <c r="D65" s="19" t="str">
        <f t="shared" si="1"/>
        <v>Sí</v>
      </c>
      <c r="E65" s="19" t="s">
        <v>497</v>
      </c>
      <c r="G65" s="19" t="s">
        <v>1240</v>
      </c>
      <c r="H65" s="19" t="s">
        <v>1242</v>
      </c>
    </row>
    <row r="66" spans="4:8">
      <c r="D66" s="19" t="str">
        <f t="shared" si="1"/>
        <v>No</v>
      </c>
      <c r="E66" s="19" t="s">
        <v>497</v>
      </c>
      <c r="G66" s="19" t="s">
        <v>1241</v>
      </c>
      <c r="H66" s="19" t="s">
        <v>1241</v>
      </c>
    </row>
    <row r="67" spans="4:8">
      <c r="D67" s="19" t="str">
        <f t="shared" ref="D67:D72" si="2">IF($B$2,G67,H67)</f>
        <v>Puntos penalizados</v>
      </c>
      <c r="E67" s="19" t="s">
        <v>497</v>
      </c>
      <c r="G67" s="419" t="s">
        <v>1245</v>
      </c>
      <c r="H67" s="419" t="s">
        <v>1246</v>
      </c>
    </row>
    <row r="68" spans="4:8">
      <c r="D68" s="19" t="str">
        <f t="shared" si="2"/>
        <v xml:space="preserve">Grupos mejores 3ºs: </v>
      </c>
      <c r="E68" s="19" t="s">
        <v>497</v>
      </c>
      <c r="G68" s="419" t="s">
        <v>1354</v>
      </c>
      <c r="H68" s="419" t="s">
        <v>1353</v>
      </c>
    </row>
    <row r="69" spans="4:8">
      <c r="D69" s="19" t="str">
        <f t="shared" si="2"/>
        <v>La clasificación de los mejores terceros aparece al final de la J1</v>
      </c>
      <c r="E69" s="19" t="s">
        <v>497</v>
      </c>
      <c r="G69" s="19" t="s">
        <v>1383</v>
      </c>
      <c r="H69" s="19" t="s">
        <v>1384</v>
      </c>
    </row>
    <row r="70" spans="4:8">
      <c r="D70" s="19" t="str">
        <f t="shared" si="2"/>
        <v>Sí</v>
      </c>
      <c r="E70" s="19" t="s">
        <v>497</v>
      </c>
      <c r="G70" s="19" t="s">
        <v>1240</v>
      </c>
      <c r="H70" s="19" t="s">
        <v>1242</v>
      </c>
    </row>
    <row r="71" spans="4:8">
      <c r="D71" s="19" t="str">
        <f t="shared" si="2"/>
        <v>No</v>
      </c>
      <c r="E71" s="19" t="s">
        <v>497</v>
      </c>
      <c r="G71" s="19" t="s">
        <v>1241</v>
      </c>
      <c r="H71" s="19" t="s">
        <v>1241</v>
      </c>
    </row>
    <row r="72" spans="4:8">
      <c r="D72" s="19" t="str">
        <f t="shared" si="2"/>
        <v>¿Hay equipos penalizados?</v>
      </c>
      <c r="E72" s="19" t="s">
        <v>497</v>
      </c>
      <c r="G72" s="19" t="s">
        <v>1458</v>
      </c>
      <c r="H72" s="19" t="s">
        <v>1459</v>
      </c>
    </row>
    <row r="74" spans="4:8" ht="15" customHeight="1"/>
    <row r="76" spans="4:8">
      <c r="D76" s="19" t="str">
        <f t="shared" ref="D76:D93" si="3">IF($B$2,G76,H76)</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6" s="19" t="s">
        <v>227</v>
      </c>
      <c r="F76" s="19" t="s">
        <v>134</v>
      </c>
      <c r="G76" s="19" t="s">
        <v>1469</v>
      </c>
      <c r="H76" s="19" t="s">
        <v>1470</v>
      </c>
    </row>
    <row r="77" spans="4:8">
      <c r="D77" s="19" t="str">
        <f t="shared" si="3"/>
        <v>Autor:</v>
      </c>
      <c r="E77" s="19" t="s">
        <v>227</v>
      </c>
      <c r="F77" s="19" t="s">
        <v>228</v>
      </c>
      <c r="G77" s="19" t="s">
        <v>26</v>
      </c>
      <c r="H77" s="19" t="s">
        <v>305</v>
      </c>
    </row>
    <row r="78" spans="4:8">
      <c r="D78" s="19" t="str">
        <f t="shared" si="3"/>
        <v>Útima versión</v>
      </c>
      <c r="E78" s="19" t="s">
        <v>227</v>
      </c>
      <c r="F78" s="19" t="s">
        <v>229</v>
      </c>
      <c r="G78" s="19" t="s">
        <v>307</v>
      </c>
      <c r="H78" s="19" t="s">
        <v>306</v>
      </c>
    </row>
    <row r="79" spans="4:8">
      <c r="D79" s="19" t="str">
        <f t="shared" si="3"/>
        <v>Limitación de responsabilidad:</v>
      </c>
      <c r="E79" s="19" t="s">
        <v>227</v>
      </c>
      <c r="F79" s="19" t="s">
        <v>128</v>
      </c>
      <c r="G79" s="19" t="s">
        <v>25</v>
      </c>
      <c r="H79" s="19" t="s">
        <v>369</v>
      </c>
    </row>
    <row r="80" spans="4:8">
      <c r="D80" s="19" t="str">
        <f t="shared" si="3"/>
        <v>PARA DESCARGAR, CLICK EN</v>
      </c>
      <c r="E80" s="19" t="s">
        <v>227</v>
      </c>
      <c r="G80" s="19" t="s">
        <v>1386</v>
      </c>
      <c r="H80" s="19" t="s">
        <v>1385</v>
      </c>
    </row>
    <row r="81" spans="4:8">
      <c r="D81" s="19" t="str">
        <f t="shared" si="3"/>
        <v>· Selecciona el idioma y la zona horaria</v>
      </c>
      <c r="E81" s="19" t="s">
        <v>227</v>
      </c>
      <c r="G81" s="19" t="s">
        <v>1431</v>
      </c>
      <c r="H81" s="19" t="s">
        <v>1443</v>
      </c>
    </row>
    <row r="82" spans="4:8">
      <c r="D82" s="19" t="str">
        <f t="shared" si="3"/>
        <v>· Si vas a participar en una porra escribe tu nombre</v>
      </c>
      <c r="E82" s="19" t="s">
        <v>227</v>
      </c>
      <c r="G82" s="19" t="s">
        <v>1432</v>
      </c>
      <c r="H82" s="19" t="s">
        <v>1445</v>
      </c>
    </row>
    <row r="83" spans="4:8">
      <c r="D83" s="19" t="str">
        <f t="shared" si="3"/>
        <v>· Si vas a organizar una porra, puedes descargar el archivo excel de administración desde aquí</v>
      </c>
      <c r="E83" s="19" t="s">
        <v>227</v>
      </c>
      <c r="G83" s="19" t="s">
        <v>1433</v>
      </c>
      <c r="H83" s="19" t="s">
        <v>1444</v>
      </c>
    </row>
    <row r="84" spans="4:8">
      <c r="D84" s="19" t="str">
        <f t="shared" si="3"/>
        <v>· Rellena los cuadros grises con los resultados de la fase de grupos para cada grupo</v>
      </c>
      <c r="E84" s="19" t="s">
        <v>227</v>
      </c>
      <c r="G84" s="19" t="s">
        <v>1434</v>
      </c>
      <c r="H84" s="19" t="s">
        <v>1446</v>
      </c>
    </row>
    <row r="85" spans="4:8">
      <c r="D85" s="19" t="str">
        <f t="shared" si="3"/>
        <v>· En caso de empate en la posición de un grupo o en los mejores terceros, puedes seleccionar el orden de los empatados</v>
      </c>
      <c r="E85" s="19" t="s">
        <v>227</v>
      </c>
      <c r="G85" s="19" t="s">
        <v>1435</v>
      </c>
      <c r="H85" s="19" t="s">
        <v>1447</v>
      </c>
    </row>
    <row r="86" spans="4:8">
      <c r="D86" s="19" t="str">
        <f t="shared" si="3"/>
        <v>· Las eliminatorias se establecen de forma automática</v>
      </c>
      <c r="E86" s="19" t="s">
        <v>227</v>
      </c>
      <c r="G86" s="19" t="s">
        <v>1436</v>
      </c>
      <c r="H86" s="19" t="s">
        <v>1448</v>
      </c>
    </row>
    <row r="87" spans="4:8">
      <c r="D87" s="19" t="str">
        <f t="shared" si="3"/>
        <v>· Rellena los resultados de las fases eliminatorias. En caso de empate, se abren dos celdas a los lados para poner el resultado de los penaltis</v>
      </c>
      <c r="E87" s="19" t="s">
        <v>227</v>
      </c>
      <c r="G87" s="19" t="s">
        <v>1437</v>
      </c>
      <c r="H87" s="19" t="s">
        <v>1449</v>
      </c>
    </row>
    <row r="88" spans="4:8">
      <c r="D88" s="19" t="str">
        <f t="shared" si="3"/>
        <v>· Si vas a participar en una porra, rellenar los mejores jugadores y los máximos goleadores</v>
      </c>
      <c r="E88" s="19" t="s">
        <v>227</v>
      </c>
      <c r="G88" s="19" t="s">
        <v>1438</v>
      </c>
      <c r="H88" s="19" t="s">
        <v>1450</v>
      </c>
    </row>
    <row r="89" spans="4:8">
      <c r="D89" s="19" t="str">
        <f t="shared" si="3"/>
        <v>· Esta hoja es independiente a los resultados introducidos en la hoja WORLDCUP y su uso es opcional</v>
      </c>
      <c r="E89" s="19" t="s">
        <v>227</v>
      </c>
      <c r="G89" s="19" t="s">
        <v>1439</v>
      </c>
      <c r="H89" s="19" t="s">
        <v>1451</v>
      </c>
    </row>
    <row r="90" spans="4:8">
      <c r="D90" s="19" t="str">
        <f t="shared" si="3"/>
        <v>· Las instrucciones de uso de esta hoja se encuentran en la misma hoja</v>
      </c>
      <c r="E90" s="19" t="s">
        <v>227</v>
      </c>
      <c r="G90" s="19" t="s">
        <v>1440</v>
      </c>
      <c r="H90" s="19" t="s">
        <v>1452</v>
      </c>
    </row>
    <row r="91" spans="4:8">
      <c r="D91" s="19" t="str">
        <f t="shared" si="3"/>
        <v>· En esta hoja no hay que escribir nada</v>
      </c>
      <c r="E91" s="19" t="s">
        <v>227</v>
      </c>
      <c r="G91" s="19" t="s">
        <v>1441</v>
      </c>
      <c r="H91" s="19" t="s">
        <v>1453</v>
      </c>
    </row>
    <row r="92" spans="4:8">
      <c r="D92" s="19" t="str">
        <f t="shared" si="3"/>
        <v>· Sirve para que el organizador de la porra, copie estos resultados y los pegue en el archivo de administrador</v>
      </c>
      <c r="E92" s="19" t="s">
        <v>227</v>
      </c>
      <c r="G92" s="19" t="s">
        <v>1442</v>
      </c>
      <c r="H92" s="19" t="s">
        <v>1454</v>
      </c>
    </row>
    <row r="93" spans="4:8">
      <c r="D93" s="19" t="str">
        <f t="shared" si="3"/>
        <v>· En esta hoja se muestran de un vistazo todos los resultados introducidos en la hoja WORLDCUP, en esta hoja no se rellena nada.</v>
      </c>
      <c r="E93" s="19" t="s">
        <v>227</v>
      </c>
      <c r="G93" s="19" t="s">
        <v>1461</v>
      </c>
      <c r="H93" s="19" t="s">
        <v>1455</v>
      </c>
    </row>
    <row r="99" spans="4:16">
      <c r="D99" s="19" t="str">
        <f t="shared" ref="D99:D190" si="4">IF($B$2,G99,H99)</f>
        <v>Para el administrador de la porra</v>
      </c>
      <c r="E99" s="19" t="s">
        <v>450</v>
      </c>
      <c r="F99" s="19" t="s">
        <v>123</v>
      </c>
      <c r="G99" s="19" t="s">
        <v>139</v>
      </c>
      <c r="H99" s="19" t="s">
        <v>285</v>
      </c>
    </row>
    <row r="100" spans="4:16">
      <c r="D100" s="19" t="str">
        <f t="shared" si="4"/>
        <v>PARTICIPANTE</v>
      </c>
      <c r="E100" s="19" t="s">
        <v>450</v>
      </c>
      <c r="F100" s="19" t="s">
        <v>128</v>
      </c>
      <c r="G100" s="19" t="s">
        <v>72</v>
      </c>
      <c r="H100" s="19" t="s">
        <v>286</v>
      </c>
    </row>
    <row r="101" spans="4:16">
      <c r="D101" s="19" t="str">
        <f t="shared" si="4"/>
        <v>Nombre</v>
      </c>
      <c r="E101" s="19" t="s">
        <v>450</v>
      </c>
      <c r="F101" s="19" t="s">
        <v>134</v>
      </c>
      <c r="G101" s="19" t="s">
        <v>44</v>
      </c>
      <c r="H101" s="19" t="s">
        <v>287</v>
      </c>
    </row>
    <row r="102" spans="4:16">
      <c r="D102" s="19" t="str">
        <f t="shared" si="4"/>
        <v>¡No tocar nada, se rellena solo!</v>
      </c>
      <c r="E102" s="19" t="s">
        <v>450</v>
      </c>
      <c r="F102" s="19" t="s">
        <v>258</v>
      </c>
      <c r="G102" s="19" t="s">
        <v>45</v>
      </c>
      <c r="H102" s="19" t="s">
        <v>288</v>
      </c>
    </row>
    <row r="103" spans="4:16" ht="15" customHeight="1">
      <c r="D103" s="19" t="str">
        <f t="shared" si="4"/>
        <v>EL ADMINISTRADOR DE LA PORRA SEGUIRÁ LAS INSTRUCCIONES DE AQUÍ ABAJO</v>
      </c>
      <c r="E103" s="19" t="s">
        <v>450</v>
      </c>
      <c r="F103" s="19" t="s">
        <v>125</v>
      </c>
      <c r="G103" s="19" t="s">
        <v>140</v>
      </c>
      <c r="H103" s="19" t="s">
        <v>289</v>
      </c>
      <c r="I103" s="442"/>
      <c r="K103" s="442"/>
      <c r="L103" s="442"/>
      <c r="M103" s="442"/>
      <c r="N103" s="442"/>
      <c r="O103" s="442"/>
      <c r="P103" s="442"/>
    </row>
    <row r="104" spans="4:16" ht="15" customHeight="1">
      <c r="D104" s="19" t="str">
        <f t="shared" si="4"/>
        <v>·Si haceis todo el Mundial de golpe, incluido el predictor, copiar de la C5 a la C258 y pegar valores en la plantilla de Administrador.</v>
      </c>
      <c r="E104" s="19" t="s">
        <v>450</v>
      </c>
      <c r="F104" s="19" t="s">
        <v>137</v>
      </c>
      <c r="G104" s="443" t="s">
        <v>1475</v>
      </c>
      <c r="H104" s="19" t="s">
        <v>1422</v>
      </c>
      <c r="I104" s="442"/>
      <c r="K104" s="442"/>
      <c r="L104" s="442"/>
      <c r="M104" s="442"/>
      <c r="N104" s="442"/>
      <c r="O104" s="442"/>
      <c r="P104" s="442"/>
    </row>
    <row r="105" spans="4:16">
      <c r="D105" s="19"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5" s="19" t="s">
        <v>450</v>
      </c>
      <c r="F105" s="19" t="s">
        <v>259</v>
      </c>
      <c r="G105" s="19" t="s">
        <v>1423</v>
      </c>
      <c r="H105" s="19" t="s">
        <v>1424</v>
      </c>
    </row>
    <row r="106" spans="4:16" ht="15" customHeight="1">
      <c r="D106" s="19" t="str">
        <f t="shared" si="4"/>
        <v>·Si haceis jornada a jornada seguir las instrucciones de cada jornada</v>
      </c>
      <c r="E106" s="19" t="s">
        <v>450</v>
      </c>
      <c r="F106" s="19" t="s">
        <v>260</v>
      </c>
      <c r="G106" s="19" t="s">
        <v>141</v>
      </c>
      <c r="H106" s="19" t="s">
        <v>290</v>
      </c>
      <c r="I106" s="444"/>
      <c r="K106" s="444"/>
      <c r="L106" s="444"/>
    </row>
    <row r="107" spans="4:16">
      <c r="D107" s="19" t="str">
        <f t="shared" si="4"/>
        <v>·Para la primera jornada copiar de la C5 a la C29 y pega valores en la plantilla de administrador. ¡OJO! COPIAR TAMBIÉN de la C253 a la C258.</v>
      </c>
      <c r="E107" s="19" t="s">
        <v>450</v>
      </c>
      <c r="F107" s="19" t="s">
        <v>261</v>
      </c>
      <c r="G107" s="19" t="s">
        <v>1425</v>
      </c>
      <c r="H107" s="19" t="s">
        <v>1426</v>
      </c>
    </row>
    <row r="108" spans="4:16">
      <c r="D108" s="19" t="str">
        <f t="shared" si="4"/>
        <v>·Para la segunda jornada copiar de la C30 a la C53 y pega valores en la plantilla de administrador.</v>
      </c>
      <c r="E108" s="19" t="s">
        <v>450</v>
      </c>
      <c r="F108" s="19" t="s">
        <v>262</v>
      </c>
      <c r="G108" s="19" t="s">
        <v>1370</v>
      </c>
      <c r="H108" s="19" t="s">
        <v>1372</v>
      </c>
    </row>
    <row r="109" spans="4:16">
      <c r="D109" s="19" t="str">
        <f t="shared" si="4"/>
        <v>·Para la tercera jornada copiar de la C54 a la C161 y pega valores en la plantilla de administrador.</v>
      </c>
      <c r="E109" s="19" t="s">
        <v>450</v>
      </c>
      <c r="F109" s="19" t="s">
        <v>263</v>
      </c>
      <c r="G109" s="19" t="s">
        <v>1371</v>
      </c>
      <c r="H109" s="19" t="s">
        <v>1373</v>
      </c>
    </row>
    <row r="110" spans="4:16">
      <c r="D110" s="19" t="str">
        <f t="shared" si="4"/>
        <v>·Si haceis todas las eliminatorias de golpe, copiar de la C164 a la C252 y pegar valores en la plantilla de Administrador.</v>
      </c>
      <c r="E110" s="19" t="s">
        <v>450</v>
      </c>
      <c r="F110" s="19" t="s">
        <v>264</v>
      </c>
      <c r="G110" s="19" t="s">
        <v>596</v>
      </c>
      <c r="H110" s="19" t="s">
        <v>1374</v>
      </c>
    </row>
    <row r="111" spans="4:16">
      <c r="D111" s="19" t="str">
        <f t="shared" si="4"/>
        <v>·Si haceis eliminatoria a eliminatoria seguir las instrucciones de cada eliminatoria.</v>
      </c>
      <c r="E111" s="19" t="s">
        <v>450</v>
      </c>
      <c r="F111" s="19" t="s">
        <v>265</v>
      </c>
      <c r="G111" s="19" t="s">
        <v>142</v>
      </c>
      <c r="H111" s="19" t="s">
        <v>291</v>
      </c>
    </row>
    <row r="112" spans="4:16">
      <c r="D112" s="19" t="str">
        <f t="shared" si="4"/>
        <v>·Para los dieciseisavos copiar de la C164 a la C197 y pega valores en la plantilla de administrador.</v>
      </c>
      <c r="E112" s="19" t="s">
        <v>450</v>
      </c>
      <c r="F112" s="19" t="s">
        <v>266</v>
      </c>
      <c r="G112" s="19" t="s">
        <v>1375</v>
      </c>
      <c r="H112" s="19" t="s">
        <v>591</v>
      </c>
    </row>
    <row r="113" spans="4:9">
      <c r="D113" s="19" t="str">
        <f t="shared" si="4"/>
        <v>·Para los octavos de final copiar de la C200 a la C217 y pega valores en la plantilla de administrador.</v>
      </c>
      <c r="E113" s="19" t="s">
        <v>450</v>
      </c>
      <c r="F113" s="19" t="s">
        <v>267</v>
      </c>
      <c r="G113" s="19" t="s">
        <v>1376</v>
      </c>
      <c r="H113" s="19" t="s">
        <v>593</v>
      </c>
    </row>
    <row r="114" spans="4:9">
      <c r="D114" s="19" t="str">
        <f t="shared" si="4"/>
        <v>·Para los cuartos de final copiar de la C220 a la C229 y pega valores en la plantilla de administrador.</v>
      </c>
      <c r="E114" s="19" t="s">
        <v>450</v>
      </c>
      <c r="G114" s="19" t="s">
        <v>1377</v>
      </c>
      <c r="H114" s="19" t="s">
        <v>592</v>
      </c>
    </row>
    <row r="115" spans="4:9">
      <c r="D115" s="19" t="str">
        <f t="shared" si="4"/>
        <v>·Para las semifinales copiar de la C232 a la C241 y pega valores en la plantilla de administrador.</v>
      </c>
      <c r="E115" s="19" t="s">
        <v>450</v>
      </c>
      <c r="F115" s="19" t="s">
        <v>268</v>
      </c>
      <c r="G115" s="19" t="s">
        <v>1378</v>
      </c>
      <c r="H115" s="19" t="s">
        <v>594</v>
      </c>
    </row>
    <row r="116" spans="4:9">
      <c r="D116" s="19" t="str">
        <f t="shared" si="4"/>
        <v>·Para el 3º y 4º puesto y la Final copiar de la C244 a la C252 y pega valores en la plantilla de administrador.</v>
      </c>
      <c r="E116" s="19" t="s">
        <v>450</v>
      </c>
      <c r="F116" s="19" t="s">
        <v>269</v>
      </c>
      <c r="G116" s="19" t="s">
        <v>1379</v>
      </c>
      <c r="H116" s="19" t="s">
        <v>595</v>
      </c>
    </row>
    <row r="117" spans="4:9">
      <c r="D117" s="19" t="str">
        <f t="shared" si="4"/>
        <v>·Al inicio de la competición si se hace por fases copiar de la C253 a la C258 y pegarla al final del jugador en el archivo de administrador.</v>
      </c>
      <c r="E117" s="19" t="s">
        <v>450</v>
      </c>
      <c r="F117" s="19" t="s">
        <v>270</v>
      </c>
      <c r="G117" s="19" t="s">
        <v>1427</v>
      </c>
      <c r="H117" s="19" t="s">
        <v>1428</v>
      </c>
    </row>
    <row r="118" spans="4:9">
      <c r="D118" s="19" t="str">
        <f t="shared" si="4"/>
        <v>·Copiar de la C261 a la C258 y pegar valores en el administrador donde el Predictor</v>
      </c>
      <c r="E118" s="19" t="s">
        <v>450</v>
      </c>
      <c r="G118" s="419" t="s">
        <v>1429</v>
      </c>
      <c r="H118" s="419" t="s">
        <v>1430</v>
      </c>
    </row>
    <row r="119" spans="4:9">
      <c r="D119" s="19" t="str">
        <f t="shared" si="4"/>
        <v>J1</v>
      </c>
      <c r="E119" s="19" t="s">
        <v>450</v>
      </c>
      <c r="F119" s="19" t="s">
        <v>271</v>
      </c>
      <c r="G119" s="19" t="s">
        <v>28</v>
      </c>
      <c r="H119" s="19" t="s">
        <v>292</v>
      </c>
      <c r="I119" s="419"/>
    </row>
    <row r="120" spans="4:9">
      <c r="D120" s="19" t="str">
        <f t="shared" si="4"/>
        <v>J2</v>
      </c>
      <c r="E120" s="19" t="s">
        <v>450</v>
      </c>
      <c r="F120" s="19" t="s">
        <v>272</v>
      </c>
      <c r="G120" s="19" t="s">
        <v>29</v>
      </c>
      <c r="H120" s="19" t="s">
        <v>293</v>
      </c>
    </row>
    <row r="121" spans="4:9">
      <c r="D121" s="19" t="str">
        <f t="shared" si="4"/>
        <v>J3</v>
      </c>
      <c r="E121" s="19" t="s">
        <v>450</v>
      </c>
      <c r="F121" s="19" t="s">
        <v>273</v>
      </c>
      <c r="G121" s="19" t="s">
        <v>30</v>
      </c>
      <c r="H121" s="19" t="s">
        <v>294</v>
      </c>
    </row>
    <row r="122" spans="4:9">
      <c r="D122" s="19" t="str">
        <f t="shared" si="4"/>
        <v>FASE DE GRUPOS</v>
      </c>
      <c r="E122" s="19" t="s">
        <v>450</v>
      </c>
      <c r="F122" s="19" t="s">
        <v>274</v>
      </c>
      <c r="G122" s="19" t="s">
        <v>12</v>
      </c>
      <c r="H122" s="19" t="s">
        <v>295</v>
      </c>
    </row>
    <row r="123" spans="4:9">
      <c r="D123" s="19" t="str">
        <f t="shared" si="4"/>
        <v>POSICIÓN GRUPOS</v>
      </c>
      <c r="E123" s="19" t="s">
        <v>450</v>
      </c>
      <c r="F123" s="19" t="s">
        <v>275</v>
      </c>
      <c r="G123" s="19" t="s">
        <v>46</v>
      </c>
      <c r="H123" s="19" t="s">
        <v>296</v>
      </c>
    </row>
    <row r="124" spans="4:9">
      <c r="D124" s="19" t="str">
        <f t="shared" si="4"/>
        <v>CLASIFICADOS PARA DIECISEISAVOS</v>
      </c>
      <c r="E124" s="19" t="s">
        <v>450</v>
      </c>
      <c r="F124" s="19" t="s">
        <v>276</v>
      </c>
      <c r="G124" s="19" t="s">
        <v>582</v>
      </c>
      <c r="H124" s="19" t="s">
        <v>583</v>
      </c>
    </row>
    <row r="125" spans="4:9">
      <c r="D125" s="19" t="str">
        <f t="shared" si="4"/>
        <v>ENFRENTAMIENTOS DIECISEISAVOS</v>
      </c>
      <c r="E125" s="19" t="s">
        <v>450</v>
      </c>
      <c r="F125" s="19" t="s">
        <v>277</v>
      </c>
      <c r="G125" s="19" t="s">
        <v>586</v>
      </c>
      <c r="H125" s="19" t="s">
        <v>587</v>
      </c>
    </row>
    <row r="126" spans="4:9">
      <c r="D126" s="19" t="str">
        <f t="shared" si="4"/>
        <v>CLASIFICADOS PARA OCTAVOS</v>
      </c>
      <c r="E126" s="19" t="s">
        <v>450</v>
      </c>
      <c r="G126" s="19" t="s">
        <v>110</v>
      </c>
      <c r="H126" s="19" t="s">
        <v>297</v>
      </c>
    </row>
    <row r="127" spans="4:9">
      <c r="D127" s="19" t="str">
        <f t="shared" si="4"/>
        <v>ENFRENTAMIENTOS OCTAVOS</v>
      </c>
      <c r="E127" s="19" t="s">
        <v>450</v>
      </c>
      <c r="G127" s="19" t="s">
        <v>111</v>
      </c>
      <c r="H127" s="19" t="s">
        <v>298</v>
      </c>
    </row>
    <row r="128" spans="4:9">
      <c r="D128" s="19" t="str">
        <f t="shared" si="4"/>
        <v>CLASIFICADOS PARA CUARTOS</v>
      </c>
      <c r="E128" s="19" t="s">
        <v>450</v>
      </c>
      <c r="F128" s="19" t="s">
        <v>278</v>
      </c>
      <c r="G128" s="19" t="s">
        <v>59</v>
      </c>
      <c r="H128" s="19" t="s">
        <v>299</v>
      </c>
    </row>
    <row r="129" spans="4:8">
      <c r="D129" s="19" t="str">
        <f t="shared" si="4"/>
        <v>ENFRENTAMIENTOS CUARTOS</v>
      </c>
      <c r="E129" s="19" t="s">
        <v>450</v>
      </c>
      <c r="F129" s="19" t="s">
        <v>280</v>
      </c>
      <c r="G129" s="19" t="s">
        <v>61</v>
      </c>
      <c r="H129" s="19" t="s">
        <v>300</v>
      </c>
    </row>
    <row r="130" spans="4:8">
      <c r="D130" s="19" t="str">
        <f t="shared" si="4"/>
        <v>CLASIFICADOS PARA SEMIFINALES</v>
      </c>
      <c r="E130" s="19" t="s">
        <v>450</v>
      </c>
      <c r="F130" s="19" t="s">
        <v>279</v>
      </c>
      <c r="G130" s="19" t="s">
        <v>62</v>
      </c>
      <c r="H130" s="19" t="s">
        <v>301</v>
      </c>
    </row>
    <row r="131" spans="4:8">
      <c r="D131" s="19" t="str">
        <f t="shared" si="4"/>
        <v>ENFRENTAMIENTOS SEMIFINALES</v>
      </c>
      <c r="E131" s="19" t="s">
        <v>450</v>
      </c>
      <c r="F131" s="19" t="s">
        <v>281</v>
      </c>
      <c r="G131" s="19" t="s">
        <v>64</v>
      </c>
      <c r="H131" s="19" t="s">
        <v>302</v>
      </c>
    </row>
    <row r="132" spans="4:8">
      <c r="D132" s="19" t="str">
        <f t="shared" si="4"/>
        <v>CLASIFICADOS PARA EL 3º y 4º PUESTO</v>
      </c>
      <c r="E132" s="19" t="s">
        <v>450</v>
      </c>
      <c r="G132" s="19" t="s">
        <v>588</v>
      </c>
      <c r="H132" s="19" t="s">
        <v>589</v>
      </c>
    </row>
    <row r="133" spans="4:8">
      <c r="D133" s="19" t="str">
        <f t="shared" si="4"/>
        <v>CLASIFICADOS PARA LA FINAL</v>
      </c>
      <c r="E133" s="19" t="s">
        <v>450</v>
      </c>
      <c r="F133" s="19" t="s">
        <v>282</v>
      </c>
      <c r="G133" s="19" t="s">
        <v>65</v>
      </c>
      <c r="H133" s="19" t="s">
        <v>303</v>
      </c>
    </row>
    <row r="134" spans="4:8">
      <c r="D134" s="19" t="str">
        <f t="shared" si="4"/>
        <v>3º-4º puesto</v>
      </c>
      <c r="E134" s="19" t="s">
        <v>450</v>
      </c>
      <c r="G134" s="19" t="s">
        <v>513</v>
      </c>
      <c r="H134" s="19" t="s">
        <v>509</v>
      </c>
    </row>
    <row r="135" spans="4:8">
      <c r="D135" s="19" t="str">
        <f t="shared" si="4"/>
        <v>ENFRENTAMIENTO FINAL</v>
      </c>
      <c r="E135" s="19" t="s">
        <v>450</v>
      </c>
      <c r="F135" s="19" t="s">
        <v>283</v>
      </c>
      <c r="G135" s="19" t="s">
        <v>67</v>
      </c>
      <c r="H135" s="19" t="s">
        <v>304</v>
      </c>
    </row>
    <row r="136" spans="4:8">
      <c r="D136" s="19" t="str">
        <f t="shared" si="4"/>
        <v>CUADRO DE HONOR</v>
      </c>
      <c r="E136" s="19" t="s">
        <v>450</v>
      </c>
      <c r="F136" s="19" t="s">
        <v>284</v>
      </c>
      <c r="G136" s="19" t="s">
        <v>21</v>
      </c>
      <c r="H136" s="19" t="s">
        <v>235</v>
      </c>
    </row>
    <row r="137" spans="4:8">
      <c r="D137" s="19" t="str">
        <f t="shared" ref="D137:D160" si="5">IF($B$2,G137,H137)</f>
        <v>1º GRUPO A</v>
      </c>
      <c r="E137" s="19" t="s">
        <v>450</v>
      </c>
      <c r="F137" s="19" t="s">
        <v>422</v>
      </c>
      <c r="G137" s="19" t="s">
        <v>47</v>
      </c>
      <c r="H137" s="10" t="s">
        <v>394</v>
      </c>
    </row>
    <row r="138" spans="4:8">
      <c r="D138" s="19" t="str">
        <f t="shared" si="5"/>
        <v>2º GRUPO A</v>
      </c>
      <c r="E138" s="19" t="s">
        <v>450</v>
      </c>
      <c r="F138" s="19" t="s">
        <v>423</v>
      </c>
      <c r="G138" s="19" t="s">
        <v>48</v>
      </c>
      <c r="H138" s="10" t="s">
        <v>395</v>
      </c>
    </row>
    <row r="139" spans="4:8">
      <c r="D139" s="19" t="str">
        <f t="shared" si="5"/>
        <v>3º GRUPO A</v>
      </c>
      <c r="E139" s="19" t="s">
        <v>450</v>
      </c>
      <c r="F139" s="19" t="s">
        <v>424</v>
      </c>
      <c r="G139" s="19" t="s">
        <v>49</v>
      </c>
      <c r="H139" s="10" t="s">
        <v>396</v>
      </c>
    </row>
    <row r="140" spans="4:8">
      <c r="D140" s="19" t="str">
        <f t="shared" si="5"/>
        <v>4º GRUPO A</v>
      </c>
      <c r="E140" s="19" t="s">
        <v>450</v>
      </c>
      <c r="F140" s="19" t="s">
        <v>425</v>
      </c>
      <c r="G140" s="19" t="s">
        <v>50</v>
      </c>
      <c r="H140" s="10" t="s">
        <v>397</v>
      </c>
    </row>
    <row r="141" spans="4:8">
      <c r="D141" s="19" t="str">
        <f t="shared" si="5"/>
        <v>1º GRUPO B</v>
      </c>
      <c r="E141" s="19" t="s">
        <v>450</v>
      </c>
      <c r="F141" s="19" t="s">
        <v>426</v>
      </c>
      <c r="G141" s="19" t="s">
        <v>51</v>
      </c>
      <c r="H141" s="10" t="s">
        <v>398</v>
      </c>
    </row>
    <row r="142" spans="4:8">
      <c r="D142" s="19" t="str">
        <f t="shared" si="5"/>
        <v>2º GRUPO B</v>
      </c>
      <c r="E142" s="19" t="s">
        <v>450</v>
      </c>
      <c r="F142" s="19" t="s">
        <v>427</v>
      </c>
      <c r="G142" s="19" t="s">
        <v>52</v>
      </c>
      <c r="H142" s="10" t="s">
        <v>399</v>
      </c>
    </row>
    <row r="143" spans="4:8">
      <c r="D143" s="19" t="str">
        <f t="shared" si="5"/>
        <v>3º GRUPO B</v>
      </c>
      <c r="E143" s="19" t="s">
        <v>450</v>
      </c>
      <c r="F143" s="19" t="s">
        <v>428</v>
      </c>
      <c r="G143" s="19" t="s">
        <v>53</v>
      </c>
      <c r="H143" s="10" t="s">
        <v>400</v>
      </c>
    </row>
    <row r="144" spans="4:8">
      <c r="D144" s="19" t="str">
        <f t="shared" si="5"/>
        <v>4º GRUPO B</v>
      </c>
      <c r="E144" s="19" t="s">
        <v>450</v>
      </c>
      <c r="F144" s="19" t="s">
        <v>429</v>
      </c>
      <c r="G144" s="19" t="s">
        <v>54</v>
      </c>
      <c r="H144" s="10" t="s">
        <v>401</v>
      </c>
    </row>
    <row r="145" spans="4:8">
      <c r="D145" s="19" t="str">
        <f t="shared" si="5"/>
        <v>1º GRUPO C</v>
      </c>
      <c r="E145" s="19" t="s">
        <v>450</v>
      </c>
      <c r="F145" s="19" t="s">
        <v>430</v>
      </c>
      <c r="G145" s="19" t="s">
        <v>55</v>
      </c>
      <c r="H145" s="10" t="s">
        <v>402</v>
      </c>
    </row>
    <row r="146" spans="4:8">
      <c r="D146" s="19" t="str">
        <f t="shared" si="5"/>
        <v>2º GRUPO C</v>
      </c>
      <c r="E146" s="19" t="s">
        <v>450</v>
      </c>
      <c r="F146" s="19" t="s">
        <v>431</v>
      </c>
      <c r="G146" s="19" t="s">
        <v>56</v>
      </c>
      <c r="H146" s="10" t="s">
        <v>403</v>
      </c>
    </row>
    <row r="147" spans="4:8">
      <c r="D147" s="19" t="str">
        <f t="shared" si="5"/>
        <v>3º GRUPO C</v>
      </c>
      <c r="E147" s="19" t="s">
        <v>450</v>
      </c>
      <c r="F147" s="19" t="s">
        <v>432</v>
      </c>
      <c r="G147" s="19" t="s">
        <v>57</v>
      </c>
      <c r="H147" s="10" t="s">
        <v>404</v>
      </c>
    </row>
    <row r="148" spans="4:8">
      <c r="D148" s="19" t="str">
        <f t="shared" si="5"/>
        <v>4º GRUPO C</v>
      </c>
      <c r="E148" s="19" t="s">
        <v>450</v>
      </c>
      <c r="F148" s="19" t="s">
        <v>433</v>
      </c>
      <c r="G148" s="19" t="s">
        <v>58</v>
      </c>
      <c r="H148" s="10" t="s">
        <v>405</v>
      </c>
    </row>
    <row r="149" spans="4:8">
      <c r="D149" s="19" t="str">
        <f t="shared" si="5"/>
        <v>1º GRUPO D</v>
      </c>
      <c r="E149" s="19" t="s">
        <v>450</v>
      </c>
      <c r="F149" s="19" t="s">
        <v>434</v>
      </c>
      <c r="G149" s="19" t="s">
        <v>98</v>
      </c>
      <c r="H149" s="10" t="s">
        <v>406</v>
      </c>
    </row>
    <row r="150" spans="4:8">
      <c r="D150" s="19" t="str">
        <f t="shared" si="5"/>
        <v>2º GRUPO D</v>
      </c>
      <c r="E150" s="19" t="s">
        <v>450</v>
      </c>
      <c r="F150" s="19" t="s">
        <v>435</v>
      </c>
      <c r="G150" s="19" t="s">
        <v>99</v>
      </c>
      <c r="H150" s="10" t="s">
        <v>407</v>
      </c>
    </row>
    <row r="151" spans="4:8">
      <c r="D151" s="19" t="str">
        <f t="shared" si="5"/>
        <v>3º GRUPO D</v>
      </c>
      <c r="E151" s="19" t="s">
        <v>450</v>
      </c>
      <c r="F151" s="19" t="s">
        <v>436</v>
      </c>
      <c r="G151" s="19" t="s">
        <v>100</v>
      </c>
      <c r="H151" s="10" t="s">
        <v>408</v>
      </c>
    </row>
    <row r="152" spans="4:8">
      <c r="D152" s="19" t="str">
        <f t="shared" si="5"/>
        <v>4º GRUPO D</v>
      </c>
      <c r="E152" s="19" t="s">
        <v>450</v>
      </c>
      <c r="F152" s="19" t="s">
        <v>437</v>
      </c>
      <c r="G152" s="19" t="s">
        <v>101</v>
      </c>
      <c r="H152" s="10" t="s">
        <v>409</v>
      </c>
    </row>
    <row r="153" spans="4:8">
      <c r="D153" s="19" t="str">
        <f t="shared" si="5"/>
        <v>1º GRUPO E</v>
      </c>
      <c r="E153" s="19" t="s">
        <v>450</v>
      </c>
      <c r="F153" s="19" t="s">
        <v>438</v>
      </c>
      <c r="G153" s="19" t="s">
        <v>102</v>
      </c>
      <c r="H153" s="10" t="s">
        <v>410</v>
      </c>
    </row>
    <row r="154" spans="4:8">
      <c r="D154" s="19" t="str">
        <f t="shared" si="5"/>
        <v>2º GRUPO E</v>
      </c>
      <c r="E154" s="19" t="s">
        <v>450</v>
      </c>
      <c r="F154" s="19" t="s">
        <v>439</v>
      </c>
      <c r="G154" s="19" t="s">
        <v>103</v>
      </c>
      <c r="H154" s="10" t="s">
        <v>411</v>
      </c>
    </row>
    <row r="155" spans="4:8">
      <c r="D155" s="19" t="str">
        <f t="shared" si="5"/>
        <v>3º GRUPO E</v>
      </c>
      <c r="E155" s="19" t="s">
        <v>450</v>
      </c>
      <c r="F155" s="19" t="s">
        <v>440</v>
      </c>
      <c r="G155" s="19" t="s">
        <v>104</v>
      </c>
      <c r="H155" s="10" t="s">
        <v>412</v>
      </c>
    </row>
    <row r="156" spans="4:8">
      <c r="D156" s="19" t="str">
        <f t="shared" si="5"/>
        <v>4º GRUPO E</v>
      </c>
      <c r="E156" s="19" t="s">
        <v>450</v>
      </c>
      <c r="F156" s="19" t="s">
        <v>441</v>
      </c>
      <c r="G156" s="19" t="s">
        <v>105</v>
      </c>
      <c r="H156" s="10" t="s">
        <v>413</v>
      </c>
    </row>
    <row r="157" spans="4:8">
      <c r="D157" s="19" t="str">
        <f t="shared" si="5"/>
        <v>1º GRUPO F</v>
      </c>
      <c r="E157" s="19" t="s">
        <v>450</v>
      </c>
      <c r="F157" s="19" t="s">
        <v>442</v>
      </c>
      <c r="G157" s="19" t="s">
        <v>106</v>
      </c>
      <c r="H157" s="10" t="s">
        <v>414</v>
      </c>
    </row>
    <row r="158" spans="4:8">
      <c r="D158" s="19" t="str">
        <f t="shared" si="5"/>
        <v>2º GRUPO F</v>
      </c>
      <c r="E158" s="19" t="s">
        <v>450</v>
      </c>
      <c r="F158" s="19" t="s">
        <v>443</v>
      </c>
      <c r="G158" s="19" t="s">
        <v>107</v>
      </c>
      <c r="H158" s="10" t="s">
        <v>415</v>
      </c>
    </row>
    <row r="159" spans="4:8">
      <c r="D159" s="19" t="str">
        <f t="shared" si="5"/>
        <v>3º GRUPO F</v>
      </c>
      <c r="E159" s="19" t="s">
        <v>450</v>
      </c>
      <c r="F159" s="19" t="s">
        <v>444</v>
      </c>
      <c r="G159" s="19" t="s">
        <v>108</v>
      </c>
      <c r="H159" s="10" t="s">
        <v>416</v>
      </c>
    </row>
    <row r="160" spans="4:8">
      <c r="D160" s="19" t="str">
        <f t="shared" si="5"/>
        <v>4º GRUPO F</v>
      </c>
      <c r="E160" s="19" t="s">
        <v>450</v>
      </c>
      <c r="F160" s="19" t="s">
        <v>445</v>
      </c>
      <c r="G160" s="19" t="s">
        <v>109</v>
      </c>
      <c r="H160" s="10" t="s">
        <v>417</v>
      </c>
    </row>
    <row r="161" spans="4:8">
      <c r="D161" s="19" t="str">
        <f t="shared" ref="D161:D184" si="6">IF($B$2,G161,H161)</f>
        <v>1º GRUPO G</v>
      </c>
      <c r="E161" s="19" t="s">
        <v>450</v>
      </c>
      <c r="G161" s="19" t="s">
        <v>534</v>
      </c>
      <c r="H161" s="10" t="s">
        <v>538</v>
      </c>
    </row>
    <row r="162" spans="4:8">
      <c r="D162" s="19" t="str">
        <f t="shared" si="6"/>
        <v>2º GRUPO G</v>
      </c>
      <c r="E162" s="19" t="s">
        <v>450</v>
      </c>
      <c r="G162" s="19" t="s">
        <v>535</v>
      </c>
      <c r="H162" s="10" t="s">
        <v>539</v>
      </c>
    </row>
    <row r="163" spans="4:8">
      <c r="D163" s="19" t="str">
        <f t="shared" si="6"/>
        <v>3º GRUPO G</v>
      </c>
      <c r="E163" s="19" t="s">
        <v>450</v>
      </c>
      <c r="G163" s="19" t="s">
        <v>536</v>
      </c>
      <c r="H163" s="10" t="s">
        <v>540</v>
      </c>
    </row>
    <row r="164" spans="4:8">
      <c r="D164" s="19" t="str">
        <f t="shared" si="6"/>
        <v>4º GRUPO G</v>
      </c>
      <c r="E164" s="19" t="s">
        <v>450</v>
      </c>
      <c r="G164" s="19" t="s">
        <v>537</v>
      </c>
      <c r="H164" s="10" t="s">
        <v>541</v>
      </c>
    </row>
    <row r="165" spans="4:8">
      <c r="D165" s="19" t="str">
        <f t="shared" si="6"/>
        <v>1º GRUPO H</v>
      </c>
      <c r="E165" s="19" t="s">
        <v>450</v>
      </c>
      <c r="G165" s="19" t="s">
        <v>542</v>
      </c>
      <c r="H165" s="10" t="s">
        <v>546</v>
      </c>
    </row>
    <row r="166" spans="4:8">
      <c r="D166" s="19" t="str">
        <f t="shared" si="6"/>
        <v>2º GRUPO H</v>
      </c>
      <c r="E166" s="19" t="s">
        <v>450</v>
      </c>
      <c r="G166" s="19" t="s">
        <v>543</v>
      </c>
      <c r="H166" s="10" t="s">
        <v>547</v>
      </c>
    </row>
    <row r="167" spans="4:8">
      <c r="D167" s="19" t="str">
        <f t="shared" si="6"/>
        <v>3º GRUPO H</v>
      </c>
      <c r="E167" s="19" t="s">
        <v>450</v>
      </c>
      <c r="G167" s="19" t="s">
        <v>544</v>
      </c>
      <c r="H167" s="10" t="s">
        <v>548</v>
      </c>
    </row>
    <row r="168" spans="4:8">
      <c r="D168" s="19" t="str">
        <f t="shared" si="6"/>
        <v>4º GRUPO H</v>
      </c>
      <c r="E168" s="19" t="s">
        <v>450</v>
      </c>
      <c r="G168" s="19" t="s">
        <v>545</v>
      </c>
      <c r="H168" s="10" t="s">
        <v>549</v>
      </c>
    </row>
    <row r="169" spans="4:8">
      <c r="D169" s="19" t="str">
        <f t="shared" si="6"/>
        <v>1º GRUPO I</v>
      </c>
      <c r="E169" s="19" t="s">
        <v>450</v>
      </c>
      <c r="G169" s="19" t="s">
        <v>550</v>
      </c>
      <c r="H169" s="10" t="s">
        <v>554</v>
      </c>
    </row>
    <row r="170" spans="4:8">
      <c r="D170" s="19" t="str">
        <f t="shared" si="6"/>
        <v>2º GRUPO I</v>
      </c>
      <c r="E170" s="19" t="s">
        <v>450</v>
      </c>
      <c r="G170" s="19" t="s">
        <v>551</v>
      </c>
      <c r="H170" s="10" t="s">
        <v>555</v>
      </c>
    </row>
    <row r="171" spans="4:8">
      <c r="D171" s="19" t="str">
        <f t="shared" si="6"/>
        <v>3º GRUPO I</v>
      </c>
      <c r="E171" s="19" t="s">
        <v>450</v>
      </c>
      <c r="G171" s="19" t="s">
        <v>552</v>
      </c>
      <c r="H171" s="10" t="s">
        <v>556</v>
      </c>
    </row>
    <row r="172" spans="4:8">
      <c r="D172" s="19" t="str">
        <f t="shared" si="6"/>
        <v>4º GRUPO I</v>
      </c>
      <c r="E172" s="19" t="s">
        <v>450</v>
      </c>
      <c r="G172" s="19" t="s">
        <v>553</v>
      </c>
      <c r="H172" s="10" t="s">
        <v>557</v>
      </c>
    </row>
    <row r="173" spans="4:8">
      <c r="D173" s="19" t="str">
        <f t="shared" si="6"/>
        <v>1º GRUPO J</v>
      </c>
      <c r="E173" s="19" t="s">
        <v>450</v>
      </c>
      <c r="G173" s="19" t="s">
        <v>558</v>
      </c>
      <c r="H173" s="10" t="s">
        <v>562</v>
      </c>
    </row>
    <row r="174" spans="4:8">
      <c r="D174" s="19" t="str">
        <f t="shared" si="6"/>
        <v>2º GRUPO J</v>
      </c>
      <c r="E174" s="19" t="s">
        <v>450</v>
      </c>
      <c r="G174" s="19" t="s">
        <v>559</v>
      </c>
      <c r="H174" s="10" t="s">
        <v>563</v>
      </c>
    </row>
    <row r="175" spans="4:8">
      <c r="D175" s="19" t="str">
        <f t="shared" si="6"/>
        <v>3º GRUPO J</v>
      </c>
      <c r="E175" s="19" t="s">
        <v>450</v>
      </c>
      <c r="G175" s="19" t="s">
        <v>560</v>
      </c>
      <c r="H175" s="10" t="s">
        <v>564</v>
      </c>
    </row>
    <row r="176" spans="4:8">
      <c r="D176" s="19" t="str">
        <f t="shared" si="6"/>
        <v>4º GRUPO J</v>
      </c>
      <c r="E176" s="19" t="s">
        <v>450</v>
      </c>
      <c r="G176" s="19" t="s">
        <v>561</v>
      </c>
      <c r="H176" s="10" t="s">
        <v>565</v>
      </c>
    </row>
    <row r="177" spans="4:8">
      <c r="D177" s="19" t="str">
        <f t="shared" si="6"/>
        <v>1º GRUPO K</v>
      </c>
      <c r="E177" s="19" t="s">
        <v>450</v>
      </c>
      <c r="G177" s="19" t="s">
        <v>566</v>
      </c>
      <c r="H177" s="10" t="s">
        <v>570</v>
      </c>
    </row>
    <row r="178" spans="4:8">
      <c r="D178" s="19" t="str">
        <f t="shared" si="6"/>
        <v>2º GRUPO K</v>
      </c>
      <c r="E178" s="19" t="s">
        <v>450</v>
      </c>
      <c r="G178" s="19" t="s">
        <v>567</v>
      </c>
      <c r="H178" s="10" t="s">
        <v>571</v>
      </c>
    </row>
    <row r="179" spans="4:8">
      <c r="D179" s="19" t="str">
        <f t="shared" si="6"/>
        <v>3º GRUPO K</v>
      </c>
      <c r="E179" s="19" t="s">
        <v>450</v>
      </c>
      <c r="G179" s="19" t="s">
        <v>568</v>
      </c>
      <c r="H179" s="10" t="s">
        <v>572</v>
      </c>
    </row>
    <row r="180" spans="4:8">
      <c r="D180" s="19" t="str">
        <f t="shared" si="6"/>
        <v>4º GRUPO K</v>
      </c>
      <c r="E180" s="19" t="s">
        <v>450</v>
      </c>
      <c r="G180" s="19" t="s">
        <v>569</v>
      </c>
      <c r="H180" s="10" t="s">
        <v>573</v>
      </c>
    </row>
    <row r="181" spans="4:8">
      <c r="D181" s="19" t="str">
        <f t="shared" si="6"/>
        <v>1º GRUPO L</v>
      </c>
      <c r="E181" s="19" t="s">
        <v>450</v>
      </c>
      <c r="G181" s="19" t="s">
        <v>574</v>
      </c>
      <c r="H181" s="10" t="s">
        <v>578</v>
      </c>
    </row>
    <row r="182" spans="4:8">
      <c r="D182" s="19" t="str">
        <f t="shared" si="6"/>
        <v>2º GRUPO L</v>
      </c>
      <c r="E182" s="19" t="s">
        <v>450</v>
      </c>
      <c r="G182" s="19" t="s">
        <v>575</v>
      </c>
      <c r="H182" s="10" t="s">
        <v>579</v>
      </c>
    </row>
    <row r="183" spans="4:8">
      <c r="D183" s="19" t="str">
        <f t="shared" si="6"/>
        <v>3º GRUPO L</v>
      </c>
      <c r="E183" s="19" t="s">
        <v>450</v>
      </c>
      <c r="G183" s="19" t="s">
        <v>576</v>
      </c>
      <c r="H183" s="10" t="s">
        <v>580</v>
      </c>
    </row>
    <row r="184" spans="4:8">
      <c r="D184" s="19" t="str">
        <f t="shared" si="6"/>
        <v>4º GRUPO L</v>
      </c>
      <c r="E184" s="19" t="s">
        <v>450</v>
      </c>
      <c r="G184" s="19" t="s">
        <v>577</v>
      </c>
      <c r="H184" s="10" t="s">
        <v>581</v>
      </c>
    </row>
    <row r="185" spans="4:8">
      <c r="D185" s="19" t="str">
        <f t="shared" si="4"/>
        <v>Dieciseisavofinalista</v>
      </c>
      <c r="E185" s="19" t="s">
        <v>450</v>
      </c>
      <c r="F185" s="19" t="s">
        <v>446</v>
      </c>
      <c r="G185" s="19" t="s">
        <v>584</v>
      </c>
      <c r="H185" s="10" t="s">
        <v>585</v>
      </c>
    </row>
    <row r="186" spans="4:8">
      <c r="D186" s="19" t="str">
        <f t="shared" si="4"/>
        <v>Octavofinalista</v>
      </c>
      <c r="E186" s="19" t="s">
        <v>450</v>
      </c>
      <c r="G186" s="19" t="s">
        <v>1309</v>
      </c>
      <c r="H186" s="10" t="s">
        <v>418</v>
      </c>
    </row>
    <row r="187" spans="4:8">
      <c r="D187" s="19" t="str">
        <f t="shared" si="4"/>
        <v>Cuartofinalista</v>
      </c>
      <c r="E187" s="19" t="s">
        <v>450</v>
      </c>
      <c r="F187" s="19" t="s">
        <v>447</v>
      </c>
      <c r="G187" s="19" t="s">
        <v>60</v>
      </c>
      <c r="H187" s="10" t="s">
        <v>419</v>
      </c>
    </row>
    <row r="188" spans="4:8">
      <c r="D188" s="19" t="str">
        <f t="shared" si="4"/>
        <v>Semifinalista</v>
      </c>
      <c r="E188" s="19" t="s">
        <v>450</v>
      </c>
      <c r="F188" s="19" t="s">
        <v>448</v>
      </c>
      <c r="G188" s="19" t="s">
        <v>63</v>
      </c>
      <c r="H188" s="10" t="s">
        <v>420</v>
      </c>
    </row>
    <row r="189" spans="4:8">
      <c r="D189" s="19" t="str">
        <f t="shared" si="4"/>
        <v>3º y 4º puesto</v>
      </c>
      <c r="E189" s="19" t="s">
        <v>450</v>
      </c>
      <c r="G189" s="19" t="s">
        <v>508</v>
      </c>
      <c r="H189" s="10" t="s">
        <v>509</v>
      </c>
    </row>
    <row r="190" spans="4:8">
      <c r="D190" s="19" t="str">
        <f t="shared" si="4"/>
        <v>Finalista</v>
      </c>
      <c r="E190" s="19" t="s">
        <v>450</v>
      </c>
      <c r="F190" s="19" t="s">
        <v>449</v>
      </c>
      <c r="G190" s="19" t="s">
        <v>66</v>
      </c>
      <c r="H190" s="10" t="s">
        <v>421</v>
      </c>
    </row>
    <row r="194" spans="2:11">
      <c r="J194" s="440"/>
      <c r="K194" s="439"/>
    </row>
    <row r="196" spans="2:11">
      <c r="J196" s="440"/>
    </row>
    <row r="198" spans="2:11">
      <c r="C198" s="19" t="s">
        <v>1473</v>
      </c>
    </row>
    <row r="199" spans="2:11">
      <c r="B199" s="19">
        <v>1</v>
      </c>
      <c r="C199" s="19">
        <v>17</v>
      </c>
      <c r="D199" s="19" t="str">
        <f t="shared" ref="D199:D246" ca="1" si="7">IF($B$2,G199,H199)</f>
        <v>Alemania</v>
      </c>
      <c r="E199" s="19" t="s">
        <v>226</v>
      </c>
      <c r="F199" s="19" t="s">
        <v>318</v>
      </c>
      <c r="G199" s="19" t="str">
        <f ca="1">Credits!OU8112</f>
        <v>Alemania</v>
      </c>
      <c r="H199" s="19" t="str">
        <f ca="1">Credits!OV8112</f>
        <v>Germany</v>
      </c>
    </row>
    <row r="200" spans="2:11">
      <c r="B200" s="19">
        <v>2</v>
      </c>
      <c r="C200" s="19">
        <v>31</v>
      </c>
      <c r="D200" s="19" t="str">
        <f t="shared" ca="1" si="7"/>
        <v>Arabia Saudita</v>
      </c>
      <c r="E200" s="19" t="s">
        <v>226</v>
      </c>
      <c r="F200" s="19" t="s">
        <v>197</v>
      </c>
      <c r="G200" s="19" t="str">
        <f ca="1">Credits!OU8113</f>
        <v>Arabia Saudita</v>
      </c>
      <c r="H200" s="19" t="str">
        <f ca="1">Credits!OV8113</f>
        <v>Saudi Arabia</v>
      </c>
    </row>
    <row r="201" spans="2:11">
      <c r="B201" s="19">
        <v>3</v>
      </c>
      <c r="C201" s="19">
        <v>38</v>
      </c>
      <c r="D201" s="19" t="str">
        <f t="shared" ca="1" si="7"/>
        <v>Argelia</v>
      </c>
      <c r="E201" s="19" t="s">
        <v>226</v>
      </c>
      <c r="F201" s="19" t="s">
        <v>319</v>
      </c>
      <c r="G201" s="19" t="str">
        <f ca="1">Credits!OU8114</f>
        <v>Argelia</v>
      </c>
      <c r="H201" s="19" t="str">
        <f ca="1">Credits!OV8114</f>
        <v>Algeria</v>
      </c>
    </row>
    <row r="202" spans="2:11">
      <c r="B202" s="19">
        <v>4</v>
      </c>
      <c r="C202" s="19">
        <v>37</v>
      </c>
      <c r="D202" s="19" t="str">
        <f t="shared" ca="1" si="7"/>
        <v>Argentina</v>
      </c>
      <c r="E202" s="19" t="s">
        <v>226</v>
      </c>
      <c r="F202" s="19" t="s">
        <v>320</v>
      </c>
      <c r="G202" s="19" t="str">
        <f ca="1">Credits!OU8115</f>
        <v>Argentina</v>
      </c>
      <c r="H202" s="19" t="str">
        <f ca="1">Credits!OV8115</f>
        <v>Argentina</v>
      </c>
    </row>
    <row r="203" spans="2:11">
      <c r="B203" s="19">
        <v>5</v>
      </c>
      <c r="C203" s="19">
        <v>15</v>
      </c>
      <c r="D203" s="19" t="str">
        <f t="shared" ca="1" si="7"/>
        <v>Australia</v>
      </c>
      <c r="E203" s="19" t="s">
        <v>226</v>
      </c>
      <c r="F203" s="19" t="s">
        <v>321</v>
      </c>
      <c r="G203" s="19" t="str">
        <f ca="1">Credits!OU8116</f>
        <v>Australia</v>
      </c>
      <c r="H203" s="19" t="str">
        <f ca="1">Credits!OV8116</f>
        <v>Australia</v>
      </c>
    </row>
    <row r="204" spans="2:11">
      <c r="B204" s="19">
        <v>6</v>
      </c>
      <c r="C204" s="19">
        <v>39</v>
      </c>
      <c r="D204" s="19" t="str">
        <f t="shared" ca="1" si="7"/>
        <v>Austria</v>
      </c>
      <c r="E204" s="19" t="s">
        <v>226</v>
      </c>
      <c r="F204" s="19" t="s">
        <v>322</v>
      </c>
      <c r="G204" s="19" t="str">
        <f ca="1">Credits!OU8117</f>
        <v>Austria</v>
      </c>
      <c r="H204" s="19" t="str">
        <f ca="1">Credits!OV8117</f>
        <v>Austria</v>
      </c>
    </row>
    <row r="205" spans="2:11">
      <c r="B205" s="19">
        <v>7</v>
      </c>
      <c r="C205" s="19">
        <v>25</v>
      </c>
      <c r="D205" s="19" t="str">
        <f t="shared" ca="1" si="7"/>
        <v>Bélgica</v>
      </c>
      <c r="E205" s="19" t="s">
        <v>226</v>
      </c>
      <c r="F205" s="19" t="s">
        <v>323</v>
      </c>
      <c r="G205" s="19" t="str">
        <f ca="1">Credits!OU8118</f>
        <v>Bélgica</v>
      </c>
      <c r="H205" s="19" t="str">
        <f ca="1">Credits!OV8118</f>
        <v>Belgium</v>
      </c>
    </row>
    <row r="206" spans="2:11">
      <c r="B206" s="19">
        <v>8</v>
      </c>
      <c r="C206" s="19">
        <v>9</v>
      </c>
      <c r="D206" s="19" t="str">
        <f t="shared" ca="1" si="7"/>
        <v>Brasil</v>
      </c>
      <c r="E206" s="19" t="s">
        <v>226</v>
      </c>
      <c r="F206" s="19" t="s">
        <v>324</v>
      </c>
      <c r="G206" s="19" t="str">
        <f ca="1">Credits!OU8119</f>
        <v>Brasil</v>
      </c>
      <c r="H206" s="19" t="str">
        <f ca="1">Credits!OV8119</f>
        <v>Brazil</v>
      </c>
    </row>
    <row r="207" spans="2:11">
      <c r="B207" s="19">
        <v>9</v>
      </c>
      <c r="C207" s="19">
        <v>30</v>
      </c>
      <c r="D207" s="19" t="str">
        <f t="shared" ca="1" si="7"/>
        <v>Cabo Verde</v>
      </c>
      <c r="E207" s="19" t="s">
        <v>226</v>
      </c>
      <c r="F207" s="19" t="s">
        <v>325</v>
      </c>
      <c r="G207" s="19" t="str">
        <f ca="1">Credits!OU8120</f>
        <v>Cabo Verde</v>
      </c>
      <c r="H207" s="19" t="str">
        <f ca="1">Credits!OV8120</f>
        <v>Cape Verde</v>
      </c>
    </row>
    <row r="208" spans="2:11">
      <c r="B208" s="19">
        <v>10</v>
      </c>
      <c r="C208" s="19">
        <v>5</v>
      </c>
      <c r="D208" s="19" t="str">
        <f t="shared" ca="1" si="7"/>
        <v>Canadá</v>
      </c>
      <c r="E208" s="19" t="s">
        <v>226</v>
      </c>
      <c r="F208" s="19" t="s">
        <v>326</v>
      </c>
      <c r="G208" s="19" t="str">
        <f ca="1">Credits!OU8121</f>
        <v>Canadá</v>
      </c>
      <c r="H208" s="19" t="str">
        <f ca="1">Credits!OV8121</f>
        <v>Canada</v>
      </c>
    </row>
    <row r="209" spans="2:8">
      <c r="B209" s="19">
        <v>11</v>
      </c>
      <c r="C209" s="19">
        <v>7</v>
      </c>
      <c r="D209" s="19" t="str">
        <f t="shared" ca="1" si="7"/>
        <v>Catar</v>
      </c>
      <c r="E209" s="19" t="s">
        <v>226</v>
      </c>
      <c r="F209" s="19" t="s">
        <v>327</v>
      </c>
      <c r="G209" s="19" t="str">
        <f ca="1">Credits!OU8122</f>
        <v>Catar</v>
      </c>
      <c r="H209" s="19" t="str">
        <f ca="1">Credits!OV8122</f>
        <v>Qatar</v>
      </c>
    </row>
    <row r="210" spans="2:8">
      <c r="B210" s="19">
        <v>12</v>
      </c>
      <c r="C210" s="19">
        <v>44</v>
      </c>
      <c r="D210" s="19" t="str">
        <f t="shared" ca="1" si="7"/>
        <v>Colombia</v>
      </c>
      <c r="E210" s="19" t="s">
        <v>226</v>
      </c>
      <c r="F210" s="19" t="s">
        <v>328</v>
      </c>
      <c r="G210" s="19" t="str">
        <f ca="1">Credits!OU8123</f>
        <v>Colombia</v>
      </c>
      <c r="H210" s="19" t="str">
        <f ca="1">Credits!OV8123</f>
        <v>Colombia</v>
      </c>
    </row>
    <row r="211" spans="2:8">
      <c r="B211" s="19">
        <v>13</v>
      </c>
      <c r="C211" s="19">
        <v>3</v>
      </c>
      <c r="D211" s="19" t="str">
        <f t="shared" ca="1" si="7"/>
        <v>Corea del Sur</v>
      </c>
      <c r="E211" s="19" t="s">
        <v>226</v>
      </c>
      <c r="F211" s="19" t="s">
        <v>329</v>
      </c>
      <c r="G211" s="19" t="str">
        <f ca="1">Credits!OU8124</f>
        <v>Corea del Sur</v>
      </c>
      <c r="H211" s="19" t="str">
        <f ca="1">Credits!OV8124</f>
        <v>South Korea</v>
      </c>
    </row>
    <row r="212" spans="2:8">
      <c r="B212" s="19">
        <v>14</v>
      </c>
      <c r="C212" s="19">
        <v>19</v>
      </c>
      <c r="D212" s="19" t="str">
        <f t="shared" ca="1" si="7"/>
        <v>Costa de Marfil</v>
      </c>
      <c r="E212" s="19" t="s">
        <v>226</v>
      </c>
      <c r="F212" s="19" t="s">
        <v>330</v>
      </c>
      <c r="G212" s="19" t="str">
        <f ca="1">Credits!OU8125</f>
        <v>Costa de Marfil</v>
      </c>
      <c r="H212" s="19" t="str">
        <f ca="1">Credits!OV8125</f>
        <v>Ivory Coast</v>
      </c>
    </row>
    <row r="213" spans="2:8">
      <c r="B213" s="19">
        <v>15</v>
      </c>
      <c r="C213" s="19">
        <v>46</v>
      </c>
      <c r="D213" s="19" t="str">
        <f t="shared" ca="1" si="7"/>
        <v>Croacia</v>
      </c>
      <c r="E213" s="19" t="s">
        <v>226</v>
      </c>
      <c r="F213" s="19" t="s">
        <v>331</v>
      </c>
      <c r="G213" s="19" t="str">
        <f ca="1">Credits!OU8126</f>
        <v>Croacia</v>
      </c>
      <c r="H213" s="19" t="str">
        <f ca="1">Credits!OV8126</f>
        <v>Croatia</v>
      </c>
    </row>
    <row r="214" spans="2:8">
      <c r="B214" s="19">
        <v>16</v>
      </c>
      <c r="C214" s="19">
        <v>18</v>
      </c>
      <c r="D214" s="19" t="str">
        <f t="shared" ca="1" si="7"/>
        <v>Curazao</v>
      </c>
      <c r="E214" s="19" t="s">
        <v>226</v>
      </c>
      <c r="F214" s="19" t="s">
        <v>332</v>
      </c>
      <c r="G214" s="19" t="str">
        <f ca="1">Credits!OU8127</f>
        <v>Curazao</v>
      </c>
      <c r="H214" s="19" t="str">
        <f ca="1">Credits!OV8127</f>
        <v>Curaçao</v>
      </c>
    </row>
    <row r="215" spans="2:8">
      <c r="B215" s="19">
        <v>17</v>
      </c>
      <c r="C215" s="19">
        <v>20</v>
      </c>
      <c r="D215" s="19" t="str">
        <f t="shared" ca="1" si="7"/>
        <v>Ecuador</v>
      </c>
      <c r="E215" s="19" t="s">
        <v>226</v>
      </c>
      <c r="F215" s="19" t="s">
        <v>333</v>
      </c>
      <c r="G215" s="19" t="str">
        <f ca="1">Credits!OU8128</f>
        <v>Ecuador</v>
      </c>
      <c r="H215" s="19" t="str">
        <f ca="1">Credits!OV8128</f>
        <v>Ecuador</v>
      </c>
    </row>
    <row r="216" spans="2:8">
      <c r="B216" s="19">
        <v>18</v>
      </c>
      <c r="C216" s="19">
        <v>26</v>
      </c>
      <c r="D216" s="19" t="str">
        <f t="shared" ca="1" si="7"/>
        <v>Egipto</v>
      </c>
      <c r="E216" s="19" t="s">
        <v>226</v>
      </c>
      <c r="F216" s="19" t="s">
        <v>334</v>
      </c>
      <c r="G216" s="19" t="str">
        <f ca="1">Credits!OU8129</f>
        <v>Egipto</v>
      </c>
      <c r="H216" s="19" t="str">
        <f ca="1">Credits!OV8129</f>
        <v>Egypt</v>
      </c>
    </row>
    <row r="217" spans="2:8">
      <c r="B217" s="19">
        <v>19</v>
      </c>
      <c r="C217" s="19">
        <v>12</v>
      </c>
      <c r="D217" s="19" t="str">
        <f t="shared" ca="1" si="7"/>
        <v>Escocia</v>
      </c>
      <c r="E217" s="19" t="s">
        <v>226</v>
      </c>
      <c r="F217" s="19" t="s">
        <v>335</v>
      </c>
      <c r="G217" s="19" t="str">
        <f ca="1">Credits!OU8130</f>
        <v>Escocia</v>
      </c>
      <c r="H217" s="19" t="str">
        <f ca="1">Credits!OV8130</f>
        <v>Scotland</v>
      </c>
    </row>
    <row r="218" spans="2:8">
      <c r="B218" s="19">
        <v>20</v>
      </c>
      <c r="C218" s="19">
        <v>29</v>
      </c>
      <c r="D218" s="19" t="str">
        <f t="shared" ca="1" si="7"/>
        <v>España</v>
      </c>
      <c r="E218" s="19" t="s">
        <v>226</v>
      </c>
      <c r="F218" s="19" t="s">
        <v>336</v>
      </c>
      <c r="G218" s="19" t="str">
        <f ca="1">Credits!OU8131</f>
        <v>España</v>
      </c>
      <c r="H218" s="19" t="str">
        <f ca="1">Credits!OV8131</f>
        <v>Spain</v>
      </c>
    </row>
    <row r="219" spans="2:8">
      <c r="B219" s="19">
        <v>21</v>
      </c>
      <c r="C219" s="19">
        <v>13</v>
      </c>
      <c r="D219" s="19" t="str">
        <f t="shared" ca="1" si="7"/>
        <v>Estados Unidos</v>
      </c>
      <c r="E219" s="19" t="s">
        <v>226</v>
      </c>
      <c r="F219" s="19" t="s">
        <v>337</v>
      </c>
      <c r="G219" s="19" t="str">
        <f ca="1">Credits!OU8132</f>
        <v>Estados Unidos</v>
      </c>
      <c r="H219" s="19" t="str">
        <f ca="1">Credits!OV8132</f>
        <v>United States</v>
      </c>
    </row>
    <row r="220" spans="2:8">
      <c r="B220" s="19">
        <v>22</v>
      </c>
      <c r="C220" s="19">
        <v>33</v>
      </c>
      <c r="D220" s="19" t="str">
        <f t="shared" ca="1" si="7"/>
        <v>Francia</v>
      </c>
      <c r="E220" s="19" t="s">
        <v>226</v>
      </c>
      <c r="F220" s="19" t="s">
        <v>338</v>
      </c>
      <c r="G220" s="19" t="str">
        <f ca="1">Credits!OU8133</f>
        <v>Francia</v>
      </c>
      <c r="H220" s="19" t="str">
        <f ca="1">Credits!OV8133</f>
        <v>France</v>
      </c>
    </row>
    <row r="221" spans="2:8">
      <c r="B221" s="19">
        <v>23</v>
      </c>
      <c r="C221" s="19">
        <v>47</v>
      </c>
      <c r="D221" s="19" t="str">
        <f t="shared" ca="1" si="7"/>
        <v>Ghana</v>
      </c>
      <c r="E221" s="19" t="s">
        <v>226</v>
      </c>
      <c r="F221" s="19" t="s">
        <v>339</v>
      </c>
      <c r="G221" s="19" t="str">
        <f ca="1">Credits!OU8134</f>
        <v>Ghana</v>
      </c>
      <c r="H221" s="19" t="str">
        <f ca="1">Credits!OV8134</f>
        <v>Ghana</v>
      </c>
    </row>
    <row r="222" spans="2:8">
      <c r="B222" s="19">
        <v>24</v>
      </c>
      <c r="C222" s="19">
        <v>11</v>
      </c>
      <c r="D222" s="19" t="str">
        <f t="shared" ca="1" si="7"/>
        <v>Haití</v>
      </c>
      <c r="E222" s="19" t="s">
        <v>226</v>
      </c>
      <c r="F222" s="19" t="s">
        <v>340</v>
      </c>
      <c r="G222" s="19" t="str">
        <f ca="1">Credits!OU8135</f>
        <v>Haití</v>
      </c>
      <c r="H222" s="19" t="str">
        <f ca="1">Credits!OV8135</f>
        <v>Haiti</v>
      </c>
    </row>
    <row r="223" spans="2:8">
      <c r="B223" s="19">
        <v>25</v>
      </c>
      <c r="C223" s="19">
        <v>45</v>
      </c>
      <c r="D223" s="19" t="str">
        <f t="shared" ca="1" si="7"/>
        <v>Inglaterra</v>
      </c>
      <c r="E223" s="19" t="s">
        <v>226</v>
      </c>
      <c r="F223" s="19" t="s">
        <v>341</v>
      </c>
      <c r="G223" s="19" t="str">
        <f ca="1">Credits!OU8136</f>
        <v>Inglaterra</v>
      </c>
      <c r="H223" s="19" t="str">
        <f ca="1">Credits!OV8136</f>
        <v>England</v>
      </c>
    </row>
    <row r="224" spans="2:8">
      <c r="B224" s="19">
        <v>26</v>
      </c>
      <c r="C224" s="19">
        <v>27</v>
      </c>
      <c r="D224" s="19" t="str">
        <f t="shared" ca="1" si="7"/>
        <v>Irán</v>
      </c>
      <c r="E224" s="19" t="s">
        <v>226</v>
      </c>
      <c r="F224" s="19" t="s">
        <v>342</v>
      </c>
      <c r="G224" s="19" t="str">
        <f ca="1">Credits!OU8137</f>
        <v>Irán</v>
      </c>
      <c r="H224" s="19" t="str">
        <f ca="1">Credits!OV8137</f>
        <v>Iran</v>
      </c>
    </row>
    <row r="225" spans="2:8">
      <c r="B225" s="19">
        <v>27</v>
      </c>
      <c r="C225" s="19">
        <v>22</v>
      </c>
      <c r="D225" s="19" t="str">
        <f t="shared" ca="1" si="7"/>
        <v>Japón</v>
      </c>
      <c r="E225" s="19" t="s">
        <v>226</v>
      </c>
      <c r="F225" s="19" t="s">
        <v>343</v>
      </c>
      <c r="G225" s="19" t="str">
        <f ca="1">Credits!OU8138</f>
        <v>Japón</v>
      </c>
      <c r="H225" s="19" t="str">
        <f ca="1">Credits!OV8138</f>
        <v>Japan</v>
      </c>
    </row>
    <row r="226" spans="2:8">
      <c r="B226" s="19">
        <v>28</v>
      </c>
      <c r="C226" s="19">
        <v>40</v>
      </c>
      <c r="D226" s="19" t="str">
        <f t="shared" ca="1" si="7"/>
        <v>Jordania</v>
      </c>
      <c r="E226" s="19" t="s">
        <v>226</v>
      </c>
      <c r="F226" s="19" t="s">
        <v>344</v>
      </c>
      <c r="G226" s="19" t="str">
        <f ca="1">Credits!OU8139</f>
        <v>Jordania</v>
      </c>
      <c r="H226" s="19" t="str">
        <f ca="1">Credits!OV8139</f>
        <v>Jordan</v>
      </c>
    </row>
    <row r="227" spans="2:8">
      <c r="B227" s="19">
        <v>29</v>
      </c>
      <c r="C227" s="19">
        <v>10</v>
      </c>
      <c r="D227" s="19" t="str">
        <f t="shared" ca="1" si="7"/>
        <v>Marruecos</v>
      </c>
      <c r="E227" s="19" t="s">
        <v>226</v>
      </c>
      <c r="F227" s="19" t="s">
        <v>345</v>
      </c>
      <c r="G227" s="19" t="str">
        <f ca="1">Credits!OU8140</f>
        <v>Marruecos</v>
      </c>
      <c r="H227" s="19" t="str">
        <f ca="1">Credits!OV8140</f>
        <v>Morocco</v>
      </c>
    </row>
    <row r="228" spans="2:8">
      <c r="B228" s="19">
        <v>30</v>
      </c>
      <c r="C228" s="19">
        <v>1</v>
      </c>
      <c r="D228" s="19" t="str">
        <f t="shared" ca="1" si="7"/>
        <v>México</v>
      </c>
      <c r="E228" s="19" t="s">
        <v>226</v>
      </c>
      <c r="F228" s="19" t="s">
        <v>346</v>
      </c>
      <c r="G228" s="19" t="str">
        <f ca="1">Credits!OU8141</f>
        <v>México</v>
      </c>
      <c r="H228" s="19" t="str">
        <f ca="1">Credits!OV8141</f>
        <v>Mexico</v>
      </c>
    </row>
    <row r="229" spans="2:8">
      <c r="B229" s="19">
        <v>31</v>
      </c>
      <c r="C229" s="19">
        <v>36</v>
      </c>
      <c r="D229" s="19" t="str">
        <f t="shared" ca="1" si="7"/>
        <v>Noruega</v>
      </c>
      <c r="E229" s="19" t="s">
        <v>226</v>
      </c>
      <c r="F229" s="19" t="s">
        <v>347</v>
      </c>
      <c r="G229" s="19" t="str">
        <f ca="1">Credits!OU8142</f>
        <v>Noruega</v>
      </c>
      <c r="H229" s="19" t="str">
        <f ca="1">Credits!OV8142</f>
        <v>Norway</v>
      </c>
    </row>
    <row r="230" spans="2:8">
      <c r="B230" s="19">
        <v>32</v>
      </c>
      <c r="C230" s="19">
        <v>28</v>
      </c>
      <c r="D230" s="19" t="str">
        <f t="shared" ca="1" si="7"/>
        <v>Nueva Zelanda</v>
      </c>
      <c r="E230" s="19" t="s">
        <v>226</v>
      </c>
      <c r="F230" s="19" t="s">
        <v>348</v>
      </c>
      <c r="G230" s="19" t="str">
        <f ca="1">Credits!OU8143</f>
        <v>Nueva Zelanda</v>
      </c>
      <c r="H230" s="19" t="str">
        <f ca="1">Credits!OV8143</f>
        <v>New Zealand</v>
      </c>
    </row>
    <row r="231" spans="2:8">
      <c r="B231" s="19">
        <v>33</v>
      </c>
      <c r="C231" s="19">
        <v>21</v>
      </c>
      <c r="D231" s="19" t="str">
        <f t="shared" ca="1" si="7"/>
        <v>Países Bajos</v>
      </c>
      <c r="E231" s="19" t="s">
        <v>226</v>
      </c>
      <c r="F231" s="19" t="s">
        <v>349</v>
      </c>
      <c r="G231" s="19" t="str">
        <f ca="1">Credits!OU8144</f>
        <v>Países Bajos</v>
      </c>
      <c r="H231" s="19" t="str">
        <f ca="1">Credits!OV8144</f>
        <v>Netherlands</v>
      </c>
    </row>
    <row r="232" spans="2:8">
      <c r="B232" s="19">
        <v>34</v>
      </c>
      <c r="C232" s="19">
        <v>48</v>
      </c>
      <c r="D232" s="19" t="str">
        <f t="shared" ca="1" si="7"/>
        <v>Panamá</v>
      </c>
      <c r="E232" s="19" t="s">
        <v>226</v>
      </c>
      <c r="F232" s="19" t="s">
        <v>350</v>
      </c>
      <c r="G232" s="19" t="str">
        <f ca="1">Credits!OU8145</f>
        <v>Panamá</v>
      </c>
      <c r="H232" s="19" t="str">
        <f ca="1">Credits!OV8145</f>
        <v>Panama</v>
      </c>
    </row>
    <row r="233" spans="2:8">
      <c r="B233" s="19">
        <v>35</v>
      </c>
      <c r="C233" s="19">
        <v>14</v>
      </c>
      <c r="D233" s="19" t="str">
        <f t="shared" ca="1" si="7"/>
        <v>Paraguay</v>
      </c>
      <c r="E233" s="19" t="s">
        <v>226</v>
      </c>
      <c r="F233" s="19" t="s">
        <v>351</v>
      </c>
      <c r="G233" s="19" t="str">
        <f ca="1">Credits!OU8146</f>
        <v>Paraguay</v>
      </c>
      <c r="H233" s="19" t="str">
        <f ca="1">Credits!OV8146</f>
        <v>Paraguay</v>
      </c>
    </row>
    <row r="234" spans="2:8">
      <c r="B234" s="19">
        <v>36</v>
      </c>
      <c r="C234" s="19">
        <v>41</v>
      </c>
      <c r="D234" s="19" t="str">
        <f t="shared" ca="1" si="7"/>
        <v>Portugal</v>
      </c>
      <c r="E234" s="19" t="s">
        <v>226</v>
      </c>
      <c r="F234" s="19" t="s">
        <v>352</v>
      </c>
      <c r="G234" s="19" t="str">
        <f ca="1">Credits!OU8147</f>
        <v>Portugal</v>
      </c>
      <c r="H234" s="19" t="str">
        <f ca="1">Credits!OV8147</f>
        <v>Portugal</v>
      </c>
    </row>
    <row r="235" spans="2:8">
      <c r="B235" s="19">
        <v>37</v>
      </c>
      <c r="C235" s="19">
        <v>34</v>
      </c>
      <c r="D235" s="19" t="str">
        <f t="shared" ca="1" si="7"/>
        <v>Senegal</v>
      </c>
      <c r="E235" s="19" t="s">
        <v>226</v>
      </c>
      <c r="F235" s="19" t="s">
        <v>353</v>
      </c>
      <c r="G235" s="19" t="str">
        <f ca="1">Credits!OU8148</f>
        <v>Senegal</v>
      </c>
      <c r="H235" s="19" t="str">
        <f ca="1">Credits!OV8148</f>
        <v>Senegal</v>
      </c>
    </row>
    <row r="236" spans="2:8">
      <c r="B236" s="19">
        <v>38</v>
      </c>
      <c r="C236" s="19">
        <v>2</v>
      </c>
      <c r="D236" s="19" t="str">
        <f t="shared" ca="1" si="7"/>
        <v>Sudáfrica</v>
      </c>
      <c r="E236" s="19" t="s">
        <v>226</v>
      </c>
      <c r="F236" s="19" t="s">
        <v>354</v>
      </c>
      <c r="G236" s="19" t="str">
        <f ca="1">Credits!OU8149</f>
        <v>Sudáfrica</v>
      </c>
      <c r="H236" s="19" t="str">
        <f ca="1">Credits!OV8149</f>
        <v>South Africa</v>
      </c>
    </row>
    <row r="237" spans="2:8">
      <c r="B237" s="19">
        <v>39</v>
      </c>
      <c r="C237" s="19">
        <v>8</v>
      </c>
      <c r="D237" s="19" t="str">
        <f t="shared" ca="1" si="7"/>
        <v>Suiza</v>
      </c>
      <c r="E237" s="19" t="s">
        <v>226</v>
      </c>
      <c r="F237" s="19" t="s">
        <v>355</v>
      </c>
      <c r="G237" s="19" t="str">
        <f ca="1">Credits!OU8150</f>
        <v>Suiza</v>
      </c>
      <c r="H237" s="19" t="str">
        <f ca="1">Credits!OV8150</f>
        <v>Switzerland</v>
      </c>
    </row>
    <row r="238" spans="2:8">
      <c r="B238" s="19">
        <v>40</v>
      </c>
      <c r="C238" s="19">
        <v>24</v>
      </c>
      <c r="D238" s="19" t="str">
        <f t="shared" ca="1" si="7"/>
        <v>Túnez</v>
      </c>
      <c r="E238" s="19" t="s">
        <v>226</v>
      </c>
      <c r="F238" s="19" t="s">
        <v>356</v>
      </c>
      <c r="G238" s="19" t="str">
        <f ca="1">Credits!OU8151</f>
        <v>Túnez</v>
      </c>
      <c r="H238" s="19" t="str">
        <f ca="1">Credits!OV8151</f>
        <v>Tunisia</v>
      </c>
    </row>
    <row r="239" spans="2:8">
      <c r="B239" s="19">
        <v>41</v>
      </c>
      <c r="C239" s="19">
        <v>32</v>
      </c>
      <c r="D239" s="19" t="str">
        <f t="shared" ca="1" si="7"/>
        <v>Uruguay</v>
      </c>
      <c r="E239" s="19" t="s">
        <v>226</v>
      </c>
      <c r="F239" s="19" t="s">
        <v>357</v>
      </c>
      <c r="G239" s="19" t="str">
        <f ca="1">Credits!OU8152</f>
        <v>Uruguay</v>
      </c>
      <c r="H239" s="19" t="str">
        <f ca="1">Credits!OV8152</f>
        <v>Uruguay</v>
      </c>
    </row>
    <row r="240" spans="2:8">
      <c r="B240" s="19">
        <v>42</v>
      </c>
      <c r="C240" s="19">
        <v>43</v>
      </c>
      <c r="D240" s="19" t="str">
        <f t="shared" ca="1" si="7"/>
        <v>Uzbekistán</v>
      </c>
      <c r="E240" s="19" t="s">
        <v>226</v>
      </c>
      <c r="F240" s="19" t="s">
        <v>358</v>
      </c>
      <c r="G240" s="19" t="str">
        <f ca="1">Credits!OU8153</f>
        <v>Uzbekistán</v>
      </c>
      <c r="H240" s="19" t="str">
        <f ca="1">Credits!OV8153</f>
        <v>Uzbekistan</v>
      </c>
    </row>
    <row r="241" spans="2:8">
      <c r="B241" s="19">
        <v>43</v>
      </c>
      <c r="C241" s="19">
        <v>42</v>
      </c>
      <c r="D241" s="19" t="str">
        <f t="shared" ca="1" si="7"/>
        <v>PO 1: COD/JAM/NCL</v>
      </c>
      <c r="E241" s="19" t="s">
        <v>226</v>
      </c>
      <c r="F241" s="19" t="s">
        <v>359</v>
      </c>
      <c r="G241" s="19" t="str">
        <f ca="1">Credits!OU8154</f>
        <v>PO 1: COD/JAM/NCL</v>
      </c>
      <c r="H241" s="19" t="str">
        <f ca="1">Credits!OV8154</f>
        <v>PO 1: COD/JAM/NCL</v>
      </c>
    </row>
    <row r="242" spans="2:8">
      <c r="B242" s="19">
        <v>44</v>
      </c>
      <c r="C242" s="19">
        <v>35</v>
      </c>
      <c r="D242" s="19" t="str">
        <f t="shared" ca="1" si="7"/>
        <v>PO 2: IRQ/BOL/SUR</v>
      </c>
      <c r="E242" s="19" t="s">
        <v>226</v>
      </c>
      <c r="F242" s="19" t="s">
        <v>360</v>
      </c>
      <c r="G242" s="19" t="str">
        <f ca="1">Credits!OU8155</f>
        <v>PO 2: IRQ/BOL/SUR</v>
      </c>
      <c r="H242" s="19" t="str">
        <f ca="1">Credits!OV8155</f>
        <v>PO 2: IRQ/BOL/SUR</v>
      </c>
    </row>
    <row r="243" spans="2:8">
      <c r="B243" s="19">
        <v>45</v>
      </c>
      <c r="C243" s="19">
        <v>6</v>
      </c>
      <c r="D243" s="19" t="str">
        <f t="shared" ca="1" si="7"/>
        <v>PO A: ITA/NIR/WAL/BIH</v>
      </c>
      <c r="E243" s="19" t="s">
        <v>226</v>
      </c>
      <c r="F243" s="19" t="s">
        <v>361</v>
      </c>
      <c r="G243" s="19" t="str">
        <f ca="1">Credits!OU8156</f>
        <v>PO A: ITA/NIR/WAL/BIH</v>
      </c>
      <c r="H243" s="19" t="str">
        <f ca="1">Credits!OV8156</f>
        <v>PO A: ITA/NIR/WAL/BIH</v>
      </c>
    </row>
    <row r="244" spans="2:8">
      <c r="B244" s="19">
        <v>46</v>
      </c>
      <c r="C244" s="19">
        <v>23</v>
      </c>
      <c r="D244" s="19" t="str">
        <f t="shared" ca="1" si="7"/>
        <v>PO B: UKR/SWE/POL/ALB</v>
      </c>
      <c r="E244" s="19" t="s">
        <v>226</v>
      </c>
      <c r="F244" s="19" t="s">
        <v>362</v>
      </c>
      <c r="G244" s="19" t="str">
        <f ca="1">Credits!OU8157</f>
        <v>PO B: UKR/SWE/POL/ALB</v>
      </c>
      <c r="H244" s="19" t="str">
        <f ca="1">Credits!OV8157</f>
        <v>PO B: UKR/SWE/POL/ALB</v>
      </c>
    </row>
    <row r="245" spans="2:8">
      <c r="B245" s="19">
        <v>47</v>
      </c>
      <c r="C245" s="19">
        <v>16</v>
      </c>
      <c r="D245" s="19" t="str">
        <f t="shared" ca="1" si="7"/>
        <v>PO C: TUR/ROU/SVK/KOS</v>
      </c>
      <c r="E245" s="19" t="s">
        <v>226</v>
      </c>
      <c r="F245" s="19" t="s">
        <v>363</v>
      </c>
      <c r="G245" s="19" t="str">
        <f ca="1">Credits!OU8158</f>
        <v>PO C: TUR/ROU/SVK/KOS</v>
      </c>
      <c r="H245" s="19" t="str">
        <f ca="1">Credits!OV8158</f>
        <v>PO C: TUR/ROU/SVK/KOS</v>
      </c>
    </row>
    <row r="246" spans="2:8">
      <c r="B246" s="19">
        <v>48</v>
      </c>
      <c r="C246" s="19">
        <v>4</v>
      </c>
      <c r="D246" s="19" t="str">
        <f t="shared" ca="1" si="7"/>
        <v>PO D: DEN/MKD/CZE/IRL</v>
      </c>
      <c r="E246" s="19" t="s">
        <v>226</v>
      </c>
      <c r="F246" s="19" t="s">
        <v>364</v>
      </c>
      <c r="G246" s="19" t="str">
        <f ca="1">Credits!OU8159</f>
        <v>PO D: DEN/MKD/CZE/IRL</v>
      </c>
      <c r="H246" s="19" t="str">
        <f ca="1">Credits!OV8159</f>
        <v>PO D: DEN/MKD/CZE/IRL</v>
      </c>
    </row>
    <row r="249" spans="2:8">
      <c r="C249" s="19" t="s">
        <v>1474</v>
      </c>
      <c r="D249" s="19" t="str">
        <f t="shared" ref="D249" si="8">IF($B$2,G249,H249)</f>
        <v>Estados Unidos</v>
      </c>
      <c r="E249" s="19" t="s">
        <v>391</v>
      </c>
      <c r="F249" s="19" t="s">
        <v>392</v>
      </c>
      <c r="G249" s="19" t="s">
        <v>514</v>
      </c>
      <c r="H249" s="19" t="s">
        <v>515</v>
      </c>
    </row>
    <row r="252" spans="2:8">
      <c r="D252" s="19" t="str">
        <f t="shared" ref="D252:D267" si="9">IF($B$2,G252,H252)</f>
        <v>Campeón</v>
      </c>
      <c r="E252" s="19" t="s">
        <v>1255</v>
      </c>
      <c r="G252" s="19" t="s">
        <v>19</v>
      </c>
      <c r="H252" s="419" t="s">
        <v>236</v>
      </c>
    </row>
    <row r="253" spans="2:8">
      <c r="D253" s="19" t="str">
        <f t="shared" si="9"/>
        <v>Subcampeón</v>
      </c>
      <c r="E253" s="19" t="s">
        <v>1255</v>
      </c>
      <c r="G253" s="19" t="s">
        <v>20</v>
      </c>
      <c r="H253" s="19" t="s">
        <v>237</v>
      </c>
    </row>
    <row r="254" spans="2:8">
      <c r="D254" s="19" t="str">
        <f t="shared" si="9"/>
        <v>3º puesto</v>
      </c>
      <c r="E254" s="19" t="s">
        <v>1255</v>
      </c>
      <c r="G254" s="19" t="s">
        <v>1247</v>
      </c>
      <c r="H254" s="19" t="s">
        <v>1248</v>
      </c>
    </row>
    <row r="255" spans="2:8">
      <c r="D255" s="19" t="str">
        <f t="shared" si="9"/>
        <v>Semifinales</v>
      </c>
      <c r="E255" s="19" t="s">
        <v>1255</v>
      </c>
      <c r="G255" s="19" t="s">
        <v>38</v>
      </c>
      <c r="H255" s="419" t="s">
        <v>234</v>
      </c>
    </row>
    <row r="256" spans="2:8">
      <c r="D256" s="19" t="str">
        <f t="shared" si="9"/>
        <v>Cuartos de final</v>
      </c>
      <c r="E256" s="19" t="s">
        <v>1255</v>
      </c>
      <c r="G256" s="19" t="s">
        <v>71</v>
      </c>
      <c r="H256" s="419" t="s">
        <v>233</v>
      </c>
    </row>
    <row r="257" spans="4:8">
      <c r="D257" s="19" t="str">
        <f t="shared" si="9"/>
        <v>Octavos de final</v>
      </c>
      <c r="E257" s="19" t="s">
        <v>1255</v>
      </c>
      <c r="G257" s="19" t="s">
        <v>89</v>
      </c>
      <c r="H257" s="419" t="s">
        <v>232</v>
      </c>
    </row>
    <row r="258" spans="4:8">
      <c r="D258" s="19" t="str">
        <f t="shared" si="9"/>
        <v>Dieciseisavos de final</v>
      </c>
      <c r="E258" s="19" t="s">
        <v>1255</v>
      </c>
      <c r="G258" s="19" t="s">
        <v>498</v>
      </c>
      <c r="H258" s="19" t="s">
        <v>499</v>
      </c>
    </row>
    <row r="259" spans="4:8">
      <c r="D259" s="19" t="str">
        <f t="shared" si="9"/>
        <v>Fase de grupos</v>
      </c>
      <c r="E259" s="19" t="s">
        <v>1255</v>
      </c>
      <c r="G259" s="19" t="s">
        <v>1256</v>
      </c>
      <c r="H259" s="419" t="s">
        <v>1257</v>
      </c>
    </row>
    <row r="260" spans="4:8">
      <c r="D260" s="19" t="str">
        <f t="shared" si="9"/>
        <v>Pronóstica la ronda</v>
      </c>
      <c r="E260" s="19" t="s">
        <v>1255</v>
      </c>
      <c r="G260" s="419" t="s">
        <v>1249</v>
      </c>
      <c r="H260" s="419" t="s">
        <v>1250</v>
      </c>
    </row>
    <row r="261" spans="4:8">
      <c r="D261" s="19" t="str">
        <f t="shared" si="9"/>
        <v>Predice la selección</v>
      </c>
      <c r="E261" s="19" t="s">
        <v>1255</v>
      </c>
      <c r="G261" s="419" t="s">
        <v>1258</v>
      </c>
      <c r="H261" s="419" t="s">
        <v>1259</v>
      </c>
    </row>
    <row r="262" spans="4:8">
      <c r="D262" s="19" t="str">
        <f t="shared" si="9"/>
        <v>Ronda</v>
      </c>
      <c r="E262" s="19" t="s">
        <v>1255</v>
      </c>
      <c r="G262" s="419" t="s">
        <v>1251</v>
      </c>
      <c r="H262" s="419" t="s">
        <v>1252</v>
      </c>
    </row>
    <row r="263" spans="4:8">
      <c r="D263" s="19" t="str">
        <f t="shared" si="9"/>
        <v>·Selecciona para cada ronda el la selección o selecciones que crees que van a llegar hasta esa ronda.</v>
      </c>
      <c r="E263" s="19" t="s">
        <v>1255</v>
      </c>
      <c r="G263" s="19" t="s">
        <v>1260</v>
      </c>
      <c r="H263" s="419" t="s">
        <v>1266</v>
      </c>
    </row>
    <row r="264" spans="4:8">
      <c r="D264" s="19" t="str">
        <f t="shared" si="9"/>
        <v>·Una vez elijas una selección, dejará de aparecer en la lista</v>
      </c>
      <c r="E264" s="19" t="s">
        <v>1255</v>
      </c>
      <c r="G264" s="19" t="s">
        <v>1267</v>
      </c>
      <c r="H264" s="419" t="s">
        <v>1265</v>
      </c>
    </row>
    <row r="265" spans="4:8">
      <c r="D265" s="19" t="str">
        <f t="shared" si="9"/>
        <v xml:space="preserve">·Si has rellenado todos y quieres hacer un cambio, </v>
      </c>
      <c r="E265" s="19" t="s">
        <v>1255</v>
      </c>
      <c r="G265" s="19" t="s">
        <v>1253</v>
      </c>
      <c r="H265" s="419" t="s">
        <v>1254</v>
      </c>
    </row>
    <row r="266" spans="4:8">
      <c r="D266" s="19" t="str">
        <f t="shared" si="9"/>
        <v xml:space="preserve"> borra las selecciones que quieras cambiar y podrás volver a elegirlas</v>
      </c>
      <c r="E266" s="19" t="s">
        <v>1255</v>
      </c>
      <c r="G266" s="19" t="s">
        <v>1261</v>
      </c>
      <c r="H266" s="419" t="s">
        <v>1264</v>
      </c>
    </row>
    <row r="267" spans="4:8">
      <c r="D267" s="19" t="str">
        <f t="shared" si="9"/>
        <v>Rellenar antes del comienzo del Mundial</v>
      </c>
      <c r="E267" s="19" t="s">
        <v>1255</v>
      </c>
      <c r="G267" s="19" t="s">
        <v>1262</v>
      </c>
      <c r="H267" s="419" t="s">
        <v>1263</v>
      </c>
    </row>
    <row r="268" spans="4:8">
      <c r="D268" s="19" t="str">
        <f t="shared" ref="D268" si="10">IF($B$2,G268,H268)</f>
        <v>·Si en tu grupo no vais a usar el predictor, puedes dejarlo sin rellenar</v>
      </c>
      <c r="E268" s="19" t="s">
        <v>1255</v>
      </c>
      <c r="G268" s="19" t="s">
        <v>1380</v>
      </c>
      <c r="H268" s="19" t="s">
        <v>1381</v>
      </c>
    </row>
    <row r="919" spans="4:4">
      <c r="D919" s="19" t="s">
        <v>1339</v>
      </c>
    </row>
    <row r="920" spans="4:4">
      <c r="D920" s="19" t="s">
        <v>1356</v>
      </c>
    </row>
  </sheetData>
  <sheetProtection algorithmName="SHA-512" hashValue="A/2fIPeWSxghsedSo3KCkEQLplX2gPdypB6IGYeKpOdBZ/m34aqAdoJlkhTCjk42CclNSiDr+7ghgOpPKGg6Hw==" saltValue="15JI+TGlQogj2goXZt213g==" spinCount="100000" sheet="1" objects="1" scenarios="1" selectLockedCells="1" selectUnlockedCells="1"/>
  <phoneticPr fontId="13" type="noConversion"/>
  <conditionalFormatting sqref="C199:C246">
    <cfRule type="duplicateValues" dxfId="2"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9" bestFit="1" customWidth="1"/>
    <col min="2" max="2" width="6" style="19" bestFit="1" customWidth="1"/>
    <col min="3" max="13" width="10.77734375" style="19"/>
    <col min="14" max="14" width="9.44140625" style="19" bestFit="1" customWidth="1"/>
    <col min="15" max="15" width="6.44140625" style="19" bestFit="1" customWidth="1"/>
    <col min="16" max="16384" width="10.77734375" style="19"/>
  </cols>
  <sheetData>
    <row r="1" spans="1:23">
      <c r="A1" s="428" t="s">
        <v>85</v>
      </c>
      <c r="B1" s="428" t="s">
        <v>86</v>
      </c>
      <c r="C1" s="424" t="s">
        <v>0</v>
      </c>
      <c r="D1" s="424" t="s">
        <v>1</v>
      </c>
      <c r="E1" s="424" t="s">
        <v>75</v>
      </c>
      <c r="F1" s="424" t="s">
        <v>3</v>
      </c>
      <c r="G1" s="424" t="s">
        <v>6</v>
      </c>
      <c r="H1" s="424" t="s">
        <v>455</v>
      </c>
      <c r="I1" s="424" t="s">
        <v>456</v>
      </c>
      <c r="J1" s="424" t="s">
        <v>254</v>
      </c>
      <c r="N1" s="19" t="s">
        <v>783</v>
      </c>
      <c r="O1" s="430" t="s">
        <v>1382</v>
      </c>
      <c r="P1" s="430" t="s">
        <v>664</v>
      </c>
      <c r="Q1" s="430" t="s">
        <v>667</v>
      </c>
      <c r="R1" s="430" t="s">
        <v>677</v>
      </c>
      <c r="S1" s="430" t="s">
        <v>680</v>
      </c>
      <c r="T1" s="430" t="s">
        <v>686</v>
      </c>
      <c r="U1" s="430" t="s">
        <v>692</v>
      </c>
      <c r="V1" s="430" t="s">
        <v>698</v>
      </c>
      <c r="W1" s="430" t="s">
        <v>701</v>
      </c>
    </row>
    <row r="2" spans="1:23">
      <c r="A2" s="10" t="s">
        <v>496</v>
      </c>
      <c r="B2" s="10">
        <f ca="1">+IF(A2=WORLDCUP!$BI$112,1,0)</f>
        <v>0</v>
      </c>
      <c r="C2" s="10" t="str">
        <f ca="1">+WORLDCUP!BD62</f>
        <v>Curazao</v>
      </c>
      <c r="D2" s="10" t="str">
        <f ca="1">+WORLDCUP!BD67</f>
        <v>Argelia</v>
      </c>
      <c r="E2" s="10" t="str">
        <f ca="1">+WORLDCUP!BD66</f>
        <v>Noruega</v>
      </c>
      <c r="F2" s="10" t="str">
        <f ca="1">+WORLDCUP!BD63</f>
        <v>Japón</v>
      </c>
      <c r="G2" s="10" t="str">
        <f ca="1">+WORLDCUP!BD65</f>
        <v>Arabia Saudita</v>
      </c>
      <c r="H2" s="10" t="str">
        <f ca="1">+WORLDCUP!BD64</f>
        <v>Egipto</v>
      </c>
      <c r="I2" s="10" t="str">
        <f ca="1">+WORLDCUP!BD69</f>
        <v>Ghana</v>
      </c>
      <c r="J2" s="10" t="str">
        <f ca="1">+WORLDCUP!BD68</f>
        <v>PO 1: COD/JAM/NCL</v>
      </c>
      <c r="L2" s="19" t="str">
        <f>+ROW()&amp;"."&amp;COLUMN()</f>
        <v>2.12</v>
      </c>
      <c r="N2" s="19" t="s">
        <v>496</v>
      </c>
      <c r="O2" s="19">
        <v>1</v>
      </c>
      <c r="P2" s="19" t="s">
        <v>95</v>
      </c>
      <c r="Q2" s="19" t="s">
        <v>458</v>
      </c>
      <c r="R2" s="19" t="s">
        <v>457</v>
      </c>
      <c r="S2" s="19" t="s">
        <v>96</v>
      </c>
      <c r="T2" s="19" t="s">
        <v>453</v>
      </c>
      <c r="U2" s="19" t="s">
        <v>452</v>
      </c>
      <c r="V2" s="19" t="s">
        <v>460</v>
      </c>
      <c r="W2" s="19" t="s">
        <v>459</v>
      </c>
    </row>
    <row r="3" spans="1:23">
      <c r="A3" s="10" t="s">
        <v>630</v>
      </c>
      <c r="B3" s="10">
        <f ca="1">+IF(A3=WORLDCUP!$BI$112,1,0)</f>
        <v>0</v>
      </c>
      <c r="C3" s="10" t="str">
        <f ca="1">+WORLDCUP!BD65</f>
        <v>Arabia Saudita</v>
      </c>
      <c r="D3" s="10" t="str">
        <f ca="1">+WORLDCUP!BD64</f>
        <v>Egipto</v>
      </c>
      <c r="E3" s="10" t="str">
        <f ca="1">+WORLDCUP!BD66</f>
        <v>Noruega</v>
      </c>
      <c r="F3" s="10" t="str">
        <f ca="1">+WORLDCUP!BD61</f>
        <v>Australia</v>
      </c>
      <c r="G3" s="10" t="str">
        <f ca="1">+WORLDCUP!BD67</f>
        <v>Argelia</v>
      </c>
      <c r="H3" s="10" t="str">
        <f ca="1">+WORLDCUP!BD63</f>
        <v>Japón</v>
      </c>
      <c r="I3" s="10" t="str">
        <f ca="1">+WORLDCUP!BD69</f>
        <v>Ghana</v>
      </c>
      <c r="J3" s="10" t="str">
        <f ca="1">+WORLDCUP!BD68</f>
        <v>PO 1: COD/JAM/NCL</v>
      </c>
      <c r="N3" s="19" t="s">
        <v>630</v>
      </c>
      <c r="O3" s="19">
        <v>2</v>
      </c>
      <c r="P3" s="19" t="s">
        <v>453</v>
      </c>
      <c r="Q3" s="19" t="s">
        <v>452</v>
      </c>
      <c r="R3" s="19" t="s">
        <v>457</v>
      </c>
      <c r="S3" s="19" t="s">
        <v>94</v>
      </c>
      <c r="T3" s="19" t="s">
        <v>458</v>
      </c>
      <c r="U3" s="19" t="s">
        <v>96</v>
      </c>
      <c r="V3" s="19" t="s">
        <v>460</v>
      </c>
      <c r="W3" s="19" t="s">
        <v>459</v>
      </c>
    </row>
    <row r="4" spans="1:23">
      <c r="A4" s="10" t="s">
        <v>1209</v>
      </c>
      <c r="B4" s="10">
        <f ca="1">+IF(A4=WORLDCUP!$BI$112,1,0)</f>
        <v>0</v>
      </c>
      <c r="C4" s="10" t="str">
        <f ca="1">+WORLDCUP!BD62</f>
        <v>Curazao</v>
      </c>
      <c r="D4" s="10" t="str">
        <f ca="1">+WORLDCUP!BD67</f>
        <v>Argelia</v>
      </c>
      <c r="E4" s="10" t="str">
        <f ca="1">+WORLDCUP!BD66</f>
        <v>Noruega</v>
      </c>
      <c r="F4" s="10" t="str">
        <f ca="1">+WORLDCUP!BD61</f>
        <v>Australia</v>
      </c>
      <c r="G4" s="10" t="str">
        <f ca="1">+WORLDCUP!BD65</f>
        <v>Arabia Saudita</v>
      </c>
      <c r="H4" s="10" t="str">
        <f ca="1">+WORLDCUP!BD64</f>
        <v>Egipto</v>
      </c>
      <c r="I4" s="10" t="str">
        <f ca="1">+WORLDCUP!BD69</f>
        <v>Ghana</v>
      </c>
      <c r="J4" s="10" t="str">
        <f ca="1">+WORLDCUP!BD68</f>
        <v>PO 1: COD/JAM/NCL</v>
      </c>
      <c r="N4" s="19" t="s">
        <v>1209</v>
      </c>
      <c r="O4" s="19">
        <v>3</v>
      </c>
      <c r="P4" s="19" t="s">
        <v>95</v>
      </c>
      <c r="Q4" s="19" t="s">
        <v>458</v>
      </c>
      <c r="R4" s="19" t="s">
        <v>457</v>
      </c>
      <c r="S4" s="19" t="s">
        <v>94</v>
      </c>
      <c r="T4" s="19" t="s">
        <v>453</v>
      </c>
      <c r="U4" s="19" t="s">
        <v>452</v>
      </c>
      <c r="V4" s="19" t="s">
        <v>460</v>
      </c>
      <c r="W4" s="19" t="s">
        <v>459</v>
      </c>
    </row>
    <row r="5" spans="1:23">
      <c r="A5" s="10" t="s">
        <v>1208</v>
      </c>
      <c r="B5" s="10">
        <f ca="1">+IF(A5=WORLDCUP!$BI$112,1,0)</f>
        <v>0</v>
      </c>
      <c r="C5" s="10" t="str">
        <f ca="1">+WORLDCUP!BD62</f>
        <v>Curazao</v>
      </c>
      <c r="D5" s="10" t="str">
        <f ca="1">+WORLDCUP!BD67</f>
        <v>Argelia</v>
      </c>
      <c r="E5" s="10" t="str">
        <f ca="1">+WORLDCUP!BD66</f>
        <v>Noruega</v>
      </c>
      <c r="F5" s="10" t="str">
        <f ca="1">+WORLDCUP!BD61</f>
        <v>Australia</v>
      </c>
      <c r="G5" s="10" t="str">
        <f ca="1">+WORLDCUP!BD65</f>
        <v>Arabia Saudita</v>
      </c>
      <c r="H5" s="10" t="str">
        <f ca="1">+WORLDCUP!BD63</f>
        <v>Japón</v>
      </c>
      <c r="I5" s="10" t="str">
        <f ca="1">+WORLDCUP!BD69</f>
        <v>Ghana</v>
      </c>
      <c r="J5" s="10" t="str">
        <f ca="1">+WORLDCUP!BD68</f>
        <v>PO 1: COD/JAM/NCL</v>
      </c>
      <c r="N5" s="19" t="s">
        <v>1208</v>
      </c>
      <c r="O5" s="19">
        <v>4</v>
      </c>
      <c r="P5" s="19" t="s">
        <v>95</v>
      </c>
      <c r="Q5" s="19" t="s">
        <v>458</v>
      </c>
      <c r="R5" s="19" t="s">
        <v>457</v>
      </c>
      <c r="S5" s="19" t="s">
        <v>94</v>
      </c>
      <c r="T5" s="19" t="s">
        <v>453</v>
      </c>
      <c r="U5" s="19" t="s">
        <v>96</v>
      </c>
      <c r="V5" s="19" t="s">
        <v>460</v>
      </c>
      <c r="W5" s="19" t="s">
        <v>459</v>
      </c>
    </row>
    <row r="6" spans="1:23">
      <c r="A6" s="10" t="s">
        <v>1207</v>
      </c>
      <c r="B6" s="10">
        <f ca="1">+IF(A6=WORLDCUP!$BI$112,1,0)</f>
        <v>0</v>
      </c>
      <c r="C6" s="10" t="str">
        <f ca="1">+WORLDCUP!BD62</f>
        <v>Curazao</v>
      </c>
      <c r="D6" s="10" t="str">
        <f ca="1">+WORLDCUP!BD64</f>
        <v>Egipto</v>
      </c>
      <c r="E6" s="10" t="str">
        <f ca="1">+WORLDCUP!BD66</f>
        <v>Noruega</v>
      </c>
      <c r="F6" s="10" t="str">
        <f ca="1">+WORLDCUP!BD61</f>
        <v>Australia</v>
      </c>
      <c r="G6" s="10" t="str">
        <f ca="1">+WORLDCUP!BD67</f>
        <v>Argelia</v>
      </c>
      <c r="H6" s="10" t="str">
        <f ca="1">+WORLDCUP!BD63</f>
        <v>Japón</v>
      </c>
      <c r="I6" s="10" t="str">
        <f ca="1">+WORLDCUP!BD69</f>
        <v>Ghana</v>
      </c>
      <c r="J6" s="10" t="str">
        <f ca="1">+WORLDCUP!BD68</f>
        <v>PO 1: COD/JAM/NCL</v>
      </c>
      <c r="N6" s="19" t="s">
        <v>1207</v>
      </c>
      <c r="O6" s="19">
        <v>5</v>
      </c>
      <c r="P6" s="19" t="s">
        <v>95</v>
      </c>
      <c r="Q6" s="19" t="s">
        <v>452</v>
      </c>
      <c r="R6" s="19" t="s">
        <v>457</v>
      </c>
      <c r="S6" s="19" t="s">
        <v>94</v>
      </c>
      <c r="T6" s="19" t="s">
        <v>458</v>
      </c>
      <c r="U6" s="19" t="s">
        <v>96</v>
      </c>
      <c r="V6" s="19" t="s">
        <v>460</v>
      </c>
      <c r="W6" s="19" t="s">
        <v>459</v>
      </c>
    </row>
    <row r="7" spans="1:23">
      <c r="A7" s="10" t="s">
        <v>1206</v>
      </c>
      <c r="B7" s="10">
        <f ca="1">+IF(A7=WORLDCUP!$BI$112,1,0)</f>
        <v>0</v>
      </c>
      <c r="C7" s="10" t="str">
        <f ca="1">+WORLDCUP!BD62</f>
        <v>Curazao</v>
      </c>
      <c r="D7" s="10" t="str">
        <f ca="1">+WORLDCUP!BD64</f>
        <v>Egipto</v>
      </c>
      <c r="E7" s="10" t="str">
        <f ca="1">+WORLDCUP!BD67</f>
        <v>Argelia</v>
      </c>
      <c r="F7" s="10" t="str">
        <f ca="1">+WORLDCUP!BD61</f>
        <v>Australia</v>
      </c>
      <c r="G7" s="10" t="str">
        <f ca="1">+WORLDCUP!BD65</f>
        <v>Arabia Saudita</v>
      </c>
      <c r="H7" s="10" t="str">
        <f ca="1">+WORLDCUP!BD63</f>
        <v>Japón</v>
      </c>
      <c r="I7" s="10" t="str">
        <f ca="1">+WORLDCUP!BD69</f>
        <v>Ghana</v>
      </c>
      <c r="J7" s="10" t="str">
        <f ca="1">+WORLDCUP!BD68</f>
        <v>PO 1: COD/JAM/NCL</v>
      </c>
      <c r="N7" s="19" t="s">
        <v>1206</v>
      </c>
      <c r="O7" s="19">
        <v>6</v>
      </c>
      <c r="P7" s="19" t="s">
        <v>95</v>
      </c>
      <c r="Q7" s="19" t="s">
        <v>452</v>
      </c>
      <c r="R7" s="19" t="s">
        <v>458</v>
      </c>
      <c r="S7" s="19" t="s">
        <v>94</v>
      </c>
      <c r="T7" s="19" t="s">
        <v>453</v>
      </c>
      <c r="U7" s="19" t="s">
        <v>96</v>
      </c>
      <c r="V7" s="19" t="s">
        <v>460</v>
      </c>
      <c r="W7" s="19" t="s">
        <v>459</v>
      </c>
    </row>
    <row r="8" spans="1:23">
      <c r="A8" s="10" t="s">
        <v>495</v>
      </c>
      <c r="B8" s="10">
        <f ca="1">+IF(A8=WORLDCUP!$BI$112,1,0)</f>
        <v>0</v>
      </c>
      <c r="C8" s="10" t="str">
        <f ca="1">+WORLDCUP!BD62</f>
        <v>Curazao</v>
      </c>
      <c r="D8" s="10" t="str">
        <f ca="1">+WORLDCUP!BD64</f>
        <v>Egipto</v>
      </c>
      <c r="E8" s="10" t="str">
        <f ca="1">+WORLDCUP!BD66</f>
        <v>Noruega</v>
      </c>
      <c r="F8" s="10" t="str">
        <f ca="1">+WORLDCUP!BD61</f>
        <v>Australia</v>
      </c>
      <c r="G8" s="10" t="str">
        <f ca="1">+WORLDCUP!BD65</f>
        <v>Arabia Saudita</v>
      </c>
      <c r="H8" s="10" t="str">
        <f ca="1">+WORLDCUP!BD63</f>
        <v>Japón</v>
      </c>
      <c r="I8" s="10" t="str">
        <f ca="1">+WORLDCUP!BD69</f>
        <v>Ghana</v>
      </c>
      <c r="J8" s="10" t="str">
        <f ca="1">+WORLDCUP!BD68</f>
        <v>PO 1: COD/JAM/NCL</v>
      </c>
      <c r="N8" s="19" t="s">
        <v>495</v>
      </c>
      <c r="O8" s="19">
        <v>7</v>
      </c>
      <c r="P8" s="19" t="s">
        <v>95</v>
      </c>
      <c r="Q8" s="19" t="s">
        <v>452</v>
      </c>
      <c r="R8" s="19" t="s">
        <v>457</v>
      </c>
      <c r="S8" s="19" t="s">
        <v>94</v>
      </c>
      <c r="T8" s="19" t="s">
        <v>453</v>
      </c>
      <c r="U8" s="19" t="s">
        <v>96</v>
      </c>
      <c r="V8" s="19" t="s">
        <v>460</v>
      </c>
      <c r="W8" s="19" t="s">
        <v>459</v>
      </c>
    </row>
    <row r="9" spans="1:23">
      <c r="A9" s="10" t="s">
        <v>494</v>
      </c>
      <c r="B9" s="10">
        <f ca="1">+IF(A9=WORLDCUP!$BI$112,1,0)</f>
        <v>0</v>
      </c>
      <c r="C9" s="10" t="str">
        <f ca="1">+WORLDCUP!BD62</f>
        <v>Curazao</v>
      </c>
      <c r="D9" s="10" t="str">
        <f ca="1">+WORLDCUP!BD64</f>
        <v>Egipto</v>
      </c>
      <c r="E9" s="10" t="str">
        <f ca="1">+WORLDCUP!BD67</f>
        <v>Argelia</v>
      </c>
      <c r="F9" s="10" t="str">
        <f ca="1">+WORLDCUP!BD61</f>
        <v>Australia</v>
      </c>
      <c r="G9" s="10" t="str">
        <f ca="1">+WORLDCUP!BD65</f>
        <v>Arabia Saudita</v>
      </c>
      <c r="H9" s="10" t="str">
        <f ca="1">+WORLDCUP!BD63</f>
        <v>Japón</v>
      </c>
      <c r="I9" s="10" t="str">
        <f ca="1">+WORLDCUP!BD69</f>
        <v>Ghana</v>
      </c>
      <c r="J9" s="10" t="str">
        <f ca="1">+WORLDCUP!BD66</f>
        <v>Noruega</v>
      </c>
      <c r="N9" s="19" t="s">
        <v>494</v>
      </c>
      <c r="O9" s="19">
        <v>8</v>
      </c>
      <c r="P9" s="19" t="s">
        <v>95</v>
      </c>
      <c r="Q9" s="19" t="s">
        <v>452</v>
      </c>
      <c r="R9" s="19" t="s">
        <v>458</v>
      </c>
      <c r="S9" s="19" t="s">
        <v>94</v>
      </c>
      <c r="T9" s="19" t="s">
        <v>453</v>
      </c>
      <c r="U9" s="19" t="s">
        <v>96</v>
      </c>
      <c r="V9" s="19" t="s">
        <v>460</v>
      </c>
      <c r="W9" s="19" t="s">
        <v>457</v>
      </c>
    </row>
    <row r="10" spans="1:23">
      <c r="A10" s="10" t="s">
        <v>493</v>
      </c>
      <c r="B10" s="10">
        <f ca="1">+IF(A10=WORLDCUP!$BI$112,1,0)</f>
        <v>0</v>
      </c>
      <c r="C10" s="10" t="str">
        <f ca="1">+WORLDCUP!BD62</f>
        <v>Curazao</v>
      </c>
      <c r="D10" s="10" t="str">
        <f ca="1">+WORLDCUP!BD64</f>
        <v>Egipto</v>
      </c>
      <c r="E10" s="10" t="str">
        <f ca="1">+WORLDCUP!BD67</f>
        <v>Argelia</v>
      </c>
      <c r="F10" s="10" t="str">
        <f ca="1">+WORLDCUP!BD61</f>
        <v>Australia</v>
      </c>
      <c r="G10" s="10" t="str">
        <f ca="1">+WORLDCUP!BD65</f>
        <v>Arabia Saudita</v>
      </c>
      <c r="H10" s="10" t="str">
        <f ca="1">+WORLDCUP!BD63</f>
        <v>Japón</v>
      </c>
      <c r="I10" s="10" t="str">
        <f ca="1">+WORLDCUP!BD66</f>
        <v>Noruega</v>
      </c>
      <c r="J10" s="10" t="str">
        <f ca="1">+WORLDCUP!BD68</f>
        <v>PO 1: COD/JAM/NCL</v>
      </c>
      <c r="N10" s="19" t="s">
        <v>493</v>
      </c>
      <c r="O10" s="19">
        <v>9</v>
      </c>
      <c r="P10" s="19" t="s">
        <v>95</v>
      </c>
      <c r="Q10" s="19" t="s">
        <v>452</v>
      </c>
      <c r="R10" s="19" t="s">
        <v>458</v>
      </c>
      <c r="S10" s="19" t="s">
        <v>94</v>
      </c>
      <c r="T10" s="19" t="s">
        <v>453</v>
      </c>
      <c r="U10" s="19" t="s">
        <v>96</v>
      </c>
      <c r="V10" s="19" t="s">
        <v>457</v>
      </c>
      <c r="W10" s="19" t="s">
        <v>459</v>
      </c>
    </row>
    <row r="11" spans="1:23">
      <c r="A11" s="10" t="s">
        <v>629</v>
      </c>
      <c r="B11" s="10">
        <f ca="1">+IF(A11=WORLDCUP!$BI$112,1,0)</f>
        <v>0</v>
      </c>
      <c r="C11" s="10" t="str">
        <f ca="1">+WORLDCUP!BD65</f>
        <v>Arabia Saudita</v>
      </c>
      <c r="D11" s="10" t="str">
        <f ca="1">+WORLDCUP!BD64</f>
        <v>Egipto</v>
      </c>
      <c r="E11" s="10" t="str">
        <f ca="1">+WORLDCUP!BD66</f>
        <v>Noruega</v>
      </c>
      <c r="F11" s="10" t="str">
        <f ca="1">+WORLDCUP!BD60</f>
        <v>Escocia</v>
      </c>
      <c r="G11" s="10" t="str">
        <f ca="1">+WORLDCUP!BD67</f>
        <v>Argelia</v>
      </c>
      <c r="H11" s="10" t="str">
        <f ca="1">+WORLDCUP!BD63</f>
        <v>Japón</v>
      </c>
      <c r="I11" s="10" t="str">
        <f ca="1">+WORLDCUP!BD69</f>
        <v>Ghana</v>
      </c>
      <c r="J11" s="10" t="str">
        <f ca="1">+WORLDCUP!BD68</f>
        <v>PO 1: COD/JAM/NCL</v>
      </c>
      <c r="N11" s="19" t="s">
        <v>629</v>
      </c>
      <c r="O11" s="19">
        <v>10</v>
      </c>
      <c r="P11" s="19" t="s">
        <v>453</v>
      </c>
      <c r="Q11" s="19" t="s">
        <v>452</v>
      </c>
      <c r="R11" s="19" t="s">
        <v>457</v>
      </c>
      <c r="S11" s="19" t="s">
        <v>93</v>
      </c>
      <c r="T11" s="19" t="s">
        <v>458</v>
      </c>
      <c r="U11" s="19" t="s">
        <v>96</v>
      </c>
      <c r="V11" s="19" t="s">
        <v>460</v>
      </c>
      <c r="W11" s="19" t="s">
        <v>459</v>
      </c>
    </row>
    <row r="12" spans="1:23">
      <c r="A12" s="10" t="s">
        <v>1205</v>
      </c>
      <c r="B12" s="10">
        <f ca="1">+IF(A12=WORLDCUP!$BI$112,1,0)</f>
        <v>0</v>
      </c>
      <c r="C12" s="10" t="str">
        <f ca="1">+WORLDCUP!BD62</f>
        <v>Curazao</v>
      </c>
      <c r="D12" s="10" t="str">
        <f ca="1">+WORLDCUP!BD67</f>
        <v>Argelia</v>
      </c>
      <c r="E12" s="10" t="str">
        <f ca="1">+WORLDCUP!BD66</f>
        <v>Noruega</v>
      </c>
      <c r="F12" s="10" t="str">
        <f ca="1">+WORLDCUP!BD60</f>
        <v>Escocia</v>
      </c>
      <c r="G12" s="10" t="str">
        <f ca="1">+WORLDCUP!BD65</f>
        <v>Arabia Saudita</v>
      </c>
      <c r="H12" s="10" t="str">
        <f ca="1">+WORLDCUP!BD64</f>
        <v>Egipto</v>
      </c>
      <c r="I12" s="10" t="str">
        <f ca="1">+WORLDCUP!BD69</f>
        <v>Ghana</v>
      </c>
      <c r="J12" s="10" t="str">
        <f ca="1">+WORLDCUP!BD68</f>
        <v>PO 1: COD/JAM/NCL</v>
      </c>
      <c r="N12" s="19" t="s">
        <v>1205</v>
      </c>
      <c r="O12" s="19">
        <v>11</v>
      </c>
      <c r="P12" s="19" t="s">
        <v>95</v>
      </c>
      <c r="Q12" s="19" t="s">
        <v>458</v>
      </c>
      <c r="R12" s="19" t="s">
        <v>457</v>
      </c>
      <c r="S12" s="19" t="s">
        <v>93</v>
      </c>
      <c r="T12" s="19" t="s">
        <v>453</v>
      </c>
      <c r="U12" s="19" t="s">
        <v>452</v>
      </c>
      <c r="V12" s="19" t="s">
        <v>460</v>
      </c>
      <c r="W12" s="19" t="s">
        <v>459</v>
      </c>
    </row>
    <row r="13" spans="1:23">
      <c r="A13" s="10" t="s">
        <v>1204</v>
      </c>
      <c r="B13" s="10">
        <f ca="1">+IF(A13=WORLDCUP!$BI$112,1,0)</f>
        <v>0</v>
      </c>
      <c r="C13" s="10" t="str">
        <f ca="1">+WORLDCUP!BD62</f>
        <v>Curazao</v>
      </c>
      <c r="D13" s="10" t="str">
        <f ca="1">+WORLDCUP!BD67</f>
        <v>Argelia</v>
      </c>
      <c r="E13" s="10" t="str">
        <f ca="1">+WORLDCUP!BD66</f>
        <v>Noruega</v>
      </c>
      <c r="F13" s="10" t="str">
        <f ca="1">+WORLDCUP!BD60</f>
        <v>Escocia</v>
      </c>
      <c r="G13" s="10" t="str">
        <f ca="1">+WORLDCUP!BD65</f>
        <v>Arabia Saudita</v>
      </c>
      <c r="H13" s="10" t="str">
        <f ca="1">+WORLDCUP!BD63</f>
        <v>Japón</v>
      </c>
      <c r="I13" s="10" t="str">
        <f ca="1">+WORLDCUP!BD69</f>
        <v>Ghana</v>
      </c>
      <c r="J13" s="10" t="str">
        <f ca="1">+WORLDCUP!BD68</f>
        <v>PO 1: COD/JAM/NCL</v>
      </c>
      <c r="N13" s="19" t="s">
        <v>1204</v>
      </c>
      <c r="O13" s="19">
        <v>12</v>
      </c>
      <c r="P13" s="19" t="s">
        <v>95</v>
      </c>
      <c r="Q13" s="19" t="s">
        <v>458</v>
      </c>
      <c r="R13" s="19" t="s">
        <v>457</v>
      </c>
      <c r="S13" s="19" t="s">
        <v>93</v>
      </c>
      <c r="T13" s="19" t="s">
        <v>453</v>
      </c>
      <c r="U13" s="19" t="s">
        <v>96</v>
      </c>
      <c r="V13" s="19" t="s">
        <v>460</v>
      </c>
      <c r="W13" s="19" t="s">
        <v>459</v>
      </c>
    </row>
    <row r="14" spans="1:23">
      <c r="A14" s="10" t="s">
        <v>1203</v>
      </c>
      <c r="B14" s="10">
        <f ca="1">+IF(A14=WORLDCUP!$BI$112,1,0)</f>
        <v>0</v>
      </c>
      <c r="C14" s="10" t="str">
        <f ca="1">+WORLDCUP!BD62</f>
        <v>Curazao</v>
      </c>
      <c r="D14" s="10" t="str">
        <f ca="1">+WORLDCUP!BD64</f>
        <v>Egipto</v>
      </c>
      <c r="E14" s="10" t="str">
        <f ca="1">+WORLDCUP!BD66</f>
        <v>Noruega</v>
      </c>
      <c r="F14" s="10" t="str">
        <f ca="1">+WORLDCUP!BD60</f>
        <v>Escocia</v>
      </c>
      <c r="G14" s="10" t="str">
        <f ca="1">+WORLDCUP!BD67</f>
        <v>Argelia</v>
      </c>
      <c r="H14" s="10" t="str">
        <f ca="1">+WORLDCUP!BD63</f>
        <v>Japón</v>
      </c>
      <c r="I14" s="10" t="str">
        <f ca="1">+WORLDCUP!BD69</f>
        <v>Ghana</v>
      </c>
      <c r="J14" s="10" t="str">
        <f ca="1">+WORLDCUP!BD68</f>
        <v>PO 1: COD/JAM/NCL</v>
      </c>
      <c r="N14" s="19" t="s">
        <v>1203</v>
      </c>
      <c r="O14" s="19">
        <v>13</v>
      </c>
      <c r="P14" s="19" t="s">
        <v>95</v>
      </c>
      <c r="Q14" s="19" t="s">
        <v>452</v>
      </c>
      <c r="R14" s="19" t="s">
        <v>457</v>
      </c>
      <c r="S14" s="19" t="s">
        <v>93</v>
      </c>
      <c r="T14" s="19" t="s">
        <v>458</v>
      </c>
      <c r="U14" s="19" t="s">
        <v>96</v>
      </c>
      <c r="V14" s="19" t="s">
        <v>460</v>
      </c>
      <c r="W14" s="19" t="s">
        <v>459</v>
      </c>
    </row>
    <row r="15" spans="1:23">
      <c r="A15" s="10" t="s">
        <v>1202</v>
      </c>
      <c r="B15" s="10">
        <f ca="1">+IF(A15=WORLDCUP!$BI$112,1,0)</f>
        <v>0</v>
      </c>
      <c r="C15" s="10" t="str">
        <f ca="1">+WORLDCUP!BD62</f>
        <v>Curazao</v>
      </c>
      <c r="D15" s="10" t="str">
        <f ca="1">+WORLDCUP!BD64</f>
        <v>Egipto</v>
      </c>
      <c r="E15" s="10" t="str">
        <f ca="1">+WORLDCUP!BD67</f>
        <v>Argelia</v>
      </c>
      <c r="F15" s="10" t="str">
        <f ca="1">+WORLDCUP!BD60</f>
        <v>Escocia</v>
      </c>
      <c r="G15" s="10" t="str">
        <f ca="1">+WORLDCUP!BD65</f>
        <v>Arabia Saudita</v>
      </c>
      <c r="H15" s="10" t="str">
        <f ca="1">+WORLDCUP!BD63</f>
        <v>Japón</v>
      </c>
      <c r="I15" s="10" t="str">
        <f ca="1">+WORLDCUP!BD69</f>
        <v>Ghana</v>
      </c>
      <c r="J15" s="10" t="str">
        <f ca="1">+WORLDCUP!BD68</f>
        <v>PO 1: COD/JAM/NCL</v>
      </c>
      <c r="N15" s="19" t="s">
        <v>1202</v>
      </c>
      <c r="O15" s="19">
        <v>14</v>
      </c>
      <c r="P15" s="19" t="s">
        <v>95</v>
      </c>
      <c r="Q15" s="19" t="s">
        <v>452</v>
      </c>
      <c r="R15" s="19" t="s">
        <v>458</v>
      </c>
      <c r="S15" s="19" t="s">
        <v>93</v>
      </c>
      <c r="T15" s="19" t="s">
        <v>453</v>
      </c>
      <c r="U15" s="19" t="s">
        <v>96</v>
      </c>
      <c r="V15" s="19" t="s">
        <v>460</v>
      </c>
      <c r="W15" s="19" t="s">
        <v>459</v>
      </c>
    </row>
    <row r="16" spans="1:23">
      <c r="A16" s="10" t="s">
        <v>628</v>
      </c>
      <c r="B16" s="10">
        <f ca="1">+IF(A16=WORLDCUP!$BI$112,1,0)</f>
        <v>0</v>
      </c>
      <c r="C16" s="10" t="str">
        <f ca="1">+WORLDCUP!BD62</f>
        <v>Curazao</v>
      </c>
      <c r="D16" s="10" t="str">
        <f ca="1">+WORLDCUP!BD64</f>
        <v>Egipto</v>
      </c>
      <c r="E16" s="10" t="str">
        <f ca="1">+WORLDCUP!BD66</f>
        <v>Noruega</v>
      </c>
      <c r="F16" s="10" t="str">
        <f ca="1">+WORLDCUP!BD60</f>
        <v>Escocia</v>
      </c>
      <c r="G16" s="10" t="str">
        <f ca="1">+WORLDCUP!BD65</f>
        <v>Arabia Saudita</v>
      </c>
      <c r="H16" s="10" t="str">
        <f ca="1">+WORLDCUP!BD63</f>
        <v>Japón</v>
      </c>
      <c r="I16" s="10" t="str">
        <f ca="1">+WORLDCUP!BD69</f>
        <v>Ghana</v>
      </c>
      <c r="J16" s="10" t="str">
        <f ca="1">+WORLDCUP!BD68</f>
        <v>PO 1: COD/JAM/NCL</v>
      </c>
      <c r="N16" s="19" t="s">
        <v>628</v>
      </c>
      <c r="O16" s="19">
        <v>15</v>
      </c>
      <c r="P16" s="19" t="s">
        <v>95</v>
      </c>
      <c r="Q16" s="19" t="s">
        <v>452</v>
      </c>
      <c r="R16" s="19" t="s">
        <v>457</v>
      </c>
      <c r="S16" s="19" t="s">
        <v>93</v>
      </c>
      <c r="T16" s="19" t="s">
        <v>453</v>
      </c>
      <c r="U16" s="19" t="s">
        <v>96</v>
      </c>
      <c r="V16" s="19" t="s">
        <v>460</v>
      </c>
      <c r="W16" s="19" t="s">
        <v>459</v>
      </c>
    </row>
    <row r="17" spans="1:23">
      <c r="A17" s="10" t="s">
        <v>627</v>
      </c>
      <c r="B17" s="10">
        <f ca="1">+IF(A17=WORLDCUP!$BI$112,1,0)</f>
        <v>0</v>
      </c>
      <c r="C17" s="10" t="str">
        <f ca="1">+WORLDCUP!BD62</f>
        <v>Curazao</v>
      </c>
      <c r="D17" s="10" t="str">
        <f ca="1">+WORLDCUP!BD64</f>
        <v>Egipto</v>
      </c>
      <c r="E17" s="10" t="str">
        <f ca="1">+WORLDCUP!BD67</f>
        <v>Argelia</v>
      </c>
      <c r="F17" s="10" t="str">
        <f ca="1">+WORLDCUP!BD60</f>
        <v>Escocia</v>
      </c>
      <c r="G17" s="10" t="str">
        <f ca="1">+WORLDCUP!BD65</f>
        <v>Arabia Saudita</v>
      </c>
      <c r="H17" s="10" t="str">
        <f ca="1">+WORLDCUP!BD63</f>
        <v>Japón</v>
      </c>
      <c r="I17" s="10" t="str">
        <f ca="1">+WORLDCUP!BD69</f>
        <v>Ghana</v>
      </c>
      <c r="J17" s="10" t="str">
        <f ca="1">+WORLDCUP!BD66</f>
        <v>Noruega</v>
      </c>
      <c r="N17" s="19" t="s">
        <v>627</v>
      </c>
      <c r="O17" s="19">
        <v>16</v>
      </c>
      <c r="P17" s="19" t="s">
        <v>95</v>
      </c>
      <c r="Q17" s="19" t="s">
        <v>452</v>
      </c>
      <c r="R17" s="19" t="s">
        <v>458</v>
      </c>
      <c r="S17" s="19" t="s">
        <v>93</v>
      </c>
      <c r="T17" s="19" t="s">
        <v>453</v>
      </c>
      <c r="U17" s="19" t="s">
        <v>96</v>
      </c>
      <c r="V17" s="19" t="s">
        <v>460</v>
      </c>
      <c r="W17" s="19" t="s">
        <v>457</v>
      </c>
    </row>
    <row r="18" spans="1:23">
      <c r="A18" s="10" t="s">
        <v>626</v>
      </c>
      <c r="B18" s="10">
        <f ca="1">+IF(A18=WORLDCUP!$BI$112,1,0)</f>
        <v>0</v>
      </c>
      <c r="C18" s="10" t="str">
        <f ca="1">+WORLDCUP!BD62</f>
        <v>Curazao</v>
      </c>
      <c r="D18" s="10" t="str">
        <f ca="1">+WORLDCUP!BD64</f>
        <v>Egipto</v>
      </c>
      <c r="E18" s="10" t="str">
        <f ca="1">+WORLDCUP!BD67</f>
        <v>Argelia</v>
      </c>
      <c r="F18" s="10" t="str">
        <f ca="1">+WORLDCUP!BD60</f>
        <v>Escocia</v>
      </c>
      <c r="G18" s="10" t="str">
        <f ca="1">+WORLDCUP!BD65</f>
        <v>Arabia Saudita</v>
      </c>
      <c r="H18" s="10" t="str">
        <f ca="1">+WORLDCUP!BD63</f>
        <v>Japón</v>
      </c>
      <c r="I18" s="10" t="str">
        <f ca="1">+WORLDCUP!BD66</f>
        <v>Noruega</v>
      </c>
      <c r="J18" s="10" t="str">
        <f ca="1">+WORLDCUP!BD68</f>
        <v>PO 1: COD/JAM/NCL</v>
      </c>
      <c r="N18" s="19" t="s">
        <v>626</v>
      </c>
      <c r="O18" s="19">
        <v>17</v>
      </c>
      <c r="P18" s="19" t="s">
        <v>95</v>
      </c>
      <c r="Q18" s="19" t="s">
        <v>452</v>
      </c>
      <c r="R18" s="19" t="s">
        <v>458</v>
      </c>
      <c r="S18" s="19" t="s">
        <v>93</v>
      </c>
      <c r="T18" s="19" t="s">
        <v>453</v>
      </c>
      <c r="U18" s="19" t="s">
        <v>96</v>
      </c>
      <c r="V18" s="19" t="s">
        <v>457</v>
      </c>
      <c r="W18" s="19" t="s">
        <v>459</v>
      </c>
    </row>
    <row r="19" spans="1:23">
      <c r="A19" s="10" t="s">
        <v>1201</v>
      </c>
      <c r="B19" s="10">
        <f ca="1">+IF(A19=WORLDCUP!$BI$112,1,0)</f>
        <v>0</v>
      </c>
      <c r="C19" s="10" t="str">
        <f ca="1">+WORLDCUP!BD65</f>
        <v>Arabia Saudita</v>
      </c>
      <c r="D19" s="10" t="str">
        <f ca="1">+WORLDCUP!BD64</f>
        <v>Egipto</v>
      </c>
      <c r="E19" s="10" t="str">
        <f ca="1">+WORLDCUP!BD66</f>
        <v>Noruega</v>
      </c>
      <c r="F19" s="10" t="str">
        <f ca="1">+WORLDCUP!BD60</f>
        <v>Escocia</v>
      </c>
      <c r="G19" s="10" t="str">
        <f ca="1">+WORLDCUP!BD67</f>
        <v>Argelia</v>
      </c>
      <c r="H19" s="10" t="str">
        <f ca="1">+WORLDCUP!BD61</f>
        <v>Australia</v>
      </c>
      <c r="I19" s="10" t="str">
        <f ca="1">+WORLDCUP!BD69</f>
        <v>Ghana</v>
      </c>
      <c r="J19" s="10" t="str">
        <f ca="1">+WORLDCUP!BD68</f>
        <v>PO 1: COD/JAM/NCL</v>
      </c>
      <c r="N19" s="19" t="s">
        <v>1201</v>
      </c>
      <c r="O19" s="19">
        <v>18</v>
      </c>
      <c r="P19" s="19" t="s">
        <v>453</v>
      </c>
      <c r="Q19" s="19" t="s">
        <v>452</v>
      </c>
      <c r="R19" s="19" t="s">
        <v>457</v>
      </c>
      <c r="S19" s="19" t="s">
        <v>93</v>
      </c>
      <c r="T19" s="19" t="s">
        <v>458</v>
      </c>
      <c r="U19" s="19" t="s">
        <v>94</v>
      </c>
      <c r="V19" s="19" t="s">
        <v>460</v>
      </c>
      <c r="W19" s="19" t="s">
        <v>459</v>
      </c>
    </row>
    <row r="20" spans="1:23">
      <c r="A20" s="10" t="s">
        <v>1200</v>
      </c>
      <c r="B20" s="10">
        <f ca="1">+IF(A20=WORLDCUP!$BI$112,1,0)</f>
        <v>0</v>
      </c>
      <c r="C20" s="10" t="str">
        <f ca="1">+WORLDCUP!BD60</f>
        <v>Escocia</v>
      </c>
      <c r="D20" s="10" t="str">
        <f ca="1">+WORLDCUP!BD67</f>
        <v>Argelia</v>
      </c>
      <c r="E20" s="10" t="str">
        <f ca="1">+WORLDCUP!BD66</f>
        <v>Noruega</v>
      </c>
      <c r="F20" s="10" t="str">
        <f ca="1">+WORLDCUP!BD61</f>
        <v>Australia</v>
      </c>
      <c r="G20" s="10" t="str">
        <f ca="1">+WORLDCUP!BD65</f>
        <v>Arabia Saudita</v>
      </c>
      <c r="H20" s="10" t="str">
        <f ca="1">+WORLDCUP!BD63</f>
        <v>Japón</v>
      </c>
      <c r="I20" s="10" t="str">
        <f ca="1">+WORLDCUP!BD69</f>
        <v>Ghana</v>
      </c>
      <c r="J20" s="10" t="str">
        <f ca="1">+WORLDCUP!BD68</f>
        <v>PO 1: COD/JAM/NCL</v>
      </c>
      <c r="N20" s="19" t="s">
        <v>1200</v>
      </c>
      <c r="O20" s="19">
        <v>19</v>
      </c>
      <c r="P20" s="19" t="s">
        <v>93</v>
      </c>
      <c r="Q20" s="19" t="s">
        <v>458</v>
      </c>
      <c r="R20" s="19" t="s">
        <v>457</v>
      </c>
      <c r="S20" s="19" t="s">
        <v>94</v>
      </c>
      <c r="T20" s="19" t="s">
        <v>453</v>
      </c>
      <c r="U20" s="19" t="s">
        <v>96</v>
      </c>
      <c r="V20" s="19" t="s">
        <v>460</v>
      </c>
      <c r="W20" s="19" t="s">
        <v>459</v>
      </c>
    </row>
    <row r="21" spans="1:23">
      <c r="A21" s="10" t="s">
        <v>1199</v>
      </c>
      <c r="B21" s="10">
        <f ca="1">+IF(A21=WORLDCUP!$BI$112,1,0)</f>
        <v>0</v>
      </c>
      <c r="C21" s="10" t="str">
        <f ca="1">+WORLDCUP!BD60</f>
        <v>Escocia</v>
      </c>
      <c r="D21" s="10" t="str">
        <f ca="1">+WORLDCUP!BD64</f>
        <v>Egipto</v>
      </c>
      <c r="E21" s="10" t="str">
        <f ca="1">+WORLDCUP!BD66</f>
        <v>Noruega</v>
      </c>
      <c r="F21" s="10" t="str">
        <f ca="1">+WORLDCUP!BD61</f>
        <v>Australia</v>
      </c>
      <c r="G21" s="10" t="str">
        <f ca="1">+WORLDCUP!BD67</f>
        <v>Argelia</v>
      </c>
      <c r="H21" s="10" t="str">
        <f ca="1">+WORLDCUP!BD63</f>
        <v>Japón</v>
      </c>
      <c r="I21" s="10" t="str">
        <f ca="1">+WORLDCUP!BD69</f>
        <v>Ghana</v>
      </c>
      <c r="J21" s="10" t="str">
        <f ca="1">+WORLDCUP!BD68</f>
        <v>PO 1: COD/JAM/NCL</v>
      </c>
      <c r="N21" s="19" t="s">
        <v>1199</v>
      </c>
      <c r="O21" s="19">
        <v>20</v>
      </c>
      <c r="P21" s="19" t="s">
        <v>93</v>
      </c>
      <c r="Q21" s="19" t="s">
        <v>452</v>
      </c>
      <c r="R21" s="19" t="s">
        <v>457</v>
      </c>
      <c r="S21" s="19" t="s">
        <v>94</v>
      </c>
      <c r="T21" s="19" t="s">
        <v>458</v>
      </c>
      <c r="U21" s="19" t="s">
        <v>96</v>
      </c>
      <c r="V21" s="19" t="s">
        <v>460</v>
      </c>
      <c r="W21" s="19" t="s">
        <v>459</v>
      </c>
    </row>
    <row r="22" spans="1:23">
      <c r="A22" s="10" t="s">
        <v>1198</v>
      </c>
      <c r="B22" s="10">
        <f ca="1">+IF(A22=WORLDCUP!$BI$112,1,0)</f>
        <v>0</v>
      </c>
      <c r="C22" s="10" t="str">
        <f ca="1">+WORLDCUP!BD60</f>
        <v>Escocia</v>
      </c>
      <c r="D22" s="10" t="str">
        <f ca="1">+WORLDCUP!BD64</f>
        <v>Egipto</v>
      </c>
      <c r="E22" s="10" t="str">
        <f ca="1">+WORLDCUP!BD67</f>
        <v>Argelia</v>
      </c>
      <c r="F22" s="10" t="str">
        <f ca="1">+WORLDCUP!BD61</f>
        <v>Australia</v>
      </c>
      <c r="G22" s="10" t="str">
        <f ca="1">+WORLDCUP!BD65</f>
        <v>Arabia Saudita</v>
      </c>
      <c r="H22" s="10" t="str">
        <f ca="1">+WORLDCUP!BD63</f>
        <v>Japón</v>
      </c>
      <c r="I22" s="10" t="str">
        <f ca="1">+WORLDCUP!BD69</f>
        <v>Ghana</v>
      </c>
      <c r="J22" s="10" t="str">
        <f ca="1">+WORLDCUP!BD68</f>
        <v>PO 1: COD/JAM/NCL</v>
      </c>
      <c r="N22" s="19" t="s">
        <v>1198</v>
      </c>
      <c r="O22" s="19">
        <v>21</v>
      </c>
      <c r="P22" s="19" t="s">
        <v>93</v>
      </c>
      <c r="Q22" s="19" t="s">
        <v>452</v>
      </c>
      <c r="R22" s="19" t="s">
        <v>458</v>
      </c>
      <c r="S22" s="19" t="s">
        <v>94</v>
      </c>
      <c r="T22" s="19" t="s">
        <v>453</v>
      </c>
      <c r="U22" s="19" t="s">
        <v>96</v>
      </c>
      <c r="V22" s="19" t="s">
        <v>460</v>
      </c>
      <c r="W22" s="19" t="s">
        <v>459</v>
      </c>
    </row>
    <row r="23" spans="1:23">
      <c r="A23" s="10" t="s">
        <v>1197</v>
      </c>
      <c r="B23" s="10">
        <f ca="1">+IF(A23=WORLDCUP!$BI$112,1,0)</f>
        <v>0</v>
      </c>
      <c r="C23" s="10" t="str">
        <f ca="1">+WORLDCUP!BD60</f>
        <v>Escocia</v>
      </c>
      <c r="D23" s="10" t="str">
        <f ca="1">+WORLDCUP!BD64</f>
        <v>Egipto</v>
      </c>
      <c r="E23" s="10" t="str">
        <f ca="1">+WORLDCUP!BD66</f>
        <v>Noruega</v>
      </c>
      <c r="F23" s="10" t="str">
        <f ca="1">+WORLDCUP!BD61</f>
        <v>Australia</v>
      </c>
      <c r="G23" s="10" t="str">
        <f ca="1">+WORLDCUP!BD65</f>
        <v>Arabia Saudita</v>
      </c>
      <c r="H23" s="10" t="str">
        <f ca="1">+WORLDCUP!BD63</f>
        <v>Japón</v>
      </c>
      <c r="I23" s="10" t="str">
        <f ca="1">+WORLDCUP!BD69</f>
        <v>Ghana</v>
      </c>
      <c r="J23" s="10" t="str">
        <f ca="1">+WORLDCUP!BD68</f>
        <v>PO 1: COD/JAM/NCL</v>
      </c>
      <c r="N23" s="19" t="s">
        <v>1197</v>
      </c>
      <c r="O23" s="19">
        <v>22</v>
      </c>
      <c r="P23" s="19" t="s">
        <v>93</v>
      </c>
      <c r="Q23" s="19" t="s">
        <v>452</v>
      </c>
      <c r="R23" s="19" t="s">
        <v>457</v>
      </c>
      <c r="S23" s="19" t="s">
        <v>94</v>
      </c>
      <c r="T23" s="19" t="s">
        <v>453</v>
      </c>
      <c r="U23" s="19" t="s">
        <v>96</v>
      </c>
      <c r="V23" s="19" t="s">
        <v>460</v>
      </c>
      <c r="W23" s="19" t="s">
        <v>459</v>
      </c>
    </row>
    <row r="24" spans="1:23">
      <c r="A24" s="10" t="s">
        <v>1196</v>
      </c>
      <c r="B24" s="10">
        <f ca="1">+IF(A24=WORLDCUP!$BI$112,1,0)</f>
        <v>0</v>
      </c>
      <c r="C24" s="10" t="str">
        <f ca="1">+WORLDCUP!BD60</f>
        <v>Escocia</v>
      </c>
      <c r="D24" s="10" t="str">
        <f ca="1">+WORLDCUP!BD64</f>
        <v>Egipto</v>
      </c>
      <c r="E24" s="10" t="str">
        <f ca="1">+WORLDCUP!BD67</f>
        <v>Argelia</v>
      </c>
      <c r="F24" s="10" t="str">
        <f ca="1">+WORLDCUP!BD61</f>
        <v>Australia</v>
      </c>
      <c r="G24" s="10" t="str">
        <f ca="1">+WORLDCUP!BD65</f>
        <v>Arabia Saudita</v>
      </c>
      <c r="H24" s="10" t="str">
        <f ca="1">+WORLDCUP!BD63</f>
        <v>Japón</v>
      </c>
      <c r="I24" s="10" t="str">
        <f ca="1">+WORLDCUP!BD69</f>
        <v>Ghana</v>
      </c>
      <c r="J24" s="10" t="str">
        <f ca="1">+WORLDCUP!BD66</f>
        <v>Noruega</v>
      </c>
      <c r="N24" s="19" t="s">
        <v>1196</v>
      </c>
      <c r="O24" s="19">
        <v>23</v>
      </c>
      <c r="P24" s="19" t="s">
        <v>93</v>
      </c>
      <c r="Q24" s="19" t="s">
        <v>452</v>
      </c>
      <c r="R24" s="19" t="s">
        <v>458</v>
      </c>
      <c r="S24" s="19" t="s">
        <v>94</v>
      </c>
      <c r="T24" s="19" t="s">
        <v>453</v>
      </c>
      <c r="U24" s="19" t="s">
        <v>96</v>
      </c>
      <c r="V24" s="19" t="s">
        <v>460</v>
      </c>
      <c r="W24" s="19" t="s">
        <v>457</v>
      </c>
    </row>
    <row r="25" spans="1:23">
      <c r="A25" s="10" t="s">
        <v>1195</v>
      </c>
      <c r="B25" s="10">
        <f ca="1">+IF(A25=WORLDCUP!$BI$112,1,0)</f>
        <v>0</v>
      </c>
      <c r="C25" s="10" t="str">
        <f ca="1">+WORLDCUP!BD60</f>
        <v>Escocia</v>
      </c>
      <c r="D25" s="10" t="str">
        <f ca="1">+WORLDCUP!BD64</f>
        <v>Egipto</v>
      </c>
      <c r="E25" s="10" t="str">
        <f ca="1">+WORLDCUP!BD67</f>
        <v>Argelia</v>
      </c>
      <c r="F25" s="10" t="str">
        <f ca="1">+WORLDCUP!BD61</f>
        <v>Australia</v>
      </c>
      <c r="G25" s="10" t="str">
        <f ca="1">+WORLDCUP!BD65</f>
        <v>Arabia Saudita</v>
      </c>
      <c r="H25" s="10" t="str">
        <f ca="1">+WORLDCUP!BD63</f>
        <v>Japón</v>
      </c>
      <c r="I25" s="10" t="str">
        <f ca="1">+WORLDCUP!BD66</f>
        <v>Noruega</v>
      </c>
      <c r="J25" s="10" t="str">
        <f ca="1">+WORLDCUP!BD68</f>
        <v>PO 1: COD/JAM/NCL</v>
      </c>
      <c r="N25" s="19" t="s">
        <v>1195</v>
      </c>
      <c r="O25" s="19">
        <v>24</v>
      </c>
      <c r="P25" s="19" t="s">
        <v>93</v>
      </c>
      <c r="Q25" s="19" t="s">
        <v>452</v>
      </c>
      <c r="R25" s="19" t="s">
        <v>458</v>
      </c>
      <c r="S25" s="19" t="s">
        <v>94</v>
      </c>
      <c r="T25" s="19" t="s">
        <v>453</v>
      </c>
      <c r="U25" s="19" t="s">
        <v>96</v>
      </c>
      <c r="V25" s="19" t="s">
        <v>457</v>
      </c>
      <c r="W25" s="19" t="s">
        <v>459</v>
      </c>
    </row>
    <row r="26" spans="1:23">
      <c r="A26" s="10" t="s">
        <v>1194</v>
      </c>
      <c r="B26" s="10">
        <f ca="1">+IF(A26=WORLDCUP!$BI$112,1,0)</f>
        <v>0</v>
      </c>
      <c r="C26" s="10" t="str">
        <f ca="1">+WORLDCUP!BD62</f>
        <v>Curazao</v>
      </c>
      <c r="D26" s="10" t="str">
        <f ca="1">+WORLDCUP!BD67</f>
        <v>Argelia</v>
      </c>
      <c r="E26" s="10" t="str">
        <f ca="1">+WORLDCUP!BD66</f>
        <v>Noruega</v>
      </c>
      <c r="F26" s="10" t="str">
        <f ca="1">+WORLDCUP!BD60</f>
        <v>Escocia</v>
      </c>
      <c r="G26" s="10" t="str">
        <f ca="1">+WORLDCUP!BD65</f>
        <v>Arabia Saudita</v>
      </c>
      <c r="H26" s="10" t="str">
        <f ca="1">+WORLDCUP!BD61</f>
        <v>Australia</v>
      </c>
      <c r="I26" s="10" t="str">
        <f ca="1">+WORLDCUP!BD69</f>
        <v>Ghana</v>
      </c>
      <c r="J26" s="10" t="str">
        <f ca="1">+WORLDCUP!BD68</f>
        <v>PO 1: COD/JAM/NCL</v>
      </c>
      <c r="N26" s="19" t="s">
        <v>1194</v>
      </c>
      <c r="O26" s="19">
        <v>25</v>
      </c>
      <c r="P26" s="19" t="s">
        <v>95</v>
      </c>
      <c r="Q26" s="19" t="s">
        <v>458</v>
      </c>
      <c r="R26" s="19" t="s">
        <v>457</v>
      </c>
      <c r="S26" s="19" t="s">
        <v>93</v>
      </c>
      <c r="T26" s="19" t="s">
        <v>453</v>
      </c>
      <c r="U26" s="19" t="s">
        <v>94</v>
      </c>
      <c r="V26" s="19" t="s">
        <v>460</v>
      </c>
      <c r="W26" s="19" t="s">
        <v>459</v>
      </c>
    </row>
    <row r="27" spans="1:23">
      <c r="A27" s="10" t="s">
        <v>1193</v>
      </c>
      <c r="B27" s="10">
        <f ca="1">+IF(A27=WORLDCUP!$BI$112,1,0)</f>
        <v>0</v>
      </c>
      <c r="C27" s="10" t="str">
        <f ca="1">+WORLDCUP!BD62</f>
        <v>Curazao</v>
      </c>
      <c r="D27" s="10" t="str">
        <f ca="1">+WORLDCUP!BD64</f>
        <v>Egipto</v>
      </c>
      <c r="E27" s="10" t="str">
        <f ca="1">+WORLDCUP!BD66</f>
        <v>Noruega</v>
      </c>
      <c r="F27" s="10" t="str">
        <f ca="1">+WORLDCUP!BD60</f>
        <v>Escocia</v>
      </c>
      <c r="G27" s="10" t="str">
        <f ca="1">+WORLDCUP!BD67</f>
        <v>Argelia</v>
      </c>
      <c r="H27" s="10" t="str">
        <f ca="1">+WORLDCUP!BD61</f>
        <v>Australia</v>
      </c>
      <c r="I27" s="10" t="str">
        <f ca="1">+WORLDCUP!BD69</f>
        <v>Ghana</v>
      </c>
      <c r="J27" s="10" t="str">
        <f ca="1">+WORLDCUP!BD68</f>
        <v>PO 1: COD/JAM/NCL</v>
      </c>
      <c r="N27" s="19" t="s">
        <v>1193</v>
      </c>
      <c r="O27" s="19">
        <v>26</v>
      </c>
      <c r="P27" s="19" t="s">
        <v>95</v>
      </c>
      <c r="Q27" s="19" t="s">
        <v>452</v>
      </c>
      <c r="R27" s="19" t="s">
        <v>457</v>
      </c>
      <c r="S27" s="19" t="s">
        <v>93</v>
      </c>
      <c r="T27" s="19" t="s">
        <v>458</v>
      </c>
      <c r="U27" s="19" t="s">
        <v>94</v>
      </c>
      <c r="V27" s="19" t="s">
        <v>460</v>
      </c>
      <c r="W27" s="19" t="s">
        <v>459</v>
      </c>
    </row>
    <row r="28" spans="1:23">
      <c r="A28" s="10" t="s">
        <v>1192</v>
      </c>
      <c r="B28" s="10">
        <f ca="1">+IF(A28=WORLDCUP!$BI$112,1,0)</f>
        <v>0</v>
      </c>
      <c r="C28" s="10" t="str">
        <f ca="1">+WORLDCUP!BD62</f>
        <v>Curazao</v>
      </c>
      <c r="D28" s="10" t="str">
        <f ca="1">+WORLDCUP!BD64</f>
        <v>Egipto</v>
      </c>
      <c r="E28" s="10" t="str">
        <f ca="1">+WORLDCUP!BD67</f>
        <v>Argelia</v>
      </c>
      <c r="F28" s="10" t="str">
        <f ca="1">+WORLDCUP!BD60</f>
        <v>Escocia</v>
      </c>
      <c r="G28" s="10" t="str">
        <f ca="1">+WORLDCUP!BD65</f>
        <v>Arabia Saudita</v>
      </c>
      <c r="H28" s="10" t="str">
        <f ca="1">+WORLDCUP!BD61</f>
        <v>Australia</v>
      </c>
      <c r="I28" s="10" t="str">
        <f ca="1">+WORLDCUP!BD69</f>
        <v>Ghana</v>
      </c>
      <c r="J28" s="10" t="str">
        <f ca="1">+WORLDCUP!BD68</f>
        <v>PO 1: COD/JAM/NCL</v>
      </c>
      <c r="N28" s="19" t="s">
        <v>1192</v>
      </c>
      <c r="O28" s="19">
        <v>27</v>
      </c>
      <c r="P28" s="19" t="s">
        <v>95</v>
      </c>
      <c r="Q28" s="19" t="s">
        <v>452</v>
      </c>
      <c r="R28" s="19" t="s">
        <v>458</v>
      </c>
      <c r="S28" s="19" t="s">
        <v>93</v>
      </c>
      <c r="T28" s="19" t="s">
        <v>453</v>
      </c>
      <c r="U28" s="19" t="s">
        <v>94</v>
      </c>
      <c r="V28" s="19" t="s">
        <v>460</v>
      </c>
      <c r="W28" s="19" t="s">
        <v>459</v>
      </c>
    </row>
    <row r="29" spans="1:23">
      <c r="A29" s="10" t="s">
        <v>1191</v>
      </c>
      <c r="B29" s="10">
        <f ca="1">+IF(A29=WORLDCUP!$BI$112,1,0)</f>
        <v>0</v>
      </c>
      <c r="C29" s="10" t="str">
        <f ca="1">+WORLDCUP!BD62</f>
        <v>Curazao</v>
      </c>
      <c r="D29" s="10" t="str">
        <f ca="1">+WORLDCUP!BD64</f>
        <v>Egipto</v>
      </c>
      <c r="E29" s="10" t="str">
        <f ca="1">+WORLDCUP!BD66</f>
        <v>Noruega</v>
      </c>
      <c r="F29" s="10" t="str">
        <f ca="1">+WORLDCUP!BD60</f>
        <v>Escocia</v>
      </c>
      <c r="G29" s="10" t="str">
        <f ca="1">+WORLDCUP!BD65</f>
        <v>Arabia Saudita</v>
      </c>
      <c r="H29" s="10" t="str">
        <f ca="1">+WORLDCUP!BD61</f>
        <v>Australia</v>
      </c>
      <c r="I29" s="10" t="str">
        <f ca="1">+WORLDCUP!BD69</f>
        <v>Ghana</v>
      </c>
      <c r="J29" s="10" t="str">
        <f ca="1">+WORLDCUP!BD68</f>
        <v>PO 1: COD/JAM/NCL</v>
      </c>
      <c r="N29" s="19" t="s">
        <v>1191</v>
      </c>
      <c r="O29" s="19">
        <v>28</v>
      </c>
      <c r="P29" s="19" t="s">
        <v>95</v>
      </c>
      <c r="Q29" s="19" t="s">
        <v>452</v>
      </c>
      <c r="R29" s="19" t="s">
        <v>457</v>
      </c>
      <c r="S29" s="19" t="s">
        <v>93</v>
      </c>
      <c r="T29" s="19" t="s">
        <v>453</v>
      </c>
      <c r="U29" s="19" t="s">
        <v>94</v>
      </c>
      <c r="V29" s="19" t="s">
        <v>460</v>
      </c>
      <c r="W29" s="19" t="s">
        <v>459</v>
      </c>
    </row>
    <row r="30" spans="1:23">
      <c r="A30" s="10" t="s">
        <v>1190</v>
      </c>
      <c r="B30" s="10">
        <f ca="1">+IF(A30=WORLDCUP!$BI$112,1,0)</f>
        <v>0</v>
      </c>
      <c r="C30" s="10" t="str">
        <f ca="1">+WORLDCUP!BD62</f>
        <v>Curazao</v>
      </c>
      <c r="D30" s="10" t="str">
        <f ca="1">+WORLDCUP!BD64</f>
        <v>Egipto</v>
      </c>
      <c r="E30" s="10" t="str">
        <f ca="1">+WORLDCUP!BD67</f>
        <v>Argelia</v>
      </c>
      <c r="F30" s="10" t="str">
        <f ca="1">+WORLDCUP!BD60</f>
        <v>Escocia</v>
      </c>
      <c r="G30" s="10" t="str">
        <f ca="1">+WORLDCUP!BD65</f>
        <v>Arabia Saudita</v>
      </c>
      <c r="H30" s="10" t="str">
        <f ca="1">+WORLDCUP!BD61</f>
        <v>Australia</v>
      </c>
      <c r="I30" s="10" t="str">
        <f ca="1">+WORLDCUP!BD69</f>
        <v>Ghana</v>
      </c>
      <c r="J30" s="10" t="str">
        <f ca="1">+WORLDCUP!BD66</f>
        <v>Noruega</v>
      </c>
      <c r="N30" s="19" t="s">
        <v>1190</v>
      </c>
      <c r="O30" s="19">
        <v>29</v>
      </c>
      <c r="P30" s="19" t="s">
        <v>95</v>
      </c>
      <c r="Q30" s="19" t="s">
        <v>452</v>
      </c>
      <c r="R30" s="19" t="s">
        <v>458</v>
      </c>
      <c r="S30" s="19" t="s">
        <v>93</v>
      </c>
      <c r="T30" s="19" t="s">
        <v>453</v>
      </c>
      <c r="U30" s="19" t="s">
        <v>94</v>
      </c>
      <c r="V30" s="19" t="s">
        <v>460</v>
      </c>
      <c r="W30" s="19" t="s">
        <v>457</v>
      </c>
    </row>
    <row r="31" spans="1:23">
      <c r="A31" s="10" t="s">
        <v>1189</v>
      </c>
      <c r="B31" s="10">
        <f ca="1">+IF(A31=WORLDCUP!$BI$112,1,0)</f>
        <v>0</v>
      </c>
      <c r="C31" s="10" t="str">
        <f ca="1">+WORLDCUP!BD62</f>
        <v>Curazao</v>
      </c>
      <c r="D31" s="10" t="str">
        <f ca="1">+WORLDCUP!BD64</f>
        <v>Egipto</v>
      </c>
      <c r="E31" s="10" t="str">
        <f ca="1">+WORLDCUP!BD67</f>
        <v>Argelia</v>
      </c>
      <c r="F31" s="10" t="str">
        <f ca="1">+WORLDCUP!BD60</f>
        <v>Escocia</v>
      </c>
      <c r="G31" s="10" t="str">
        <f ca="1">+WORLDCUP!BD65</f>
        <v>Arabia Saudita</v>
      </c>
      <c r="H31" s="10" t="str">
        <f ca="1">+WORLDCUP!BD61</f>
        <v>Australia</v>
      </c>
      <c r="I31" s="10" t="str">
        <f ca="1">+WORLDCUP!BD66</f>
        <v>Noruega</v>
      </c>
      <c r="J31" s="10" t="str">
        <f ca="1">+WORLDCUP!BD68</f>
        <v>PO 1: COD/JAM/NCL</v>
      </c>
      <c r="N31" s="19" t="s">
        <v>1189</v>
      </c>
      <c r="O31" s="19">
        <v>30</v>
      </c>
      <c r="P31" s="19" t="s">
        <v>95</v>
      </c>
      <c r="Q31" s="19" t="s">
        <v>452</v>
      </c>
      <c r="R31" s="19" t="s">
        <v>458</v>
      </c>
      <c r="S31" s="19" t="s">
        <v>93</v>
      </c>
      <c r="T31" s="19" t="s">
        <v>453</v>
      </c>
      <c r="U31" s="19" t="s">
        <v>94</v>
      </c>
      <c r="V31" s="19" t="s">
        <v>457</v>
      </c>
      <c r="W31" s="19" t="s">
        <v>459</v>
      </c>
    </row>
    <row r="32" spans="1:23">
      <c r="A32" s="10" t="s">
        <v>1188</v>
      </c>
      <c r="B32" s="10">
        <f ca="1">+IF(A32=WORLDCUP!$BI$112,1,0)</f>
        <v>0</v>
      </c>
      <c r="C32" s="10" t="str">
        <f ca="1">+WORLDCUP!BD60</f>
        <v>Escocia</v>
      </c>
      <c r="D32" s="10" t="str">
        <f ca="1">+WORLDCUP!BD67</f>
        <v>Argelia</v>
      </c>
      <c r="E32" s="10" t="str">
        <f ca="1">+WORLDCUP!BD62</f>
        <v>Curazao</v>
      </c>
      <c r="F32" s="10" t="str">
        <f ca="1">+WORLDCUP!BD61</f>
        <v>Australia</v>
      </c>
      <c r="G32" s="10" t="str">
        <f ca="1">+WORLDCUP!BD66</f>
        <v>Noruega</v>
      </c>
      <c r="H32" s="10" t="str">
        <f ca="1">+WORLDCUP!BD63</f>
        <v>Japón</v>
      </c>
      <c r="I32" s="10" t="str">
        <f ca="1">+WORLDCUP!BD69</f>
        <v>Ghana</v>
      </c>
      <c r="J32" s="10" t="str">
        <f ca="1">+WORLDCUP!BD68</f>
        <v>PO 1: COD/JAM/NCL</v>
      </c>
      <c r="N32" s="19" t="s">
        <v>1188</v>
      </c>
      <c r="O32" s="19">
        <v>31</v>
      </c>
      <c r="P32" s="19" t="s">
        <v>93</v>
      </c>
      <c r="Q32" s="19" t="s">
        <v>458</v>
      </c>
      <c r="R32" s="19" t="s">
        <v>95</v>
      </c>
      <c r="S32" s="19" t="s">
        <v>94</v>
      </c>
      <c r="T32" s="19" t="s">
        <v>457</v>
      </c>
      <c r="U32" s="19" t="s">
        <v>96</v>
      </c>
      <c r="V32" s="19" t="s">
        <v>460</v>
      </c>
      <c r="W32" s="19" t="s">
        <v>459</v>
      </c>
    </row>
    <row r="33" spans="1:23">
      <c r="A33" s="10" t="s">
        <v>1187</v>
      </c>
      <c r="B33" s="10">
        <f ca="1">+IF(A33=WORLDCUP!$BI$112,1,0)</f>
        <v>0</v>
      </c>
      <c r="C33" s="10" t="str">
        <f ca="1">+WORLDCUP!BD60</f>
        <v>Escocia</v>
      </c>
      <c r="D33" s="10" t="str">
        <f ca="1">+WORLDCUP!BD67</f>
        <v>Argelia</v>
      </c>
      <c r="E33" s="10" t="str">
        <f ca="1">+WORLDCUP!BD62</f>
        <v>Curazao</v>
      </c>
      <c r="F33" s="10" t="str">
        <f ca="1">+WORLDCUP!BD61</f>
        <v>Australia</v>
      </c>
      <c r="G33" s="10" t="str">
        <f ca="1">+WORLDCUP!BD65</f>
        <v>Arabia Saudita</v>
      </c>
      <c r="H33" s="10" t="str">
        <f ca="1">+WORLDCUP!BD63</f>
        <v>Japón</v>
      </c>
      <c r="I33" s="10" t="str">
        <f ca="1">+WORLDCUP!BD69</f>
        <v>Ghana</v>
      </c>
      <c r="J33" s="10" t="str">
        <f ca="1">+WORLDCUP!BD68</f>
        <v>PO 1: COD/JAM/NCL</v>
      </c>
      <c r="N33" s="19" t="s">
        <v>1187</v>
      </c>
      <c r="O33" s="19">
        <v>32</v>
      </c>
      <c r="P33" s="19" t="s">
        <v>93</v>
      </c>
      <c r="Q33" s="19" t="s">
        <v>458</v>
      </c>
      <c r="R33" s="19" t="s">
        <v>95</v>
      </c>
      <c r="S33" s="19" t="s">
        <v>94</v>
      </c>
      <c r="T33" s="19" t="s">
        <v>453</v>
      </c>
      <c r="U33" s="19" t="s">
        <v>96</v>
      </c>
      <c r="V33" s="19" t="s">
        <v>460</v>
      </c>
      <c r="W33" s="19" t="s">
        <v>459</v>
      </c>
    </row>
    <row r="34" spans="1:23">
      <c r="A34" s="10" t="s">
        <v>1186</v>
      </c>
      <c r="B34" s="10">
        <f ca="1">+IF(A34=WORLDCUP!$BI$112,1,0)</f>
        <v>0</v>
      </c>
      <c r="C34" s="10" t="str">
        <f ca="1">+WORLDCUP!BD60</f>
        <v>Escocia</v>
      </c>
      <c r="D34" s="10" t="str">
        <f ca="1">+WORLDCUP!BD62</f>
        <v>Curazao</v>
      </c>
      <c r="E34" s="10" t="str">
        <f ca="1">+WORLDCUP!BD66</f>
        <v>Noruega</v>
      </c>
      <c r="F34" s="10" t="str">
        <f ca="1">+WORLDCUP!BD61</f>
        <v>Australia</v>
      </c>
      <c r="G34" s="10" t="str">
        <f ca="1">+WORLDCUP!BD65</f>
        <v>Arabia Saudita</v>
      </c>
      <c r="H34" s="10" t="str">
        <f ca="1">+WORLDCUP!BD63</f>
        <v>Japón</v>
      </c>
      <c r="I34" s="10" t="str">
        <f ca="1">+WORLDCUP!BD69</f>
        <v>Ghana</v>
      </c>
      <c r="J34" s="10" t="str">
        <f ca="1">+WORLDCUP!BD68</f>
        <v>PO 1: COD/JAM/NCL</v>
      </c>
      <c r="N34" s="19" t="s">
        <v>1186</v>
      </c>
      <c r="O34" s="19">
        <v>33</v>
      </c>
      <c r="P34" s="19" t="s">
        <v>93</v>
      </c>
      <c r="Q34" s="19" t="s">
        <v>95</v>
      </c>
      <c r="R34" s="19" t="s">
        <v>457</v>
      </c>
      <c r="S34" s="19" t="s">
        <v>94</v>
      </c>
      <c r="T34" s="19" t="s">
        <v>453</v>
      </c>
      <c r="U34" s="19" t="s">
        <v>96</v>
      </c>
      <c r="V34" s="19" t="s">
        <v>460</v>
      </c>
      <c r="W34" s="19" t="s">
        <v>459</v>
      </c>
    </row>
    <row r="35" spans="1:23">
      <c r="A35" s="10" t="s">
        <v>1185</v>
      </c>
      <c r="B35" s="10">
        <f ca="1">+IF(A35=WORLDCUP!$BI$112,1,0)</f>
        <v>0</v>
      </c>
      <c r="C35" s="10" t="str">
        <f ca="1">+WORLDCUP!BD60</f>
        <v>Escocia</v>
      </c>
      <c r="D35" s="10" t="str">
        <f ca="1">+WORLDCUP!BD67</f>
        <v>Argelia</v>
      </c>
      <c r="E35" s="10" t="str">
        <f ca="1">+WORLDCUP!BD62</f>
        <v>Curazao</v>
      </c>
      <c r="F35" s="10" t="str">
        <f ca="1">+WORLDCUP!BD61</f>
        <v>Australia</v>
      </c>
      <c r="G35" s="10" t="str">
        <f ca="1">+WORLDCUP!BD65</f>
        <v>Arabia Saudita</v>
      </c>
      <c r="H35" s="10" t="str">
        <f ca="1">+WORLDCUP!BD63</f>
        <v>Japón</v>
      </c>
      <c r="I35" s="10" t="str">
        <f ca="1">+WORLDCUP!BD69</f>
        <v>Ghana</v>
      </c>
      <c r="J35" s="10" t="str">
        <f ca="1">+WORLDCUP!BD66</f>
        <v>Noruega</v>
      </c>
      <c r="N35" s="19" t="s">
        <v>1185</v>
      </c>
      <c r="O35" s="19">
        <v>34</v>
      </c>
      <c r="P35" s="19" t="s">
        <v>93</v>
      </c>
      <c r="Q35" s="19" t="s">
        <v>458</v>
      </c>
      <c r="R35" s="19" t="s">
        <v>95</v>
      </c>
      <c r="S35" s="19" t="s">
        <v>94</v>
      </c>
      <c r="T35" s="19" t="s">
        <v>453</v>
      </c>
      <c r="U35" s="19" t="s">
        <v>96</v>
      </c>
      <c r="V35" s="19" t="s">
        <v>460</v>
      </c>
      <c r="W35" s="19" t="s">
        <v>457</v>
      </c>
    </row>
    <row r="36" spans="1:23">
      <c r="A36" s="10" t="s">
        <v>1184</v>
      </c>
      <c r="B36" s="10">
        <f ca="1">+IF(A36=WORLDCUP!$BI$112,1,0)</f>
        <v>0</v>
      </c>
      <c r="C36" s="10" t="str">
        <f ca="1">+WORLDCUP!BD60</f>
        <v>Escocia</v>
      </c>
      <c r="D36" s="10" t="str">
        <f ca="1">+WORLDCUP!BD67</f>
        <v>Argelia</v>
      </c>
      <c r="E36" s="10" t="str">
        <f ca="1">+WORLDCUP!BD62</f>
        <v>Curazao</v>
      </c>
      <c r="F36" s="10" t="str">
        <f ca="1">+WORLDCUP!BD61</f>
        <v>Australia</v>
      </c>
      <c r="G36" s="10" t="str">
        <f ca="1">+WORLDCUP!BD65</f>
        <v>Arabia Saudita</v>
      </c>
      <c r="H36" s="10" t="str">
        <f ca="1">+WORLDCUP!BD63</f>
        <v>Japón</v>
      </c>
      <c r="I36" s="10" t="str">
        <f ca="1">+WORLDCUP!BD66</f>
        <v>Noruega</v>
      </c>
      <c r="J36" s="10" t="str">
        <f ca="1">+WORLDCUP!BD68</f>
        <v>PO 1: COD/JAM/NCL</v>
      </c>
      <c r="N36" s="19" t="s">
        <v>1184</v>
      </c>
      <c r="O36" s="19">
        <v>35</v>
      </c>
      <c r="P36" s="19" t="s">
        <v>93</v>
      </c>
      <c r="Q36" s="19" t="s">
        <v>458</v>
      </c>
      <c r="R36" s="19" t="s">
        <v>95</v>
      </c>
      <c r="S36" s="19" t="s">
        <v>94</v>
      </c>
      <c r="T36" s="19" t="s">
        <v>453</v>
      </c>
      <c r="U36" s="19" t="s">
        <v>96</v>
      </c>
      <c r="V36" s="19" t="s">
        <v>457</v>
      </c>
      <c r="W36" s="19" t="s">
        <v>459</v>
      </c>
    </row>
    <row r="37" spans="1:23">
      <c r="A37" s="10" t="s">
        <v>1183</v>
      </c>
      <c r="B37" s="10">
        <f ca="1">+IF(A37=WORLDCUP!$BI$112,1,0)</f>
        <v>0</v>
      </c>
      <c r="C37" s="10" t="str">
        <f ca="1">+WORLDCUP!BD60</f>
        <v>Escocia</v>
      </c>
      <c r="D37" s="10" t="str">
        <f ca="1">+WORLDCUP!BD64</f>
        <v>Egipto</v>
      </c>
      <c r="E37" s="10" t="str">
        <f ca="1">+WORLDCUP!BD62</f>
        <v>Curazao</v>
      </c>
      <c r="F37" s="10" t="str">
        <f ca="1">+WORLDCUP!BD61</f>
        <v>Australia</v>
      </c>
      <c r="G37" s="10" t="str">
        <f ca="1">+WORLDCUP!BD67</f>
        <v>Argelia</v>
      </c>
      <c r="H37" s="10" t="str">
        <f ca="1">+WORLDCUP!BD63</f>
        <v>Japón</v>
      </c>
      <c r="I37" s="10" t="str">
        <f ca="1">+WORLDCUP!BD69</f>
        <v>Ghana</v>
      </c>
      <c r="J37" s="10" t="str">
        <f ca="1">+WORLDCUP!BD68</f>
        <v>PO 1: COD/JAM/NCL</v>
      </c>
      <c r="N37" s="19" t="s">
        <v>1183</v>
      </c>
      <c r="O37" s="19">
        <v>36</v>
      </c>
      <c r="P37" s="19" t="s">
        <v>93</v>
      </c>
      <c r="Q37" s="19" t="s">
        <v>452</v>
      </c>
      <c r="R37" s="19" t="s">
        <v>95</v>
      </c>
      <c r="S37" s="19" t="s">
        <v>94</v>
      </c>
      <c r="T37" s="19" t="s">
        <v>458</v>
      </c>
      <c r="U37" s="19" t="s">
        <v>96</v>
      </c>
      <c r="V37" s="19" t="s">
        <v>460</v>
      </c>
      <c r="W37" s="19" t="s">
        <v>459</v>
      </c>
    </row>
    <row r="38" spans="1:23">
      <c r="A38" s="10" t="s">
        <v>1182</v>
      </c>
      <c r="B38" s="10">
        <f ca="1">+IF(A38=WORLDCUP!$BI$112,1,0)</f>
        <v>0</v>
      </c>
      <c r="C38" s="10" t="str">
        <f ca="1">+WORLDCUP!BD60</f>
        <v>Escocia</v>
      </c>
      <c r="D38" s="10" t="str">
        <f ca="1">+WORLDCUP!BD64</f>
        <v>Egipto</v>
      </c>
      <c r="E38" s="10" t="str">
        <f ca="1">+WORLDCUP!BD62</f>
        <v>Curazao</v>
      </c>
      <c r="F38" s="10" t="str">
        <f ca="1">+WORLDCUP!BD61</f>
        <v>Australia</v>
      </c>
      <c r="G38" s="10" t="str">
        <f ca="1">+WORLDCUP!BD66</f>
        <v>Noruega</v>
      </c>
      <c r="H38" s="10" t="str">
        <f ca="1">+WORLDCUP!BD63</f>
        <v>Japón</v>
      </c>
      <c r="I38" s="10" t="str">
        <f ca="1">+WORLDCUP!BD69</f>
        <v>Ghana</v>
      </c>
      <c r="J38" s="10" t="str">
        <f ca="1">+WORLDCUP!BD68</f>
        <v>PO 1: COD/JAM/NCL</v>
      </c>
      <c r="N38" s="19" t="s">
        <v>1182</v>
      </c>
      <c r="O38" s="19">
        <v>37</v>
      </c>
      <c r="P38" s="19" t="s">
        <v>93</v>
      </c>
      <c r="Q38" s="19" t="s">
        <v>452</v>
      </c>
      <c r="R38" s="19" t="s">
        <v>95</v>
      </c>
      <c r="S38" s="19" t="s">
        <v>94</v>
      </c>
      <c r="T38" s="19" t="s">
        <v>457</v>
      </c>
      <c r="U38" s="19" t="s">
        <v>96</v>
      </c>
      <c r="V38" s="19" t="s">
        <v>460</v>
      </c>
      <c r="W38" s="19" t="s">
        <v>459</v>
      </c>
    </row>
    <row r="39" spans="1:23">
      <c r="A39" s="10" t="s">
        <v>1181</v>
      </c>
      <c r="B39" s="10">
        <f ca="1">+IF(A39=WORLDCUP!$BI$112,1,0)</f>
        <v>0</v>
      </c>
      <c r="C39" s="10" t="str">
        <f ca="1">+WORLDCUP!BD60</f>
        <v>Escocia</v>
      </c>
      <c r="D39" s="10" t="str">
        <f ca="1">+WORLDCUP!BD64</f>
        <v>Egipto</v>
      </c>
      <c r="E39" s="10" t="str">
        <f ca="1">+WORLDCUP!BD62</f>
        <v>Curazao</v>
      </c>
      <c r="F39" s="10" t="str">
        <f ca="1">+WORLDCUP!BD61</f>
        <v>Australia</v>
      </c>
      <c r="G39" s="10" t="str">
        <f ca="1">+WORLDCUP!BD67</f>
        <v>Argelia</v>
      </c>
      <c r="H39" s="10" t="str">
        <f ca="1">+WORLDCUP!BD63</f>
        <v>Japón</v>
      </c>
      <c r="I39" s="10" t="str">
        <f ca="1">+WORLDCUP!BD69</f>
        <v>Ghana</v>
      </c>
      <c r="J39" s="10" t="str">
        <f ca="1">+WORLDCUP!BD66</f>
        <v>Noruega</v>
      </c>
      <c r="N39" s="19" t="s">
        <v>1181</v>
      </c>
      <c r="O39" s="19">
        <v>38</v>
      </c>
      <c r="P39" s="19" t="s">
        <v>93</v>
      </c>
      <c r="Q39" s="19" t="s">
        <v>452</v>
      </c>
      <c r="R39" s="19" t="s">
        <v>95</v>
      </c>
      <c r="S39" s="19" t="s">
        <v>94</v>
      </c>
      <c r="T39" s="19" t="s">
        <v>458</v>
      </c>
      <c r="U39" s="19" t="s">
        <v>96</v>
      </c>
      <c r="V39" s="19" t="s">
        <v>460</v>
      </c>
      <c r="W39" s="19" t="s">
        <v>457</v>
      </c>
    </row>
    <row r="40" spans="1:23">
      <c r="A40" s="10" t="s">
        <v>1180</v>
      </c>
      <c r="B40" s="10">
        <f ca="1">+IF(A40=WORLDCUP!$BI$112,1,0)</f>
        <v>0</v>
      </c>
      <c r="C40" s="10" t="str">
        <f ca="1">+WORLDCUP!BD60</f>
        <v>Escocia</v>
      </c>
      <c r="D40" s="10" t="str">
        <f ca="1">+WORLDCUP!BD64</f>
        <v>Egipto</v>
      </c>
      <c r="E40" s="10" t="str">
        <f ca="1">+WORLDCUP!BD62</f>
        <v>Curazao</v>
      </c>
      <c r="F40" s="10" t="str">
        <f ca="1">+WORLDCUP!BD61</f>
        <v>Australia</v>
      </c>
      <c r="G40" s="10" t="str">
        <f ca="1">+WORLDCUP!BD67</f>
        <v>Argelia</v>
      </c>
      <c r="H40" s="10" t="str">
        <f ca="1">+WORLDCUP!BD63</f>
        <v>Japón</v>
      </c>
      <c r="I40" s="10" t="str">
        <f ca="1">+WORLDCUP!BD66</f>
        <v>Noruega</v>
      </c>
      <c r="J40" s="10" t="str">
        <f ca="1">+WORLDCUP!BD68</f>
        <v>PO 1: COD/JAM/NCL</v>
      </c>
      <c r="N40" s="19" t="s">
        <v>1180</v>
      </c>
      <c r="O40" s="19">
        <v>39</v>
      </c>
      <c r="P40" s="19" t="s">
        <v>93</v>
      </c>
      <c r="Q40" s="19" t="s">
        <v>452</v>
      </c>
      <c r="R40" s="19" t="s">
        <v>95</v>
      </c>
      <c r="S40" s="19" t="s">
        <v>94</v>
      </c>
      <c r="T40" s="19" t="s">
        <v>458</v>
      </c>
      <c r="U40" s="19" t="s">
        <v>96</v>
      </c>
      <c r="V40" s="19" t="s">
        <v>457</v>
      </c>
      <c r="W40" s="19" t="s">
        <v>459</v>
      </c>
    </row>
    <row r="41" spans="1:23">
      <c r="A41" s="10" t="s">
        <v>491</v>
      </c>
      <c r="B41" s="10">
        <f ca="1">+IF(A41=WORLDCUP!$BI$112,1,0)</f>
        <v>0</v>
      </c>
      <c r="C41" s="10" t="str">
        <f ca="1">+WORLDCUP!BD60</f>
        <v>Escocia</v>
      </c>
      <c r="D41" s="10" t="str">
        <f ca="1">+WORLDCUP!BD64</f>
        <v>Egipto</v>
      </c>
      <c r="E41" s="10" t="str">
        <f ca="1">+WORLDCUP!BD62</f>
        <v>Curazao</v>
      </c>
      <c r="F41" s="10" t="str">
        <f ca="1">+WORLDCUP!BD61</f>
        <v>Australia</v>
      </c>
      <c r="G41" s="10" t="str">
        <f ca="1">+WORLDCUP!BD65</f>
        <v>Arabia Saudita</v>
      </c>
      <c r="H41" s="10" t="str">
        <f ca="1">+WORLDCUP!BD63</f>
        <v>Japón</v>
      </c>
      <c r="I41" s="10" t="str">
        <f ca="1">+WORLDCUP!BD69</f>
        <v>Ghana</v>
      </c>
      <c r="J41" s="10" t="str">
        <f ca="1">+WORLDCUP!BD68</f>
        <v>PO 1: COD/JAM/NCL</v>
      </c>
      <c r="N41" s="19" t="s">
        <v>491</v>
      </c>
      <c r="O41" s="19">
        <v>40</v>
      </c>
      <c r="P41" s="19" t="s">
        <v>93</v>
      </c>
      <c r="Q41" s="19" t="s">
        <v>452</v>
      </c>
      <c r="R41" s="19" t="s">
        <v>95</v>
      </c>
      <c r="S41" s="19" t="s">
        <v>94</v>
      </c>
      <c r="T41" s="19" t="s">
        <v>453</v>
      </c>
      <c r="U41" s="19" t="s">
        <v>96</v>
      </c>
      <c r="V41" s="19" t="s">
        <v>460</v>
      </c>
      <c r="W41" s="19" t="s">
        <v>459</v>
      </c>
    </row>
    <row r="42" spans="1:23">
      <c r="A42" s="10" t="s">
        <v>490</v>
      </c>
      <c r="B42" s="10">
        <f ca="1">+IF(A42=WORLDCUP!$BI$112,1,0)</f>
        <v>0</v>
      </c>
      <c r="C42" s="10" t="str">
        <f ca="1">+WORLDCUP!BD60</f>
        <v>Escocia</v>
      </c>
      <c r="D42" s="10" t="str">
        <f ca="1">+WORLDCUP!BD64</f>
        <v>Egipto</v>
      </c>
      <c r="E42" s="10" t="str">
        <f ca="1">+WORLDCUP!BD67</f>
        <v>Argelia</v>
      </c>
      <c r="F42" s="10" t="str">
        <f ca="1">+WORLDCUP!BD61</f>
        <v>Australia</v>
      </c>
      <c r="G42" s="10" t="str">
        <f ca="1">+WORLDCUP!BD65</f>
        <v>Arabia Saudita</v>
      </c>
      <c r="H42" s="10" t="str">
        <f ca="1">+WORLDCUP!BD63</f>
        <v>Japón</v>
      </c>
      <c r="I42" s="10" t="str">
        <f ca="1">+WORLDCUP!BD69</f>
        <v>Ghana</v>
      </c>
      <c r="J42" s="10" t="str">
        <f ca="1">+WORLDCUP!BD62</f>
        <v>Curazao</v>
      </c>
      <c r="N42" s="19" t="s">
        <v>490</v>
      </c>
      <c r="O42" s="19">
        <v>41</v>
      </c>
      <c r="P42" s="19" t="s">
        <v>93</v>
      </c>
      <c r="Q42" s="19" t="s">
        <v>452</v>
      </c>
      <c r="R42" s="19" t="s">
        <v>458</v>
      </c>
      <c r="S42" s="19" t="s">
        <v>94</v>
      </c>
      <c r="T42" s="19" t="s">
        <v>453</v>
      </c>
      <c r="U42" s="19" t="s">
        <v>96</v>
      </c>
      <c r="V42" s="19" t="s">
        <v>460</v>
      </c>
      <c r="W42" s="19" t="s">
        <v>95</v>
      </c>
    </row>
    <row r="43" spans="1:23">
      <c r="A43" s="10" t="s">
        <v>489</v>
      </c>
      <c r="B43" s="10">
        <f ca="1">+IF(A43=WORLDCUP!$BI$112,1,0)</f>
        <v>0</v>
      </c>
      <c r="C43" s="10" t="str">
        <f ca="1">+WORLDCUP!BD60</f>
        <v>Escocia</v>
      </c>
      <c r="D43" s="10" t="str">
        <f ca="1">+WORLDCUP!BD64</f>
        <v>Egipto</v>
      </c>
      <c r="E43" s="10" t="str">
        <f ca="1">+WORLDCUP!BD67</f>
        <v>Argelia</v>
      </c>
      <c r="F43" s="10" t="str">
        <f ca="1">+WORLDCUP!BD61</f>
        <v>Australia</v>
      </c>
      <c r="G43" s="10" t="str">
        <f ca="1">+WORLDCUP!BD65</f>
        <v>Arabia Saudita</v>
      </c>
      <c r="H43" s="10" t="str">
        <f ca="1">+WORLDCUP!BD63</f>
        <v>Japón</v>
      </c>
      <c r="I43" s="10" t="str">
        <f ca="1">+WORLDCUP!BD62</f>
        <v>Curazao</v>
      </c>
      <c r="J43" s="10" t="str">
        <f ca="1">+WORLDCUP!BD68</f>
        <v>PO 1: COD/JAM/NCL</v>
      </c>
      <c r="N43" s="19" t="s">
        <v>489</v>
      </c>
      <c r="O43" s="19">
        <v>42</v>
      </c>
      <c r="P43" s="19" t="s">
        <v>93</v>
      </c>
      <c r="Q43" s="19" t="s">
        <v>452</v>
      </c>
      <c r="R43" s="19" t="s">
        <v>458</v>
      </c>
      <c r="S43" s="19" t="s">
        <v>94</v>
      </c>
      <c r="T43" s="19" t="s">
        <v>453</v>
      </c>
      <c r="U43" s="19" t="s">
        <v>96</v>
      </c>
      <c r="V43" s="19" t="s">
        <v>95</v>
      </c>
      <c r="W43" s="19" t="s">
        <v>459</v>
      </c>
    </row>
    <row r="44" spans="1:23">
      <c r="A44" s="10" t="s">
        <v>488</v>
      </c>
      <c r="B44" s="10">
        <f ca="1">+IF(A44=WORLDCUP!$BI$112,1,0)</f>
        <v>0</v>
      </c>
      <c r="C44" s="10" t="str">
        <f ca="1">+WORLDCUP!BD60</f>
        <v>Escocia</v>
      </c>
      <c r="D44" s="10" t="str">
        <f ca="1">+WORLDCUP!BD64</f>
        <v>Egipto</v>
      </c>
      <c r="E44" s="10" t="str">
        <f ca="1">+WORLDCUP!BD62</f>
        <v>Curazao</v>
      </c>
      <c r="F44" s="10" t="str">
        <f ca="1">+WORLDCUP!BD61</f>
        <v>Australia</v>
      </c>
      <c r="G44" s="10" t="str">
        <f ca="1">+WORLDCUP!BD65</f>
        <v>Arabia Saudita</v>
      </c>
      <c r="H44" s="10" t="str">
        <f ca="1">+WORLDCUP!BD63</f>
        <v>Japón</v>
      </c>
      <c r="I44" s="10" t="str">
        <f ca="1">+WORLDCUP!BD69</f>
        <v>Ghana</v>
      </c>
      <c r="J44" s="10" t="str">
        <f ca="1">+WORLDCUP!BD66</f>
        <v>Noruega</v>
      </c>
      <c r="N44" s="19" t="s">
        <v>488</v>
      </c>
      <c r="O44" s="19">
        <v>43</v>
      </c>
      <c r="P44" s="19" t="s">
        <v>93</v>
      </c>
      <c r="Q44" s="19" t="s">
        <v>452</v>
      </c>
      <c r="R44" s="19" t="s">
        <v>95</v>
      </c>
      <c r="S44" s="19" t="s">
        <v>94</v>
      </c>
      <c r="T44" s="19" t="s">
        <v>453</v>
      </c>
      <c r="U44" s="19" t="s">
        <v>96</v>
      </c>
      <c r="V44" s="19" t="s">
        <v>460</v>
      </c>
      <c r="W44" s="19" t="s">
        <v>457</v>
      </c>
    </row>
    <row r="45" spans="1:23">
      <c r="A45" s="10" t="s">
        <v>487</v>
      </c>
      <c r="B45" s="10">
        <f ca="1">+IF(A45=WORLDCUP!$BI$112,1,0)</f>
        <v>0</v>
      </c>
      <c r="C45" s="10" t="str">
        <f ca="1">+WORLDCUP!BD60</f>
        <v>Escocia</v>
      </c>
      <c r="D45" s="10" t="str">
        <f ca="1">+WORLDCUP!BD64</f>
        <v>Egipto</v>
      </c>
      <c r="E45" s="10" t="str">
        <f ca="1">+WORLDCUP!BD62</f>
        <v>Curazao</v>
      </c>
      <c r="F45" s="10" t="str">
        <f ca="1">+WORLDCUP!BD61</f>
        <v>Australia</v>
      </c>
      <c r="G45" s="10" t="str">
        <f ca="1">+WORLDCUP!BD65</f>
        <v>Arabia Saudita</v>
      </c>
      <c r="H45" s="10" t="str">
        <f ca="1">+WORLDCUP!BD63</f>
        <v>Japón</v>
      </c>
      <c r="I45" s="10" t="str">
        <f ca="1">+WORLDCUP!BD66</f>
        <v>Noruega</v>
      </c>
      <c r="J45" s="10" t="str">
        <f ca="1">+WORLDCUP!BD68</f>
        <v>PO 1: COD/JAM/NCL</v>
      </c>
      <c r="N45" s="19" t="s">
        <v>487</v>
      </c>
      <c r="O45" s="19">
        <v>44</v>
      </c>
      <c r="P45" s="19" t="s">
        <v>93</v>
      </c>
      <c r="Q45" s="19" t="s">
        <v>452</v>
      </c>
      <c r="R45" s="19" t="s">
        <v>95</v>
      </c>
      <c r="S45" s="19" t="s">
        <v>94</v>
      </c>
      <c r="T45" s="19" t="s">
        <v>453</v>
      </c>
      <c r="U45" s="19" t="s">
        <v>96</v>
      </c>
      <c r="V45" s="19" t="s">
        <v>457</v>
      </c>
      <c r="W45" s="19" t="s">
        <v>459</v>
      </c>
    </row>
    <row r="46" spans="1:23">
      <c r="A46" s="10" t="s">
        <v>486</v>
      </c>
      <c r="B46" s="10">
        <f ca="1">+IF(A46=WORLDCUP!$BI$112,1,0)</f>
        <v>0</v>
      </c>
      <c r="C46" s="10" t="str">
        <f ca="1">+WORLDCUP!BD60</f>
        <v>Escocia</v>
      </c>
      <c r="D46" s="10" t="str">
        <f ca="1">+WORLDCUP!BD64</f>
        <v>Egipto</v>
      </c>
      <c r="E46" s="10" t="str">
        <f ca="1">+WORLDCUP!BD67</f>
        <v>Argelia</v>
      </c>
      <c r="F46" s="10" t="str">
        <f ca="1">+WORLDCUP!BD61</f>
        <v>Australia</v>
      </c>
      <c r="G46" s="10" t="str">
        <f ca="1">+WORLDCUP!BD65</f>
        <v>Arabia Saudita</v>
      </c>
      <c r="H46" s="10" t="str">
        <f ca="1">+WORLDCUP!BD63</f>
        <v>Japón</v>
      </c>
      <c r="I46" s="10" t="str">
        <f ca="1">+WORLDCUP!BD62</f>
        <v>Curazao</v>
      </c>
      <c r="J46" s="10" t="str">
        <f ca="1">+WORLDCUP!BD66</f>
        <v>Noruega</v>
      </c>
      <c r="N46" s="19" t="s">
        <v>486</v>
      </c>
      <c r="O46" s="19">
        <v>45</v>
      </c>
      <c r="P46" s="19" t="s">
        <v>93</v>
      </c>
      <c r="Q46" s="19" t="s">
        <v>452</v>
      </c>
      <c r="R46" s="19" t="s">
        <v>458</v>
      </c>
      <c r="S46" s="19" t="s">
        <v>94</v>
      </c>
      <c r="T46" s="19" t="s">
        <v>453</v>
      </c>
      <c r="U46" s="19" t="s">
        <v>96</v>
      </c>
      <c r="V46" s="19" t="s">
        <v>95</v>
      </c>
      <c r="W46" s="19" t="s">
        <v>457</v>
      </c>
    </row>
    <row r="47" spans="1:23">
      <c r="A47" s="10" t="s">
        <v>625</v>
      </c>
      <c r="B47" s="10">
        <f ca="1">+IF(A47=WORLDCUP!$BI$112,1,0)</f>
        <v>0</v>
      </c>
      <c r="C47" s="10" t="str">
        <f ca="1">+WORLDCUP!BD65</f>
        <v>Arabia Saudita</v>
      </c>
      <c r="D47" s="10" t="str">
        <f ca="1">+WORLDCUP!BD67</f>
        <v>Argelia</v>
      </c>
      <c r="E47" s="10" t="str">
        <f ca="1">+WORLDCUP!BD59</f>
        <v>Catar</v>
      </c>
      <c r="F47" s="10" t="str">
        <f ca="1">+WORLDCUP!BD63</f>
        <v>Japón</v>
      </c>
      <c r="G47" s="10" t="str">
        <f ca="1">+WORLDCUP!BD66</f>
        <v>Noruega</v>
      </c>
      <c r="H47" s="10" t="str">
        <f ca="1">+WORLDCUP!BD64</f>
        <v>Egipto</v>
      </c>
      <c r="I47" s="10" t="str">
        <f ca="1">+WORLDCUP!BD69</f>
        <v>Ghana</v>
      </c>
      <c r="J47" s="10" t="str">
        <f ca="1">+WORLDCUP!BD68</f>
        <v>PO 1: COD/JAM/NCL</v>
      </c>
      <c r="N47" s="19" t="s">
        <v>625</v>
      </c>
      <c r="O47" s="19">
        <v>46</v>
      </c>
      <c r="P47" s="19" t="s">
        <v>453</v>
      </c>
      <c r="Q47" s="19" t="s">
        <v>458</v>
      </c>
      <c r="R47" s="19" t="s">
        <v>92</v>
      </c>
      <c r="S47" s="19" t="s">
        <v>96</v>
      </c>
      <c r="T47" s="19" t="s">
        <v>457</v>
      </c>
      <c r="U47" s="19" t="s">
        <v>452</v>
      </c>
      <c r="V47" s="19" t="s">
        <v>460</v>
      </c>
      <c r="W47" s="19" t="s">
        <v>459</v>
      </c>
    </row>
    <row r="48" spans="1:23">
      <c r="A48" s="10" t="s">
        <v>1179</v>
      </c>
      <c r="B48" s="10">
        <f ca="1">+IF(A48=WORLDCUP!$BI$112,1,0)</f>
        <v>0</v>
      </c>
      <c r="C48" s="10" t="str">
        <f ca="1">+WORLDCUP!BD62</f>
        <v>Curazao</v>
      </c>
      <c r="D48" s="10" t="str">
        <f ca="1">+WORLDCUP!BD67</f>
        <v>Argelia</v>
      </c>
      <c r="E48" s="10" t="str">
        <f ca="1">+WORLDCUP!BD66</f>
        <v>Noruega</v>
      </c>
      <c r="F48" s="10" t="str">
        <f ca="1">+WORLDCUP!BD59</f>
        <v>Catar</v>
      </c>
      <c r="G48" s="10" t="str">
        <f ca="1">+WORLDCUP!BD65</f>
        <v>Arabia Saudita</v>
      </c>
      <c r="H48" s="10" t="str">
        <f ca="1">+WORLDCUP!BD64</f>
        <v>Egipto</v>
      </c>
      <c r="I48" s="10" t="str">
        <f ca="1">+WORLDCUP!BD69</f>
        <v>Ghana</v>
      </c>
      <c r="J48" s="10" t="str">
        <f ca="1">+WORLDCUP!BD68</f>
        <v>PO 1: COD/JAM/NCL</v>
      </c>
      <c r="N48" s="19" t="s">
        <v>1179</v>
      </c>
      <c r="O48" s="19">
        <v>47</v>
      </c>
      <c r="P48" s="19" t="s">
        <v>95</v>
      </c>
      <c r="Q48" s="19" t="s">
        <v>458</v>
      </c>
      <c r="R48" s="19" t="s">
        <v>457</v>
      </c>
      <c r="S48" s="19" t="s">
        <v>92</v>
      </c>
      <c r="T48" s="19" t="s">
        <v>453</v>
      </c>
      <c r="U48" s="19" t="s">
        <v>452</v>
      </c>
      <c r="V48" s="19" t="s">
        <v>460</v>
      </c>
      <c r="W48" s="19" t="s">
        <v>459</v>
      </c>
    </row>
    <row r="49" spans="1:23">
      <c r="A49" s="10" t="s">
        <v>1178</v>
      </c>
      <c r="B49" s="10">
        <f ca="1">+IF(A49=WORLDCUP!$BI$112,1,0)</f>
        <v>0</v>
      </c>
      <c r="C49" s="10" t="str">
        <f ca="1">+WORLDCUP!BD62</f>
        <v>Curazao</v>
      </c>
      <c r="D49" s="10" t="str">
        <f ca="1">+WORLDCUP!BD67</f>
        <v>Argelia</v>
      </c>
      <c r="E49" s="10" t="str">
        <f ca="1">+WORLDCUP!BD59</f>
        <v>Catar</v>
      </c>
      <c r="F49" s="10" t="str">
        <f ca="1">+WORLDCUP!BD63</f>
        <v>Japón</v>
      </c>
      <c r="G49" s="10" t="str">
        <f ca="1">+WORLDCUP!BD66</f>
        <v>Noruega</v>
      </c>
      <c r="H49" s="10" t="str">
        <f ca="1">+WORLDCUP!BD65</f>
        <v>Arabia Saudita</v>
      </c>
      <c r="I49" s="10" t="str">
        <f ca="1">+WORLDCUP!BD69</f>
        <v>Ghana</v>
      </c>
      <c r="J49" s="10" t="str">
        <f ca="1">+WORLDCUP!BD68</f>
        <v>PO 1: COD/JAM/NCL</v>
      </c>
      <c r="N49" s="19" t="s">
        <v>1178</v>
      </c>
      <c r="O49" s="19">
        <v>48</v>
      </c>
      <c r="P49" s="19" t="s">
        <v>95</v>
      </c>
      <c r="Q49" s="19" t="s">
        <v>458</v>
      </c>
      <c r="R49" s="19" t="s">
        <v>92</v>
      </c>
      <c r="S49" s="19" t="s">
        <v>96</v>
      </c>
      <c r="T49" s="19" t="s">
        <v>457</v>
      </c>
      <c r="U49" s="19" t="s">
        <v>453</v>
      </c>
      <c r="V49" s="19" t="s">
        <v>460</v>
      </c>
      <c r="W49" s="19" t="s">
        <v>459</v>
      </c>
    </row>
    <row r="50" spans="1:23">
      <c r="A50" s="10" t="s">
        <v>1177</v>
      </c>
      <c r="B50" s="10">
        <f ca="1">+IF(A50=WORLDCUP!$BI$112,1,0)</f>
        <v>0</v>
      </c>
      <c r="C50" s="10" t="str">
        <f ca="1">+WORLDCUP!BD62</f>
        <v>Curazao</v>
      </c>
      <c r="D50" s="10" t="str">
        <f ca="1">+WORLDCUP!BD67</f>
        <v>Argelia</v>
      </c>
      <c r="E50" s="10" t="str">
        <f ca="1">+WORLDCUP!BD59</f>
        <v>Catar</v>
      </c>
      <c r="F50" s="10" t="str">
        <f ca="1">+WORLDCUP!BD63</f>
        <v>Japón</v>
      </c>
      <c r="G50" s="10" t="str">
        <f ca="1">+WORLDCUP!BD66</f>
        <v>Noruega</v>
      </c>
      <c r="H50" s="10" t="str">
        <f ca="1">+WORLDCUP!BD64</f>
        <v>Egipto</v>
      </c>
      <c r="I50" s="10" t="str">
        <f ca="1">+WORLDCUP!BD69</f>
        <v>Ghana</v>
      </c>
      <c r="J50" s="10" t="str">
        <f ca="1">+WORLDCUP!BD68</f>
        <v>PO 1: COD/JAM/NCL</v>
      </c>
      <c r="N50" s="19" t="s">
        <v>1177</v>
      </c>
      <c r="O50" s="19">
        <v>49</v>
      </c>
      <c r="P50" s="19" t="s">
        <v>95</v>
      </c>
      <c r="Q50" s="19" t="s">
        <v>458</v>
      </c>
      <c r="R50" s="19" t="s">
        <v>92</v>
      </c>
      <c r="S50" s="19" t="s">
        <v>96</v>
      </c>
      <c r="T50" s="19" t="s">
        <v>457</v>
      </c>
      <c r="U50" s="19" t="s">
        <v>452</v>
      </c>
      <c r="V50" s="19" t="s">
        <v>460</v>
      </c>
      <c r="W50" s="19" t="s">
        <v>459</v>
      </c>
    </row>
    <row r="51" spans="1:23">
      <c r="A51" s="10" t="s">
        <v>1176</v>
      </c>
      <c r="B51" s="10">
        <f ca="1">+IF(A51=WORLDCUP!$BI$112,1,0)</f>
        <v>0</v>
      </c>
      <c r="C51" s="10" t="str">
        <f ca="1">+WORLDCUP!BD62</f>
        <v>Curazao</v>
      </c>
      <c r="D51" s="10" t="str">
        <f ca="1">+WORLDCUP!BD67</f>
        <v>Argelia</v>
      </c>
      <c r="E51" s="10" t="str">
        <f ca="1">+WORLDCUP!BD59</f>
        <v>Catar</v>
      </c>
      <c r="F51" s="10" t="str">
        <f ca="1">+WORLDCUP!BD63</f>
        <v>Japón</v>
      </c>
      <c r="G51" s="10" t="str">
        <f ca="1">+WORLDCUP!BD65</f>
        <v>Arabia Saudita</v>
      </c>
      <c r="H51" s="10" t="str">
        <f ca="1">+WORLDCUP!BD64</f>
        <v>Egipto</v>
      </c>
      <c r="I51" s="10" t="str">
        <f ca="1">+WORLDCUP!BD69</f>
        <v>Ghana</v>
      </c>
      <c r="J51" s="10" t="str">
        <f ca="1">+WORLDCUP!BD68</f>
        <v>PO 1: COD/JAM/NCL</v>
      </c>
      <c r="N51" s="19" t="s">
        <v>1176</v>
      </c>
      <c r="O51" s="19">
        <v>50</v>
      </c>
      <c r="P51" s="19" t="s">
        <v>95</v>
      </c>
      <c r="Q51" s="19" t="s">
        <v>458</v>
      </c>
      <c r="R51" s="19" t="s">
        <v>92</v>
      </c>
      <c r="S51" s="19" t="s">
        <v>96</v>
      </c>
      <c r="T51" s="19" t="s">
        <v>453</v>
      </c>
      <c r="U51" s="19" t="s">
        <v>452</v>
      </c>
      <c r="V51" s="19" t="s">
        <v>460</v>
      </c>
      <c r="W51" s="19" t="s">
        <v>459</v>
      </c>
    </row>
    <row r="52" spans="1:23">
      <c r="A52" s="10" t="s">
        <v>624</v>
      </c>
      <c r="B52" s="10">
        <f ca="1">+IF(A52=WORLDCUP!$BI$112,1,0)</f>
        <v>0</v>
      </c>
      <c r="C52" s="10" t="str">
        <f ca="1">+WORLDCUP!BD62</f>
        <v>Curazao</v>
      </c>
      <c r="D52" s="10" t="str">
        <f ca="1">+WORLDCUP!BD64</f>
        <v>Egipto</v>
      </c>
      <c r="E52" s="10" t="str">
        <f ca="1">+WORLDCUP!BD59</f>
        <v>Catar</v>
      </c>
      <c r="F52" s="10" t="str">
        <f ca="1">+WORLDCUP!BD63</f>
        <v>Japón</v>
      </c>
      <c r="G52" s="10" t="str">
        <f ca="1">+WORLDCUP!BD66</f>
        <v>Noruega</v>
      </c>
      <c r="H52" s="10" t="str">
        <f ca="1">+WORLDCUP!BD65</f>
        <v>Arabia Saudita</v>
      </c>
      <c r="I52" s="10" t="str">
        <f ca="1">+WORLDCUP!BD69</f>
        <v>Ghana</v>
      </c>
      <c r="J52" s="10" t="str">
        <f ca="1">+WORLDCUP!BD68</f>
        <v>PO 1: COD/JAM/NCL</v>
      </c>
      <c r="N52" s="19" t="s">
        <v>624</v>
      </c>
      <c r="O52" s="19">
        <v>51</v>
      </c>
      <c r="P52" s="19" t="s">
        <v>95</v>
      </c>
      <c r="Q52" s="19" t="s">
        <v>452</v>
      </c>
      <c r="R52" s="19" t="s">
        <v>92</v>
      </c>
      <c r="S52" s="19" t="s">
        <v>96</v>
      </c>
      <c r="T52" s="19" t="s">
        <v>457</v>
      </c>
      <c r="U52" s="19" t="s">
        <v>453</v>
      </c>
      <c r="V52" s="19" t="s">
        <v>460</v>
      </c>
      <c r="W52" s="19" t="s">
        <v>459</v>
      </c>
    </row>
    <row r="53" spans="1:23">
      <c r="A53" s="10" t="s">
        <v>623</v>
      </c>
      <c r="B53" s="10">
        <f ca="1">+IF(A53=WORLDCUP!$BI$112,1,0)</f>
        <v>0</v>
      </c>
      <c r="C53" s="10" t="str">
        <f ca="1">+WORLDCUP!BD62</f>
        <v>Curazao</v>
      </c>
      <c r="D53" s="10" t="str">
        <f ca="1">+WORLDCUP!BD67</f>
        <v>Argelia</v>
      </c>
      <c r="E53" s="10" t="str">
        <f ca="1">+WORLDCUP!BD59</f>
        <v>Catar</v>
      </c>
      <c r="F53" s="10" t="str">
        <f ca="1">+WORLDCUP!BD63</f>
        <v>Japón</v>
      </c>
      <c r="G53" s="10" t="str">
        <f ca="1">+WORLDCUP!BD65</f>
        <v>Arabia Saudita</v>
      </c>
      <c r="H53" s="10" t="str">
        <f ca="1">+WORLDCUP!BD64</f>
        <v>Egipto</v>
      </c>
      <c r="I53" s="10" t="str">
        <f ca="1">+WORLDCUP!BD69</f>
        <v>Ghana</v>
      </c>
      <c r="J53" s="10" t="str">
        <f ca="1">+WORLDCUP!BD66</f>
        <v>Noruega</v>
      </c>
      <c r="N53" s="19" t="s">
        <v>623</v>
      </c>
      <c r="O53" s="19">
        <v>52</v>
      </c>
      <c r="P53" s="19" t="s">
        <v>95</v>
      </c>
      <c r="Q53" s="19" t="s">
        <v>458</v>
      </c>
      <c r="R53" s="19" t="s">
        <v>92</v>
      </c>
      <c r="S53" s="19" t="s">
        <v>96</v>
      </c>
      <c r="T53" s="19" t="s">
        <v>453</v>
      </c>
      <c r="U53" s="19" t="s">
        <v>452</v>
      </c>
      <c r="V53" s="19" t="s">
        <v>460</v>
      </c>
      <c r="W53" s="19" t="s">
        <v>457</v>
      </c>
    </row>
    <row r="54" spans="1:23">
      <c r="A54" s="10" t="s">
        <v>622</v>
      </c>
      <c r="B54" s="10">
        <f ca="1">+IF(A54=WORLDCUP!$BI$112,1,0)</f>
        <v>0</v>
      </c>
      <c r="C54" s="10" t="str">
        <f ca="1">+WORLDCUP!BD62</f>
        <v>Curazao</v>
      </c>
      <c r="D54" s="10" t="str">
        <f ca="1">+WORLDCUP!BD67</f>
        <v>Argelia</v>
      </c>
      <c r="E54" s="10" t="str">
        <f ca="1">+WORLDCUP!BD59</f>
        <v>Catar</v>
      </c>
      <c r="F54" s="10" t="str">
        <f ca="1">+WORLDCUP!BD63</f>
        <v>Japón</v>
      </c>
      <c r="G54" s="10" t="str">
        <f ca="1">+WORLDCUP!BD65</f>
        <v>Arabia Saudita</v>
      </c>
      <c r="H54" s="10" t="str">
        <f ca="1">+WORLDCUP!BD64</f>
        <v>Egipto</v>
      </c>
      <c r="I54" s="10" t="str">
        <f ca="1">+WORLDCUP!BD66</f>
        <v>Noruega</v>
      </c>
      <c r="J54" s="10" t="str">
        <f ca="1">+WORLDCUP!BD68</f>
        <v>PO 1: COD/JAM/NCL</v>
      </c>
      <c r="N54" s="19" t="s">
        <v>622</v>
      </c>
      <c r="O54" s="19">
        <v>53</v>
      </c>
      <c r="P54" s="19" t="s">
        <v>95</v>
      </c>
      <c r="Q54" s="19" t="s">
        <v>458</v>
      </c>
      <c r="R54" s="19" t="s">
        <v>92</v>
      </c>
      <c r="S54" s="19" t="s">
        <v>96</v>
      </c>
      <c r="T54" s="19" t="s">
        <v>453</v>
      </c>
      <c r="U54" s="19" t="s">
        <v>452</v>
      </c>
      <c r="V54" s="19" t="s">
        <v>457</v>
      </c>
      <c r="W54" s="19" t="s">
        <v>459</v>
      </c>
    </row>
    <row r="55" spans="1:23">
      <c r="A55" s="10" t="s">
        <v>1175</v>
      </c>
      <c r="B55" s="10">
        <f ca="1">+IF(A55=WORLDCUP!$BI$112,1,0)</f>
        <v>0</v>
      </c>
      <c r="C55" s="10" t="str">
        <f ca="1">+WORLDCUP!BD65</f>
        <v>Arabia Saudita</v>
      </c>
      <c r="D55" s="10" t="str">
        <f ca="1">+WORLDCUP!BD67</f>
        <v>Argelia</v>
      </c>
      <c r="E55" s="10" t="str">
        <f ca="1">+WORLDCUP!BD59</f>
        <v>Catar</v>
      </c>
      <c r="F55" s="10" t="str">
        <f ca="1">+WORLDCUP!BD61</f>
        <v>Australia</v>
      </c>
      <c r="G55" s="10" t="str">
        <f ca="1">+WORLDCUP!BD66</f>
        <v>Noruega</v>
      </c>
      <c r="H55" s="10" t="str">
        <f ca="1">+WORLDCUP!BD64</f>
        <v>Egipto</v>
      </c>
      <c r="I55" s="10" t="str">
        <f ca="1">+WORLDCUP!BD69</f>
        <v>Ghana</v>
      </c>
      <c r="J55" s="10" t="str">
        <f ca="1">+WORLDCUP!BD68</f>
        <v>PO 1: COD/JAM/NCL</v>
      </c>
      <c r="N55" s="19" t="s">
        <v>1175</v>
      </c>
      <c r="O55" s="19">
        <v>54</v>
      </c>
      <c r="P55" s="19" t="s">
        <v>453</v>
      </c>
      <c r="Q55" s="19" t="s">
        <v>458</v>
      </c>
      <c r="R55" s="19" t="s">
        <v>92</v>
      </c>
      <c r="S55" s="19" t="s">
        <v>94</v>
      </c>
      <c r="T55" s="19" t="s">
        <v>457</v>
      </c>
      <c r="U55" s="19" t="s">
        <v>452</v>
      </c>
      <c r="V55" s="19" t="s">
        <v>460</v>
      </c>
      <c r="W55" s="19" t="s">
        <v>459</v>
      </c>
    </row>
    <row r="56" spans="1:23">
      <c r="A56" s="10" t="s">
        <v>1174</v>
      </c>
      <c r="B56" s="10">
        <f ca="1">+IF(A56=WORLDCUP!$BI$112,1,0)</f>
        <v>0</v>
      </c>
      <c r="C56" s="10" t="str">
        <f ca="1">+WORLDCUP!BD65</f>
        <v>Arabia Saudita</v>
      </c>
      <c r="D56" s="10" t="str">
        <f ca="1">+WORLDCUP!BD67</f>
        <v>Argelia</v>
      </c>
      <c r="E56" s="10" t="str">
        <f ca="1">+WORLDCUP!BD59</f>
        <v>Catar</v>
      </c>
      <c r="F56" s="10" t="str">
        <f ca="1">+WORLDCUP!BD61</f>
        <v>Australia</v>
      </c>
      <c r="G56" s="10" t="str">
        <f ca="1">+WORLDCUP!BD66</f>
        <v>Noruega</v>
      </c>
      <c r="H56" s="10" t="str">
        <f ca="1">+WORLDCUP!BD63</f>
        <v>Japón</v>
      </c>
      <c r="I56" s="10" t="str">
        <f ca="1">+WORLDCUP!BD69</f>
        <v>Ghana</v>
      </c>
      <c r="J56" s="10" t="str">
        <f ca="1">+WORLDCUP!BD68</f>
        <v>PO 1: COD/JAM/NCL</v>
      </c>
      <c r="N56" s="19" t="s">
        <v>1174</v>
      </c>
      <c r="O56" s="19">
        <v>55</v>
      </c>
      <c r="P56" s="19" t="s">
        <v>453</v>
      </c>
      <c r="Q56" s="19" t="s">
        <v>458</v>
      </c>
      <c r="R56" s="19" t="s">
        <v>92</v>
      </c>
      <c r="S56" s="19" t="s">
        <v>94</v>
      </c>
      <c r="T56" s="19" t="s">
        <v>457</v>
      </c>
      <c r="U56" s="19" t="s">
        <v>96</v>
      </c>
      <c r="V56" s="19" t="s">
        <v>460</v>
      </c>
      <c r="W56" s="19" t="s">
        <v>459</v>
      </c>
    </row>
    <row r="57" spans="1:23">
      <c r="A57" s="10" t="s">
        <v>1173</v>
      </c>
      <c r="B57" s="10">
        <f ca="1">+IF(A57=WORLDCUP!$BI$112,1,0)</f>
        <v>0</v>
      </c>
      <c r="C57" s="10" t="str">
        <f ca="1">+WORLDCUP!BD66</f>
        <v>Noruega</v>
      </c>
      <c r="D57" s="10" t="str">
        <f ca="1">+WORLDCUP!BD64</f>
        <v>Egipto</v>
      </c>
      <c r="E57" s="10" t="str">
        <f ca="1">+WORLDCUP!BD59</f>
        <v>Catar</v>
      </c>
      <c r="F57" s="10" t="str">
        <f ca="1">+WORLDCUP!BD61</f>
        <v>Australia</v>
      </c>
      <c r="G57" s="10" t="str">
        <f ca="1">+WORLDCUP!BD67</f>
        <v>Argelia</v>
      </c>
      <c r="H57" s="10" t="str">
        <f ca="1">+WORLDCUP!BD63</f>
        <v>Japón</v>
      </c>
      <c r="I57" s="10" t="str">
        <f ca="1">+WORLDCUP!BD69</f>
        <v>Ghana</v>
      </c>
      <c r="J57" s="10" t="str">
        <f ca="1">+WORLDCUP!BD68</f>
        <v>PO 1: COD/JAM/NCL</v>
      </c>
      <c r="N57" s="19" t="s">
        <v>1173</v>
      </c>
      <c r="O57" s="19">
        <v>56</v>
      </c>
      <c r="P57" s="19" t="s">
        <v>457</v>
      </c>
      <c r="Q57" s="19" t="s">
        <v>452</v>
      </c>
      <c r="R57" s="19" t="s">
        <v>92</v>
      </c>
      <c r="S57" s="19" t="s">
        <v>94</v>
      </c>
      <c r="T57" s="19" t="s">
        <v>458</v>
      </c>
      <c r="U57" s="19" t="s">
        <v>96</v>
      </c>
      <c r="V57" s="19" t="s">
        <v>460</v>
      </c>
      <c r="W57" s="19" t="s">
        <v>459</v>
      </c>
    </row>
    <row r="58" spans="1:23">
      <c r="A58" s="10" t="s">
        <v>1172</v>
      </c>
      <c r="B58" s="10">
        <f ca="1">+IF(A58=WORLDCUP!$BI$112,1,0)</f>
        <v>0</v>
      </c>
      <c r="C58" s="10" t="str">
        <f ca="1">+WORLDCUP!BD65</f>
        <v>Arabia Saudita</v>
      </c>
      <c r="D58" s="10" t="str">
        <f ca="1">+WORLDCUP!BD64</f>
        <v>Egipto</v>
      </c>
      <c r="E58" s="10" t="str">
        <f ca="1">+WORLDCUP!BD59</f>
        <v>Catar</v>
      </c>
      <c r="F58" s="10" t="str">
        <f ca="1">+WORLDCUP!BD61</f>
        <v>Australia</v>
      </c>
      <c r="G58" s="10" t="str">
        <f ca="1">+WORLDCUP!BD67</f>
        <v>Argelia</v>
      </c>
      <c r="H58" s="10" t="str">
        <f ca="1">+WORLDCUP!BD63</f>
        <v>Japón</v>
      </c>
      <c r="I58" s="10" t="str">
        <f ca="1">+WORLDCUP!BD69</f>
        <v>Ghana</v>
      </c>
      <c r="J58" s="10" t="str">
        <f ca="1">+WORLDCUP!BD68</f>
        <v>PO 1: COD/JAM/NCL</v>
      </c>
      <c r="N58" s="19" t="s">
        <v>1172</v>
      </c>
      <c r="O58" s="19">
        <v>57</v>
      </c>
      <c r="P58" s="19" t="s">
        <v>453</v>
      </c>
      <c r="Q58" s="19" t="s">
        <v>452</v>
      </c>
      <c r="R58" s="19" t="s">
        <v>92</v>
      </c>
      <c r="S58" s="19" t="s">
        <v>94</v>
      </c>
      <c r="T58" s="19" t="s">
        <v>458</v>
      </c>
      <c r="U58" s="19" t="s">
        <v>96</v>
      </c>
      <c r="V58" s="19" t="s">
        <v>460</v>
      </c>
      <c r="W58" s="19" t="s">
        <v>459</v>
      </c>
    </row>
    <row r="59" spans="1:23">
      <c r="A59" s="10" t="s">
        <v>1171</v>
      </c>
      <c r="B59" s="10">
        <f ca="1">+IF(A59=WORLDCUP!$BI$112,1,0)</f>
        <v>0</v>
      </c>
      <c r="C59" s="10" t="str">
        <f ca="1">+WORLDCUP!BD65</f>
        <v>Arabia Saudita</v>
      </c>
      <c r="D59" s="10" t="str">
        <f ca="1">+WORLDCUP!BD64</f>
        <v>Egipto</v>
      </c>
      <c r="E59" s="10" t="str">
        <f ca="1">+WORLDCUP!BD59</f>
        <v>Catar</v>
      </c>
      <c r="F59" s="10" t="str">
        <f ca="1">+WORLDCUP!BD61</f>
        <v>Australia</v>
      </c>
      <c r="G59" s="10" t="str">
        <f ca="1">+WORLDCUP!BD66</f>
        <v>Noruega</v>
      </c>
      <c r="H59" s="10" t="str">
        <f ca="1">+WORLDCUP!BD63</f>
        <v>Japón</v>
      </c>
      <c r="I59" s="10" t="str">
        <f ca="1">+WORLDCUP!BD69</f>
        <v>Ghana</v>
      </c>
      <c r="J59" s="10" t="str">
        <f ca="1">+WORLDCUP!BD68</f>
        <v>PO 1: COD/JAM/NCL</v>
      </c>
      <c r="N59" s="19" t="s">
        <v>1171</v>
      </c>
      <c r="O59" s="19">
        <v>58</v>
      </c>
      <c r="P59" s="19" t="s">
        <v>453</v>
      </c>
      <c r="Q59" s="19" t="s">
        <v>452</v>
      </c>
      <c r="R59" s="19" t="s">
        <v>92</v>
      </c>
      <c r="S59" s="19" t="s">
        <v>94</v>
      </c>
      <c r="T59" s="19" t="s">
        <v>457</v>
      </c>
      <c r="U59" s="19" t="s">
        <v>96</v>
      </c>
      <c r="V59" s="19" t="s">
        <v>460</v>
      </c>
      <c r="W59" s="19" t="s">
        <v>459</v>
      </c>
    </row>
    <row r="60" spans="1:23">
      <c r="A60" s="10" t="s">
        <v>1170</v>
      </c>
      <c r="B60" s="10">
        <f ca="1">+IF(A60=WORLDCUP!$BI$112,1,0)</f>
        <v>0</v>
      </c>
      <c r="C60" s="10" t="str">
        <f ca="1">+WORLDCUP!BD65</f>
        <v>Arabia Saudita</v>
      </c>
      <c r="D60" s="10" t="str">
        <f ca="1">+WORLDCUP!BD64</f>
        <v>Egipto</v>
      </c>
      <c r="E60" s="10" t="str">
        <f ca="1">+WORLDCUP!BD59</f>
        <v>Catar</v>
      </c>
      <c r="F60" s="10" t="str">
        <f ca="1">+WORLDCUP!BD61</f>
        <v>Australia</v>
      </c>
      <c r="G60" s="10" t="str">
        <f ca="1">+WORLDCUP!BD67</f>
        <v>Argelia</v>
      </c>
      <c r="H60" s="10" t="str">
        <f ca="1">+WORLDCUP!BD63</f>
        <v>Japón</v>
      </c>
      <c r="I60" s="10" t="str">
        <f ca="1">+WORLDCUP!BD69</f>
        <v>Ghana</v>
      </c>
      <c r="J60" s="10" t="str">
        <f ca="1">+WORLDCUP!BD66</f>
        <v>Noruega</v>
      </c>
      <c r="N60" s="19" t="s">
        <v>1170</v>
      </c>
      <c r="O60" s="19">
        <v>59</v>
      </c>
      <c r="P60" s="19" t="s">
        <v>453</v>
      </c>
      <c r="Q60" s="19" t="s">
        <v>452</v>
      </c>
      <c r="R60" s="19" t="s">
        <v>92</v>
      </c>
      <c r="S60" s="19" t="s">
        <v>94</v>
      </c>
      <c r="T60" s="19" t="s">
        <v>458</v>
      </c>
      <c r="U60" s="19" t="s">
        <v>96</v>
      </c>
      <c r="V60" s="19" t="s">
        <v>460</v>
      </c>
      <c r="W60" s="19" t="s">
        <v>457</v>
      </c>
    </row>
    <row r="61" spans="1:23">
      <c r="A61" s="10" t="s">
        <v>1169</v>
      </c>
      <c r="B61" s="10">
        <f ca="1">+IF(A61=WORLDCUP!$BI$112,1,0)</f>
        <v>0</v>
      </c>
      <c r="C61" s="10" t="str">
        <f ca="1">+WORLDCUP!BD65</f>
        <v>Arabia Saudita</v>
      </c>
      <c r="D61" s="10" t="str">
        <f ca="1">+WORLDCUP!BD64</f>
        <v>Egipto</v>
      </c>
      <c r="E61" s="10" t="str">
        <f ca="1">+WORLDCUP!BD59</f>
        <v>Catar</v>
      </c>
      <c r="F61" s="10" t="str">
        <f ca="1">+WORLDCUP!BD61</f>
        <v>Australia</v>
      </c>
      <c r="G61" s="10" t="str">
        <f ca="1">+WORLDCUP!BD67</f>
        <v>Argelia</v>
      </c>
      <c r="H61" s="10" t="str">
        <f ca="1">+WORLDCUP!BD63</f>
        <v>Japón</v>
      </c>
      <c r="I61" s="10" t="str">
        <f ca="1">+WORLDCUP!BD66</f>
        <v>Noruega</v>
      </c>
      <c r="J61" s="10" t="str">
        <f ca="1">+WORLDCUP!BD68</f>
        <v>PO 1: COD/JAM/NCL</v>
      </c>
      <c r="N61" s="19" t="s">
        <v>1169</v>
      </c>
      <c r="O61" s="19">
        <v>60</v>
      </c>
      <c r="P61" s="19" t="s">
        <v>453</v>
      </c>
      <c r="Q61" s="19" t="s">
        <v>452</v>
      </c>
      <c r="R61" s="19" t="s">
        <v>92</v>
      </c>
      <c r="S61" s="19" t="s">
        <v>94</v>
      </c>
      <c r="T61" s="19" t="s">
        <v>458</v>
      </c>
      <c r="U61" s="19" t="s">
        <v>96</v>
      </c>
      <c r="V61" s="19" t="s">
        <v>457</v>
      </c>
      <c r="W61" s="19" t="s">
        <v>459</v>
      </c>
    </row>
    <row r="62" spans="1:23">
      <c r="A62" s="10" t="s">
        <v>1168</v>
      </c>
      <c r="B62" s="10">
        <f ca="1">+IF(A62=WORLDCUP!$BI$112,1,0)</f>
        <v>0</v>
      </c>
      <c r="C62" s="10" t="str">
        <f ca="1">+WORLDCUP!BD62</f>
        <v>Curazao</v>
      </c>
      <c r="D62" s="10" t="str">
        <f ca="1">+WORLDCUP!BD67</f>
        <v>Argelia</v>
      </c>
      <c r="E62" s="10" t="str">
        <f ca="1">+WORLDCUP!BD59</f>
        <v>Catar</v>
      </c>
      <c r="F62" s="10" t="str">
        <f ca="1">+WORLDCUP!BD61</f>
        <v>Australia</v>
      </c>
      <c r="G62" s="10" t="str">
        <f ca="1">+WORLDCUP!BD66</f>
        <v>Noruega</v>
      </c>
      <c r="H62" s="10" t="str">
        <f ca="1">+WORLDCUP!BD65</f>
        <v>Arabia Saudita</v>
      </c>
      <c r="I62" s="10" t="str">
        <f ca="1">+WORLDCUP!BD69</f>
        <v>Ghana</v>
      </c>
      <c r="J62" s="10" t="str">
        <f ca="1">+WORLDCUP!BD68</f>
        <v>PO 1: COD/JAM/NCL</v>
      </c>
      <c r="N62" s="19" t="s">
        <v>1168</v>
      </c>
      <c r="O62" s="19">
        <v>61</v>
      </c>
      <c r="P62" s="19" t="s">
        <v>95</v>
      </c>
      <c r="Q62" s="19" t="s">
        <v>458</v>
      </c>
      <c r="R62" s="19" t="s">
        <v>92</v>
      </c>
      <c r="S62" s="19" t="s">
        <v>94</v>
      </c>
      <c r="T62" s="19" t="s">
        <v>457</v>
      </c>
      <c r="U62" s="19" t="s">
        <v>453</v>
      </c>
      <c r="V62" s="19" t="s">
        <v>460</v>
      </c>
      <c r="W62" s="19" t="s">
        <v>459</v>
      </c>
    </row>
    <row r="63" spans="1:23">
      <c r="A63" s="10" t="s">
        <v>1167</v>
      </c>
      <c r="B63" s="10">
        <f ca="1">+IF(A63=WORLDCUP!$BI$112,1,0)</f>
        <v>0</v>
      </c>
      <c r="C63" s="10" t="str">
        <f ca="1">+WORLDCUP!BD62</f>
        <v>Curazao</v>
      </c>
      <c r="D63" s="10" t="str">
        <f ca="1">+WORLDCUP!BD67</f>
        <v>Argelia</v>
      </c>
      <c r="E63" s="10" t="str">
        <f ca="1">+WORLDCUP!BD59</f>
        <v>Catar</v>
      </c>
      <c r="F63" s="10" t="str">
        <f ca="1">+WORLDCUP!BD61</f>
        <v>Australia</v>
      </c>
      <c r="G63" s="10" t="str">
        <f ca="1">+WORLDCUP!BD66</f>
        <v>Noruega</v>
      </c>
      <c r="H63" s="10" t="str">
        <f ca="1">+WORLDCUP!BD64</f>
        <v>Egipto</v>
      </c>
      <c r="I63" s="10" t="str">
        <f ca="1">+WORLDCUP!BD69</f>
        <v>Ghana</v>
      </c>
      <c r="J63" s="10" t="str">
        <f ca="1">+WORLDCUP!BD68</f>
        <v>PO 1: COD/JAM/NCL</v>
      </c>
      <c r="N63" s="19" t="s">
        <v>1167</v>
      </c>
      <c r="O63" s="19">
        <v>62</v>
      </c>
      <c r="P63" s="19" t="s">
        <v>95</v>
      </c>
      <c r="Q63" s="19" t="s">
        <v>458</v>
      </c>
      <c r="R63" s="19" t="s">
        <v>92</v>
      </c>
      <c r="S63" s="19" t="s">
        <v>94</v>
      </c>
      <c r="T63" s="19" t="s">
        <v>457</v>
      </c>
      <c r="U63" s="19" t="s">
        <v>452</v>
      </c>
      <c r="V63" s="19" t="s">
        <v>460</v>
      </c>
      <c r="W63" s="19" t="s">
        <v>459</v>
      </c>
    </row>
    <row r="64" spans="1:23">
      <c r="A64" s="10" t="s">
        <v>1166</v>
      </c>
      <c r="B64" s="10">
        <f ca="1">+IF(A64=WORLDCUP!$BI$112,1,0)</f>
        <v>0</v>
      </c>
      <c r="C64" s="10" t="str">
        <f ca="1">+WORLDCUP!BD62</f>
        <v>Curazao</v>
      </c>
      <c r="D64" s="10" t="str">
        <f ca="1">+WORLDCUP!BD67</f>
        <v>Argelia</v>
      </c>
      <c r="E64" s="10" t="str">
        <f ca="1">+WORLDCUP!BD59</f>
        <v>Catar</v>
      </c>
      <c r="F64" s="10" t="str">
        <f ca="1">+WORLDCUP!BD61</f>
        <v>Australia</v>
      </c>
      <c r="G64" s="10" t="str">
        <f ca="1">+WORLDCUP!BD65</f>
        <v>Arabia Saudita</v>
      </c>
      <c r="H64" s="10" t="str">
        <f ca="1">+WORLDCUP!BD64</f>
        <v>Egipto</v>
      </c>
      <c r="I64" s="10" t="str">
        <f ca="1">+WORLDCUP!BD69</f>
        <v>Ghana</v>
      </c>
      <c r="J64" s="10" t="str">
        <f ca="1">+WORLDCUP!BD68</f>
        <v>PO 1: COD/JAM/NCL</v>
      </c>
      <c r="N64" s="19" t="s">
        <v>1166</v>
      </c>
      <c r="O64" s="19">
        <v>63</v>
      </c>
      <c r="P64" s="19" t="s">
        <v>95</v>
      </c>
      <c r="Q64" s="19" t="s">
        <v>458</v>
      </c>
      <c r="R64" s="19" t="s">
        <v>92</v>
      </c>
      <c r="S64" s="19" t="s">
        <v>94</v>
      </c>
      <c r="T64" s="19" t="s">
        <v>453</v>
      </c>
      <c r="U64" s="19" t="s">
        <v>452</v>
      </c>
      <c r="V64" s="19" t="s">
        <v>460</v>
      </c>
      <c r="W64" s="19" t="s">
        <v>459</v>
      </c>
    </row>
    <row r="65" spans="1:23">
      <c r="A65" s="10" t="s">
        <v>1165</v>
      </c>
      <c r="B65" s="10">
        <f ca="1">+IF(A65=WORLDCUP!$BI$112,1,0)</f>
        <v>0</v>
      </c>
      <c r="C65" s="10" t="str">
        <f ca="1">+WORLDCUP!BD62</f>
        <v>Curazao</v>
      </c>
      <c r="D65" s="10" t="str">
        <f ca="1">+WORLDCUP!BD64</f>
        <v>Egipto</v>
      </c>
      <c r="E65" s="10" t="str">
        <f ca="1">+WORLDCUP!BD59</f>
        <v>Catar</v>
      </c>
      <c r="F65" s="10" t="str">
        <f ca="1">+WORLDCUP!BD61</f>
        <v>Australia</v>
      </c>
      <c r="G65" s="10" t="str">
        <f ca="1">+WORLDCUP!BD66</f>
        <v>Noruega</v>
      </c>
      <c r="H65" s="10" t="str">
        <f ca="1">+WORLDCUP!BD65</f>
        <v>Arabia Saudita</v>
      </c>
      <c r="I65" s="10" t="str">
        <f ca="1">+WORLDCUP!BD69</f>
        <v>Ghana</v>
      </c>
      <c r="J65" s="10" t="str">
        <f ca="1">+WORLDCUP!BD68</f>
        <v>PO 1: COD/JAM/NCL</v>
      </c>
      <c r="N65" s="19" t="s">
        <v>1165</v>
      </c>
      <c r="O65" s="19">
        <v>64</v>
      </c>
      <c r="P65" s="19" t="s">
        <v>95</v>
      </c>
      <c r="Q65" s="19" t="s">
        <v>452</v>
      </c>
      <c r="R65" s="19" t="s">
        <v>92</v>
      </c>
      <c r="S65" s="19" t="s">
        <v>94</v>
      </c>
      <c r="T65" s="19" t="s">
        <v>457</v>
      </c>
      <c r="U65" s="19" t="s">
        <v>453</v>
      </c>
      <c r="V65" s="19" t="s">
        <v>460</v>
      </c>
      <c r="W65" s="19" t="s">
        <v>459</v>
      </c>
    </row>
    <row r="66" spans="1:23">
      <c r="A66" s="10" t="s">
        <v>1164</v>
      </c>
      <c r="B66" s="10">
        <f ca="1">+IF(A66=WORLDCUP!$BI$112,1,0)</f>
        <v>0</v>
      </c>
      <c r="C66" s="10" t="str">
        <f ca="1">+WORLDCUP!BD62</f>
        <v>Curazao</v>
      </c>
      <c r="D66" s="10" t="str">
        <f ca="1">+WORLDCUP!BD67</f>
        <v>Argelia</v>
      </c>
      <c r="E66" s="10" t="str">
        <f ca="1">+WORLDCUP!BD59</f>
        <v>Catar</v>
      </c>
      <c r="F66" s="10" t="str">
        <f ca="1">+WORLDCUP!BD61</f>
        <v>Australia</v>
      </c>
      <c r="G66" s="10" t="str">
        <f ca="1">+WORLDCUP!BD65</f>
        <v>Arabia Saudita</v>
      </c>
      <c r="H66" s="10" t="str">
        <f ca="1">+WORLDCUP!BD64</f>
        <v>Egipto</v>
      </c>
      <c r="I66" s="10" t="str">
        <f ca="1">+WORLDCUP!BD69</f>
        <v>Ghana</v>
      </c>
      <c r="J66" s="10" t="str">
        <f ca="1">+WORLDCUP!BD66</f>
        <v>Noruega</v>
      </c>
      <c r="N66" s="19" t="s">
        <v>1164</v>
      </c>
      <c r="O66" s="19">
        <v>65</v>
      </c>
      <c r="P66" s="19" t="s">
        <v>95</v>
      </c>
      <c r="Q66" s="19" t="s">
        <v>458</v>
      </c>
      <c r="R66" s="19" t="s">
        <v>92</v>
      </c>
      <c r="S66" s="19" t="s">
        <v>94</v>
      </c>
      <c r="T66" s="19" t="s">
        <v>453</v>
      </c>
      <c r="U66" s="19" t="s">
        <v>452</v>
      </c>
      <c r="V66" s="19" t="s">
        <v>460</v>
      </c>
      <c r="W66" s="19" t="s">
        <v>457</v>
      </c>
    </row>
    <row r="67" spans="1:23">
      <c r="A67" s="10" t="s">
        <v>1163</v>
      </c>
      <c r="B67" s="10">
        <f ca="1">+IF(A67=WORLDCUP!$BI$112,1,0)</f>
        <v>0</v>
      </c>
      <c r="C67" s="10" t="str">
        <f ca="1">+WORLDCUP!BD62</f>
        <v>Curazao</v>
      </c>
      <c r="D67" s="10" t="str">
        <f ca="1">+WORLDCUP!BD67</f>
        <v>Argelia</v>
      </c>
      <c r="E67" s="10" t="str">
        <f ca="1">+WORLDCUP!BD59</f>
        <v>Catar</v>
      </c>
      <c r="F67" s="10" t="str">
        <f ca="1">+WORLDCUP!BD61</f>
        <v>Australia</v>
      </c>
      <c r="G67" s="10" t="str">
        <f ca="1">+WORLDCUP!BD65</f>
        <v>Arabia Saudita</v>
      </c>
      <c r="H67" s="10" t="str">
        <f ca="1">+WORLDCUP!BD64</f>
        <v>Egipto</v>
      </c>
      <c r="I67" s="10" t="str">
        <f ca="1">+WORLDCUP!BD66</f>
        <v>Noruega</v>
      </c>
      <c r="J67" s="10" t="str">
        <f ca="1">+WORLDCUP!BD68</f>
        <v>PO 1: COD/JAM/NCL</v>
      </c>
      <c r="N67" s="19" t="s">
        <v>1163</v>
      </c>
      <c r="O67" s="19">
        <v>66</v>
      </c>
      <c r="P67" s="19" t="s">
        <v>95</v>
      </c>
      <c r="Q67" s="19" t="s">
        <v>458</v>
      </c>
      <c r="R67" s="19" t="s">
        <v>92</v>
      </c>
      <c r="S67" s="19" t="s">
        <v>94</v>
      </c>
      <c r="T67" s="19" t="s">
        <v>453</v>
      </c>
      <c r="U67" s="19" t="s">
        <v>452</v>
      </c>
      <c r="V67" s="19" t="s">
        <v>457</v>
      </c>
      <c r="W67" s="19" t="s">
        <v>459</v>
      </c>
    </row>
    <row r="68" spans="1:23">
      <c r="A68" s="10" t="s">
        <v>1162</v>
      </c>
      <c r="B68" s="10">
        <f ca="1">+IF(A68=WORLDCUP!$BI$112,1,0)</f>
        <v>0</v>
      </c>
      <c r="C68" s="10" t="str">
        <f ca="1">+WORLDCUP!BD62</f>
        <v>Curazao</v>
      </c>
      <c r="D68" s="10" t="str">
        <f ca="1">+WORLDCUP!BD67</f>
        <v>Argelia</v>
      </c>
      <c r="E68" s="10" t="str">
        <f ca="1">+WORLDCUP!BD59</f>
        <v>Catar</v>
      </c>
      <c r="F68" s="10" t="str">
        <f ca="1">+WORLDCUP!BD61</f>
        <v>Australia</v>
      </c>
      <c r="G68" s="10" t="str">
        <f ca="1">+WORLDCUP!BD66</f>
        <v>Noruega</v>
      </c>
      <c r="H68" s="10" t="str">
        <f ca="1">+WORLDCUP!BD63</f>
        <v>Japón</v>
      </c>
      <c r="I68" s="10" t="str">
        <f ca="1">+WORLDCUP!BD69</f>
        <v>Ghana</v>
      </c>
      <c r="J68" s="10" t="str">
        <f ca="1">+WORLDCUP!BD68</f>
        <v>PO 1: COD/JAM/NCL</v>
      </c>
      <c r="N68" s="19" t="s">
        <v>1162</v>
      </c>
      <c r="O68" s="19">
        <v>67</v>
      </c>
      <c r="P68" s="19" t="s">
        <v>95</v>
      </c>
      <c r="Q68" s="19" t="s">
        <v>458</v>
      </c>
      <c r="R68" s="19" t="s">
        <v>92</v>
      </c>
      <c r="S68" s="19" t="s">
        <v>94</v>
      </c>
      <c r="T68" s="19" t="s">
        <v>457</v>
      </c>
      <c r="U68" s="19" t="s">
        <v>96</v>
      </c>
      <c r="V68" s="19" t="s">
        <v>460</v>
      </c>
      <c r="W68" s="19" t="s">
        <v>459</v>
      </c>
    </row>
    <row r="69" spans="1:23">
      <c r="A69" s="10" t="s">
        <v>1161</v>
      </c>
      <c r="B69" s="10">
        <f ca="1">+IF(A69=WORLDCUP!$BI$112,1,0)</f>
        <v>0</v>
      </c>
      <c r="C69" s="10" t="str">
        <f ca="1">+WORLDCUP!BD62</f>
        <v>Curazao</v>
      </c>
      <c r="D69" s="10" t="str">
        <f ca="1">+WORLDCUP!BD67</f>
        <v>Argelia</v>
      </c>
      <c r="E69" s="10" t="str">
        <f ca="1">+WORLDCUP!BD59</f>
        <v>Catar</v>
      </c>
      <c r="F69" s="10" t="str">
        <f ca="1">+WORLDCUP!BD61</f>
        <v>Australia</v>
      </c>
      <c r="G69" s="10" t="str">
        <f ca="1">+WORLDCUP!BD65</f>
        <v>Arabia Saudita</v>
      </c>
      <c r="H69" s="10" t="str">
        <f ca="1">+WORLDCUP!BD63</f>
        <v>Japón</v>
      </c>
      <c r="I69" s="10" t="str">
        <f ca="1">+WORLDCUP!BD69</f>
        <v>Ghana</v>
      </c>
      <c r="J69" s="10" t="str">
        <f ca="1">+WORLDCUP!BD68</f>
        <v>PO 1: COD/JAM/NCL</v>
      </c>
      <c r="N69" s="19" t="s">
        <v>1161</v>
      </c>
      <c r="O69" s="19">
        <v>68</v>
      </c>
      <c r="P69" s="19" t="s">
        <v>95</v>
      </c>
      <c r="Q69" s="19" t="s">
        <v>458</v>
      </c>
      <c r="R69" s="19" t="s">
        <v>92</v>
      </c>
      <c r="S69" s="19" t="s">
        <v>94</v>
      </c>
      <c r="T69" s="19" t="s">
        <v>453</v>
      </c>
      <c r="U69" s="19" t="s">
        <v>96</v>
      </c>
      <c r="V69" s="19" t="s">
        <v>460</v>
      </c>
      <c r="W69" s="19" t="s">
        <v>459</v>
      </c>
    </row>
    <row r="70" spans="1:23">
      <c r="A70" s="10" t="s">
        <v>1160</v>
      </c>
      <c r="B70" s="10">
        <f ca="1">+IF(A70=WORLDCUP!$BI$112,1,0)</f>
        <v>0</v>
      </c>
      <c r="C70" s="10" t="str">
        <f ca="1">+WORLDCUP!BD62</f>
        <v>Curazao</v>
      </c>
      <c r="D70" s="10" t="str">
        <f ca="1">+WORLDCUP!BD66</f>
        <v>Noruega</v>
      </c>
      <c r="E70" s="10" t="str">
        <f ca="1">+WORLDCUP!BD59</f>
        <v>Catar</v>
      </c>
      <c r="F70" s="10" t="str">
        <f ca="1">+WORLDCUP!BD61</f>
        <v>Australia</v>
      </c>
      <c r="G70" s="10" t="str">
        <f ca="1">+WORLDCUP!BD65</f>
        <v>Arabia Saudita</v>
      </c>
      <c r="H70" s="10" t="str">
        <f ca="1">+WORLDCUP!BD63</f>
        <v>Japón</v>
      </c>
      <c r="I70" s="10" t="str">
        <f ca="1">+WORLDCUP!BD69</f>
        <v>Ghana</v>
      </c>
      <c r="J70" s="10" t="str">
        <f ca="1">+WORLDCUP!BD68</f>
        <v>PO 1: COD/JAM/NCL</v>
      </c>
      <c r="N70" s="19" t="s">
        <v>1160</v>
      </c>
      <c r="O70" s="19">
        <v>69</v>
      </c>
      <c r="P70" s="19" t="s">
        <v>95</v>
      </c>
      <c r="Q70" s="19" t="s">
        <v>457</v>
      </c>
      <c r="R70" s="19" t="s">
        <v>92</v>
      </c>
      <c r="S70" s="19" t="s">
        <v>94</v>
      </c>
      <c r="T70" s="19" t="s">
        <v>453</v>
      </c>
      <c r="U70" s="19" t="s">
        <v>96</v>
      </c>
      <c r="V70" s="19" t="s">
        <v>460</v>
      </c>
      <c r="W70" s="19" t="s">
        <v>459</v>
      </c>
    </row>
    <row r="71" spans="1:23">
      <c r="A71" s="10" t="s">
        <v>1159</v>
      </c>
      <c r="B71" s="10">
        <f ca="1">+IF(A71=WORLDCUP!$BI$112,1,0)</f>
        <v>0</v>
      </c>
      <c r="C71" s="10" t="str">
        <f ca="1">+WORLDCUP!BD62</f>
        <v>Curazao</v>
      </c>
      <c r="D71" s="10" t="str">
        <f ca="1">+WORLDCUP!BD67</f>
        <v>Argelia</v>
      </c>
      <c r="E71" s="10" t="str">
        <f ca="1">+WORLDCUP!BD59</f>
        <v>Catar</v>
      </c>
      <c r="F71" s="10" t="str">
        <f ca="1">+WORLDCUP!BD61</f>
        <v>Australia</v>
      </c>
      <c r="G71" s="10" t="str">
        <f ca="1">+WORLDCUP!BD65</f>
        <v>Arabia Saudita</v>
      </c>
      <c r="H71" s="10" t="str">
        <f ca="1">+WORLDCUP!BD63</f>
        <v>Japón</v>
      </c>
      <c r="I71" s="10" t="str">
        <f ca="1">+WORLDCUP!BD69</f>
        <v>Ghana</v>
      </c>
      <c r="J71" s="10" t="str">
        <f ca="1">+WORLDCUP!BD66</f>
        <v>Noruega</v>
      </c>
      <c r="N71" s="19" t="s">
        <v>1159</v>
      </c>
      <c r="O71" s="19">
        <v>70</v>
      </c>
      <c r="P71" s="19" t="s">
        <v>95</v>
      </c>
      <c r="Q71" s="19" t="s">
        <v>458</v>
      </c>
      <c r="R71" s="19" t="s">
        <v>92</v>
      </c>
      <c r="S71" s="19" t="s">
        <v>94</v>
      </c>
      <c r="T71" s="19" t="s">
        <v>453</v>
      </c>
      <c r="U71" s="19" t="s">
        <v>96</v>
      </c>
      <c r="V71" s="19" t="s">
        <v>460</v>
      </c>
      <c r="W71" s="19" t="s">
        <v>457</v>
      </c>
    </row>
    <row r="72" spans="1:23">
      <c r="A72" s="10" t="s">
        <v>1158</v>
      </c>
      <c r="B72" s="10">
        <f ca="1">+IF(A72=WORLDCUP!$BI$112,1,0)</f>
        <v>0</v>
      </c>
      <c r="C72" s="10" t="str">
        <f ca="1">+WORLDCUP!BD62</f>
        <v>Curazao</v>
      </c>
      <c r="D72" s="10" t="str">
        <f ca="1">+WORLDCUP!BD67</f>
        <v>Argelia</v>
      </c>
      <c r="E72" s="10" t="str">
        <f ca="1">+WORLDCUP!BD59</f>
        <v>Catar</v>
      </c>
      <c r="F72" s="10" t="str">
        <f ca="1">+WORLDCUP!BD61</f>
        <v>Australia</v>
      </c>
      <c r="G72" s="10" t="str">
        <f ca="1">+WORLDCUP!BD65</f>
        <v>Arabia Saudita</v>
      </c>
      <c r="H72" s="10" t="str">
        <f ca="1">+WORLDCUP!BD63</f>
        <v>Japón</v>
      </c>
      <c r="I72" s="10" t="str">
        <f ca="1">+WORLDCUP!BD66</f>
        <v>Noruega</v>
      </c>
      <c r="J72" s="10" t="str">
        <f ca="1">+WORLDCUP!BD68</f>
        <v>PO 1: COD/JAM/NCL</v>
      </c>
      <c r="N72" s="19" t="s">
        <v>1158</v>
      </c>
      <c r="O72" s="19">
        <v>71</v>
      </c>
      <c r="P72" s="19" t="s">
        <v>95</v>
      </c>
      <c r="Q72" s="19" t="s">
        <v>458</v>
      </c>
      <c r="R72" s="19" t="s">
        <v>92</v>
      </c>
      <c r="S72" s="19" t="s">
        <v>94</v>
      </c>
      <c r="T72" s="19" t="s">
        <v>453</v>
      </c>
      <c r="U72" s="19" t="s">
        <v>96</v>
      </c>
      <c r="V72" s="19" t="s">
        <v>457</v>
      </c>
      <c r="W72" s="19" t="s">
        <v>459</v>
      </c>
    </row>
    <row r="73" spans="1:23">
      <c r="A73" s="10" t="s">
        <v>1157</v>
      </c>
      <c r="B73" s="10">
        <f ca="1">+IF(A73=WORLDCUP!$BI$112,1,0)</f>
        <v>0</v>
      </c>
      <c r="C73" s="10" t="str">
        <f ca="1">+WORLDCUP!BD62</f>
        <v>Curazao</v>
      </c>
      <c r="D73" s="10" t="str">
        <f ca="1">+WORLDCUP!BD64</f>
        <v>Egipto</v>
      </c>
      <c r="E73" s="10" t="str">
        <f ca="1">+WORLDCUP!BD59</f>
        <v>Catar</v>
      </c>
      <c r="F73" s="10" t="str">
        <f ca="1">+WORLDCUP!BD61</f>
        <v>Australia</v>
      </c>
      <c r="G73" s="10" t="str">
        <f ca="1">+WORLDCUP!BD67</f>
        <v>Argelia</v>
      </c>
      <c r="H73" s="10" t="str">
        <f ca="1">+WORLDCUP!BD63</f>
        <v>Japón</v>
      </c>
      <c r="I73" s="10" t="str">
        <f ca="1">+WORLDCUP!BD69</f>
        <v>Ghana</v>
      </c>
      <c r="J73" s="10" t="str">
        <f ca="1">+WORLDCUP!BD68</f>
        <v>PO 1: COD/JAM/NCL</v>
      </c>
      <c r="N73" s="19" t="s">
        <v>1157</v>
      </c>
      <c r="O73" s="19">
        <v>72</v>
      </c>
      <c r="P73" s="19" t="s">
        <v>95</v>
      </c>
      <c r="Q73" s="19" t="s">
        <v>452</v>
      </c>
      <c r="R73" s="19" t="s">
        <v>92</v>
      </c>
      <c r="S73" s="19" t="s">
        <v>94</v>
      </c>
      <c r="T73" s="19" t="s">
        <v>458</v>
      </c>
      <c r="U73" s="19" t="s">
        <v>96</v>
      </c>
      <c r="V73" s="19" t="s">
        <v>460</v>
      </c>
      <c r="W73" s="19" t="s">
        <v>459</v>
      </c>
    </row>
    <row r="74" spans="1:23">
      <c r="A74" s="10" t="s">
        <v>1156</v>
      </c>
      <c r="B74" s="10">
        <f ca="1">+IF(A74=WORLDCUP!$BI$112,1,0)</f>
        <v>0</v>
      </c>
      <c r="C74" s="10" t="str">
        <f ca="1">+WORLDCUP!BD62</f>
        <v>Curazao</v>
      </c>
      <c r="D74" s="10" t="str">
        <f ca="1">+WORLDCUP!BD64</f>
        <v>Egipto</v>
      </c>
      <c r="E74" s="10" t="str">
        <f ca="1">+WORLDCUP!BD59</f>
        <v>Catar</v>
      </c>
      <c r="F74" s="10" t="str">
        <f ca="1">+WORLDCUP!BD61</f>
        <v>Australia</v>
      </c>
      <c r="G74" s="10" t="str">
        <f ca="1">+WORLDCUP!BD66</f>
        <v>Noruega</v>
      </c>
      <c r="H74" s="10" t="str">
        <f ca="1">+WORLDCUP!BD63</f>
        <v>Japón</v>
      </c>
      <c r="I74" s="10" t="str">
        <f ca="1">+WORLDCUP!BD69</f>
        <v>Ghana</v>
      </c>
      <c r="J74" s="10" t="str">
        <f ca="1">+WORLDCUP!BD68</f>
        <v>PO 1: COD/JAM/NCL</v>
      </c>
      <c r="N74" s="19" t="s">
        <v>1156</v>
      </c>
      <c r="O74" s="19">
        <v>73</v>
      </c>
      <c r="P74" s="19" t="s">
        <v>95</v>
      </c>
      <c r="Q74" s="19" t="s">
        <v>452</v>
      </c>
      <c r="R74" s="19" t="s">
        <v>92</v>
      </c>
      <c r="S74" s="19" t="s">
        <v>94</v>
      </c>
      <c r="T74" s="19" t="s">
        <v>457</v>
      </c>
      <c r="U74" s="19" t="s">
        <v>96</v>
      </c>
      <c r="V74" s="19" t="s">
        <v>460</v>
      </c>
      <c r="W74" s="19" t="s">
        <v>459</v>
      </c>
    </row>
    <row r="75" spans="1:23">
      <c r="A75" s="10" t="s">
        <v>1155</v>
      </c>
      <c r="B75" s="10">
        <f ca="1">+IF(A75=WORLDCUP!$BI$112,1,0)</f>
        <v>0</v>
      </c>
      <c r="C75" s="10" t="str">
        <f ca="1">+WORLDCUP!BD62</f>
        <v>Curazao</v>
      </c>
      <c r="D75" s="10" t="str">
        <f ca="1">+WORLDCUP!BD64</f>
        <v>Egipto</v>
      </c>
      <c r="E75" s="10" t="str">
        <f ca="1">+WORLDCUP!BD59</f>
        <v>Catar</v>
      </c>
      <c r="F75" s="10" t="str">
        <f ca="1">+WORLDCUP!BD61</f>
        <v>Australia</v>
      </c>
      <c r="G75" s="10" t="str">
        <f ca="1">+WORLDCUP!BD67</f>
        <v>Argelia</v>
      </c>
      <c r="H75" s="10" t="str">
        <f ca="1">+WORLDCUP!BD63</f>
        <v>Japón</v>
      </c>
      <c r="I75" s="10" t="str">
        <f ca="1">+WORLDCUP!BD69</f>
        <v>Ghana</v>
      </c>
      <c r="J75" s="10" t="str">
        <f ca="1">+WORLDCUP!BD66</f>
        <v>Noruega</v>
      </c>
      <c r="N75" s="19" t="s">
        <v>1155</v>
      </c>
      <c r="O75" s="19">
        <v>74</v>
      </c>
      <c r="P75" s="19" t="s">
        <v>95</v>
      </c>
      <c r="Q75" s="19" t="s">
        <v>452</v>
      </c>
      <c r="R75" s="19" t="s">
        <v>92</v>
      </c>
      <c r="S75" s="19" t="s">
        <v>94</v>
      </c>
      <c r="T75" s="19" t="s">
        <v>458</v>
      </c>
      <c r="U75" s="19" t="s">
        <v>96</v>
      </c>
      <c r="V75" s="19" t="s">
        <v>460</v>
      </c>
      <c r="W75" s="19" t="s">
        <v>457</v>
      </c>
    </row>
    <row r="76" spans="1:23">
      <c r="A76" s="10" t="s">
        <v>1154</v>
      </c>
      <c r="B76" s="10">
        <f ca="1">+IF(A76=WORLDCUP!$BI$112,1,0)</f>
        <v>0</v>
      </c>
      <c r="C76" s="10" t="str">
        <f ca="1">+WORLDCUP!BD62</f>
        <v>Curazao</v>
      </c>
      <c r="D76" s="10" t="str">
        <f ca="1">+WORLDCUP!BD64</f>
        <v>Egipto</v>
      </c>
      <c r="E76" s="10" t="str">
        <f ca="1">+WORLDCUP!BD59</f>
        <v>Catar</v>
      </c>
      <c r="F76" s="10" t="str">
        <f ca="1">+WORLDCUP!BD61</f>
        <v>Australia</v>
      </c>
      <c r="G76" s="10" t="str">
        <f ca="1">+WORLDCUP!BD67</f>
        <v>Argelia</v>
      </c>
      <c r="H76" s="10" t="str">
        <f ca="1">+WORLDCUP!BD63</f>
        <v>Japón</v>
      </c>
      <c r="I76" s="10" t="str">
        <f ca="1">+WORLDCUP!BD66</f>
        <v>Noruega</v>
      </c>
      <c r="J76" s="10" t="str">
        <f ca="1">+WORLDCUP!BD68</f>
        <v>PO 1: COD/JAM/NCL</v>
      </c>
      <c r="N76" s="19" t="s">
        <v>1154</v>
      </c>
      <c r="O76" s="19">
        <v>75</v>
      </c>
      <c r="P76" s="19" t="s">
        <v>95</v>
      </c>
      <c r="Q76" s="19" t="s">
        <v>452</v>
      </c>
      <c r="R76" s="19" t="s">
        <v>92</v>
      </c>
      <c r="S76" s="19" t="s">
        <v>94</v>
      </c>
      <c r="T76" s="19" t="s">
        <v>458</v>
      </c>
      <c r="U76" s="19" t="s">
        <v>96</v>
      </c>
      <c r="V76" s="19" t="s">
        <v>457</v>
      </c>
      <c r="W76" s="19" t="s">
        <v>459</v>
      </c>
    </row>
    <row r="77" spans="1:23">
      <c r="A77" s="10" t="s">
        <v>621</v>
      </c>
      <c r="B77" s="10">
        <f ca="1">+IF(A77=WORLDCUP!$BI$112,1,0)</f>
        <v>0</v>
      </c>
      <c r="C77" s="10" t="str">
        <f ca="1">+WORLDCUP!BD62</f>
        <v>Curazao</v>
      </c>
      <c r="D77" s="10" t="str">
        <f ca="1">+WORLDCUP!BD64</f>
        <v>Egipto</v>
      </c>
      <c r="E77" s="10" t="str">
        <f ca="1">+WORLDCUP!BD59</f>
        <v>Catar</v>
      </c>
      <c r="F77" s="10" t="str">
        <f ca="1">+WORLDCUP!BD61</f>
        <v>Australia</v>
      </c>
      <c r="G77" s="10" t="str">
        <f ca="1">+WORLDCUP!BD65</f>
        <v>Arabia Saudita</v>
      </c>
      <c r="H77" s="10" t="str">
        <f ca="1">+WORLDCUP!BD63</f>
        <v>Japón</v>
      </c>
      <c r="I77" s="10" t="str">
        <f ca="1">+WORLDCUP!BD69</f>
        <v>Ghana</v>
      </c>
      <c r="J77" s="10" t="str">
        <f ca="1">+WORLDCUP!BD68</f>
        <v>PO 1: COD/JAM/NCL</v>
      </c>
      <c r="N77" s="19" t="s">
        <v>621</v>
      </c>
      <c r="O77" s="19">
        <v>76</v>
      </c>
      <c r="P77" s="19" t="s">
        <v>95</v>
      </c>
      <c r="Q77" s="19" t="s">
        <v>452</v>
      </c>
      <c r="R77" s="19" t="s">
        <v>92</v>
      </c>
      <c r="S77" s="19" t="s">
        <v>94</v>
      </c>
      <c r="T77" s="19" t="s">
        <v>453</v>
      </c>
      <c r="U77" s="19" t="s">
        <v>96</v>
      </c>
      <c r="V77" s="19" t="s">
        <v>460</v>
      </c>
      <c r="W77" s="19" t="s">
        <v>459</v>
      </c>
    </row>
    <row r="78" spans="1:23">
      <c r="A78" s="10" t="s">
        <v>620</v>
      </c>
      <c r="B78" s="10">
        <f ca="1">+IF(A78=WORLDCUP!$BI$112,1,0)</f>
        <v>0</v>
      </c>
      <c r="C78" s="10" t="str">
        <f ca="1">+WORLDCUP!BD65</f>
        <v>Arabia Saudita</v>
      </c>
      <c r="D78" s="10" t="str">
        <f ca="1">+WORLDCUP!BD64</f>
        <v>Egipto</v>
      </c>
      <c r="E78" s="10" t="str">
        <f ca="1">+WORLDCUP!BD59</f>
        <v>Catar</v>
      </c>
      <c r="F78" s="10" t="str">
        <f ca="1">+WORLDCUP!BD61</f>
        <v>Australia</v>
      </c>
      <c r="G78" s="10" t="str">
        <f ca="1">+WORLDCUP!BD67</f>
        <v>Argelia</v>
      </c>
      <c r="H78" s="10" t="str">
        <f ca="1">+WORLDCUP!BD63</f>
        <v>Japón</v>
      </c>
      <c r="I78" s="10" t="str">
        <f ca="1">+WORLDCUP!BD69</f>
        <v>Ghana</v>
      </c>
      <c r="J78" s="10" t="str">
        <f ca="1">+WORLDCUP!BD62</f>
        <v>Curazao</v>
      </c>
      <c r="N78" s="19" t="s">
        <v>620</v>
      </c>
      <c r="O78" s="19">
        <v>77</v>
      </c>
      <c r="P78" s="19" t="s">
        <v>453</v>
      </c>
      <c r="Q78" s="19" t="s">
        <v>452</v>
      </c>
      <c r="R78" s="19" t="s">
        <v>92</v>
      </c>
      <c r="S78" s="19" t="s">
        <v>94</v>
      </c>
      <c r="T78" s="19" t="s">
        <v>458</v>
      </c>
      <c r="U78" s="19" t="s">
        <v>96</v>
      </c>
      <c r="V78" s="19" t="s">
        <v>460</v>
      </c>
      <c r="W78" s="19" t="s">
        <v>95</v>
      </c>
    </row>
    <row r="79" spans="1:23">
      <c r="A79" s="10" t="s">
        <v>619</v>
      </c>
      <c r="B79" s="10">
        <f ca="1">+IF(A79=WORLDCUP!$BI$112,1,0)</f>
        <v>0</v>
      </c>
      <c r="C79" s="10" t="str">
        <f ca="1">+WORLDCUP!BD65</f>
        <v>Arabia Saudita</v>
      </c>
      <c r="D79" s="10" t="str">
        <f ca="1">+WORLDCUP!BD64</f>
        <v>Egipto</v>
      </c>
      <c r="E79" s="10" t="str">
        <f ca="1">+WORLDCUP!BD59</f>
        <v>Catar</v>
      </c>
      <c r="F79" s="10" t="str">
        <f ca="1">+WORLDCUP!BD61</f>
        <v>Australia</v>
      </c>
      <c r="G79" s="10" t="str">
        <f ca="1">+WORLDCUP!BD67</f>
        <v>Argelia</v>
      </c>
      <c r="H79" s="10" t="str">
        <f ca="1">+WORLDCUP!BD63</f>
        <v>Japón</v>
      </c>
      <c r="I79" s="10" t="str">
        <f ca="1">+WORLDCUP!BD62</f>
        <v>Curazao</v>
      </c>
      <c r="J79" s="10" t="str">
        <f ca="1">+WORLDCUP!BD68</f>
        <v>PO 1: COD/JAM/NCL</v>
      </c>
      <c r="N79" s="19" t="s">
        <v>619</v>
      </c>
      <c r="O79" s="19">
        <v>78</v>
      </c>
      <c r="P79" s="19" t="s">
        <v>453</v>
      </c>
      <c r="Q79" s="19" t="s">
        <v>452</v>
      </c>
      <c r="R79" s="19" t="s">
        <v>92</v>
      </c>
      <c r="S79" s="19" t="s">
        <v>94</v>
      </c>
      <c r="T79" s="19" t="s">
        <v>458</v>
      </c>
      <c r="U79" s="19" t="s">
        <v>96</v>
      </c>
      <c r="V79" s="19" t="s">
        <v>95</v>
      </c>
      <c r="W79" s="19" t="s">
        <v>459</v>
      </c>
    </row>
    <row r="80" spans="1:23">
      <c r="A80" s="10" t="s">
        <v>618</v>
      </c>
      <c r="B80" s="10">
        <f ca="1">+IF(A80=WORLDCUP!$BI$112,1,0)</f>
        <v>0</v>
      </c>
      <c r="C80" s="10" t="str">
        <f ca="1">+WORLDCUP!BD62</f>
        <v>Curazao</v>
      </c>
      <c r="D80" s="10" t="str">
        <f ca="1">+WORLDCUP!BD64</f>
        <v>Egipto</v>
      </c>
      <c r="E80" s="10" t="str">
        <f ca="1">+WORLDCUP!BD59</f>
        <v>Catar</v>
      </c>
      <c r="F80" s="10" t="str">
        <f ca="1">+WORLDCUP!BD61</f>
        <v>Australia</v>
      </c>
      <c r="G80" s="10" t="str">
        <f ca="1">+WORLDCUP!BD65</f>
        <v>Arabia Saudita</v>
      </c>
      <c r="H80" s="10" t="str">
        <f ca="1">+WORLDCUP!BD63</f>
        <v>Japón</v>
      </c>
      <c r="I80" s="10" t="str">
        <f ca="1">+WORLDCUP!BD69</f>
        <v>Ghana</v>
      </c>
      <c r="J80" s="10" t="str">
        <f ca="1">+WORLDCUP!BD66</f>
        <v>Noruega</v>
      </c>
      <c r="N80" s="19" t="s">
        <v>618</v>
      </c>
      <c r="O80" s="19">
        <v>79</v>
      </c>
      <c r="P80" s="19" t="s">
        <v>95</v>
      </c>
      <c r="Q80" s="19" t="s">
        <v>452</v>
      </c>
      <c r="R80" s="19" t="s">
        <v>92</v>
      </c>
      <c r="S80" s="19" t="s">
        <v>94</v>
      </c>
      <c r="T80" s="19" t="s">
        <v>453</v>
      </c>
      <c r="U80" s="19" t="s">
        <v>96</v>
      </c>
      <c r="V80" s="19" t="s">
        <v>460</v>
      </c>
      <c r="W80" s="19" t="s">
        <v>457</v>
      </c>
    </row>
    <row r="81" spans="1:23">
      <c r="A81" s="10" t="s">
        <v>617</v>
      </c>
      <c r="B81" s="10">
        <f ca="1">+IF(A81=WORLDCUP!$BI$112,1,0)</f>
        <v>0</v>
      </c>
      <c r="C81" s="10" t="str">
        <f ca="1">+WORLDCUP!BD62</f>
        <v>Curazao</v>
      </c>
      <c r="D81" s="10" t="str">
        <f ca="1">+WORLDCUP!BD64</f>
        <v>Egipto</v>
      </c>
      <c r="E81" s="10" t="str">
        <f ca="1">+WORLDCUP!BD59</f>
        <v>Catar</v>
      </c>
      <c r="F81" s="10" t="str">
        <f ca="1">+WORLDCUP!BD61</f>
        <v>Australia</v>
      </c>
      <c r="G81" s="10" t="str">
        <f ca="1">+WORLDCUP!BD65</f>
        <v>Arabia Saudita</v>
      </c>
      <c r="H81" s="10" t="str">
        <f ca="1">+WORLDCUP!BD63</f>
        <v>Japón</v>
      </c>
      <c r="I81" s="10" t="str">
        <f ca="1">+WORLDCUP!BD66</f>
        <v>Noruega</v>
      </c>
      <c r="J81" s="10" t="str">
        <f ca="1">+WORLDCUP!BD68</f>
        <v>PO 1: COD/JAM/NCL</v>
      </c>
      <c r="N81" s="19" t="s">
        <v>617</v>
      </c>
      <c r="O81" s="19">
        <v>80</v>
      </c>
      <c r="P81" s="19" t="s">
        <v>95</v>
      </c>
      <c r="Q81" s="19" t="s">
        <v>452</v>
      </c>
      <c r="R81" s="19" t="s">
        <v>92</v>
      </c>
      <c r="S81" s="19" t="s">
        <v>94</v>
      </c>
      <c r="T81" s="19" t="s">
        <v>453</v>
      </c>
      <c r="U81" s="19" t="s">
        <v>96</v>
      </c>
      <c r="V81" s="19" t="s">
        <v>457</v>
      </c>
      <c r="W81" s="19" t="s">
        <v>459</v>
      </c>
    </row>
    <row r="82" spans="1:23">
      <c r="A82" s="10" t="s">
        <v>616</v>
      </c>
      <c r="B82" s="10">
        <f ca="1">+IF(A82=WORLDCUP!$BI$112,1,0)</f>
        <v>0</v>
      </c>
      <c r="C82" s="10" t="str">
        <f ca="1">+WORLDCUP!BD65</f>
        <v>Arabia Saudita</v>
      </c>
      <c r="D82" s="10" t="str">
        <f ca="1">+WORLDCUP!BD64</f>
        <v>Egipto</v>
      </c>
      <c r="E82" s="10" t="str">
        <f ca="1">+WORLDCUP!BD59</f>
        <v>Catar</v>
      </c>
      <c r="F82" s="10" t="str">
        <f ca="1">+WORLDCUP!BD61</f>
        <v>Australia</v>
      </c>
      <c r="G82" s="10" t="str">
        <f ca="1">+WORLDCUP!BD67</f>
        <v>Argelia</v>
      </c>
      <c r="H82" s="10" t="str">
        <f ca="1">+WORLDCUP!BD63</f>
        <v>Japón</v>
      </c>
      <c r="I82" s="10" t="str">
        <f ca="1">+WORLDCUP!BD62</f>
        <v>Curazao</v>
      </c>
      <c r="J82" s="10" t="str">
        <f ca="1">+WORLDCUP!BD66</f>
        <v>Noruega</v>
      </c>
      <c r="N82" s="19" t="s">
        <v>616</v>
      </c>
      <c r="O82" s="19">
        <v>81</v>
      </c>
      <c r="P82" s="19" t="s">
        <v>453</v>
      </c>
      <c r="Q82" s="19" t="s">
        <v>452</v>
      </c>
      <c r="R82" s="19" t="s">
        <v>92</v>
      </c>
      <c r="S82" s="19" t="s">
        <v>94</v>
      </c>
      <c r="T82" s="19" t="s">
        <v>458</v>
      </c>
      <c r="U82" s="19" t="s">
        <v>96</v>
      </c>
      <c r="V82" s="19" t="s">
        <v>95</v>
      </c>
      <c r="W82" s="19" t="s">
        <v>457</v>
      </c>
    </row>
    <row r="83" spans="1:23">
      <c r="A83" s="10" t="s">
        <v>1153</v>
      </c>
      <c r="B83" s="10">
        <f ca="1">+IF(A83=WORLDCUP!$BI$112,1,0)</f>
        <v>0</v>
      </c>
      <c r="C83" s="10" t="str">
        <f ca="1">+WORLDCUP!BD65</f>
        <v>Arabia Saudita</v>
      </c>
      <c r="D83" s="10" t="str">
        <f ca="1">+WORLDCUP!BD67</f>
        <v>Argelia</v>
      </c>
      <c r="E83" s="10" t="str">
        <f ca="1">+WORLDCUP!BD59</f>
        <v>Catar</v>
      </c>
      <c r="F83" s="10" t="str">
        <f ca="1">+WORLDCUP!BD60</f>
        <v>Escocia</v>
      </c>
      <c r="G83" s="10" t="str">
        <f ca="1">+WORLDCUP!BD66</f>
        <v>Noruega</v>
      </c>
      <c r="H83" s="10" t="str">
        <f ca="1">+WORLDCUP!BD64</f>
        <v>Egipto</v>
      </c>
      <c r="I83" s="10" t="str">
        <f ca="1">+WORLDCUP!BD69</f>
        <v>Ghana</v>
      </c>
      <c r="J83" s="10" t="str">
        <f ca="1">+WORLDCUP!BD68</f>
        <v>PO 1: COD/JAM/NCL</v>
      </c>
      <c r="N83" s="19" t="s">
        <v>1153</v>
      </c>
      <c r="O83" s="19">
        <v>82</v>
      </c>
      <c r="P83" s="19" t="s">
        <v>453</v>
      </c>
      <c r="Q83" s="19" t="s">
        <v>458</v>
      </c>
      <c r="R83" s="19" t="s">
        <v>92</v>
      </c>
      <c r="S83" s="19" t="s">
        <v>93</v>
      </c>
      <c r="T83" s="19" t="s">
        <v>457</v>
      </c>
      <c r="U83" s="19" t="s">
        <v>452</v>
      </c>
      <c r="V83" s="19" t="s">
        <v>460</v>
      </c>
      <c r="W83" s="19" t="s">
        <v>459</v>
      </c>
    </row>
    <row r="84" spans="1:23">
      <c r="A84" s="10" t="s">
        <v>1152</v>
      </c>
      <c r="B84" s="10">
        <f ca="1">+IF(A84=WORLDCUP!$BI$112,1,0)</f>
        <v>0</v>
      </c>
      <c r="C84" s="10" t="str">
        <f ca="1">+WORLDCUP!BD65</f>
        <v>Arabia Saudita</v>
      </c>
      <c r="D84" s="10" t="str">
        <f ca="1">+WORLDCUP!BD67</f>
        <v>Argelia</v>
      </c>
      <c r="E84" s="10" t="str">
        <f ca="1">+WORLDCUP!BD59</f>
        <v>Catar</v>
      </c>
      <c r="F84" s="10" t="str">
        <f ca="1">+WORLDCUP!BD60</f>
        <v>Escocia</v>
      </c>
      <c r="G84" s="10" t="str">
        <f ca="1">+WORLDCUP!BD66</f>
        <v>Noruega</v>
      </c>
      <c r="H84" s="10" t="str">
        <f ca="1">+WORLDCUP!BD63</f>
        <v>Japón</v>
      </c>
      <c r="I84" s="10" t="str">
        <f ca="1">+WORLDCUP!BD69</f>
        <v>Ghana</v>
      </c>
      <c r="J84" s="10" t="str">
        <f ca="1">+WORLDCUP!BD68</f>
        <v>PO 1: COD/JAM/NCL</v>
      </c>
      <c r="N84" s="19" t="s">
        <v>1152</v>
      </c>
      <c r="O84" s="19">
        <v>83</v>
      </c>
      <c r="P84" s="19" t="s">
        <v>453</v>
      </c>
      <c r="Q84" s="19" t="s">
        <v>458</v>
      </c>
      <c r="R84" s="19" t="s">
        <v>92</v>
      </c>
      <c r="S84" s="19" t="s">
        <v>93</v>
      </c>
      <c r="T84" s="19" t="s">
        <v>457</v>
      </c>
      <c r="U84" s="19" t="s">
        <v>96</v>
      </c>
      <c r="V84" s="19" t="s">
        <v>460</v>
      </c>
      <c r="W84" s="19" t="s">
        <v>459</v>
      </c>
    </row>
    <row r="85" spans="1:23">
      <c r="A85" s="10" t="s">
        <v>1151</v>
      </c>
      <c r="B85" s="10">
        <f ca="1">+IF(A85=WORLDCUP!$BI$112,1,0)</f>
        <v>0</v>
      </c>
      <c r="C85" s="10" t="str">
        <f ca="1">+WORLDCUP!BD66</f>
        <v>Noruega</v>
      </c>
      <c r="D85" s="10" t="str">
        <f ca="1">+WORLDCUP!BD64</f>
        <v>Egipto</v>
      </c>
      <c r="E85" s="10" t="str">
        <f ca="1">+WORLDCUP!BD59</f>
        <v>Catar</v>
      </c>
      <c r="F85" s="10" t="str">
        <f ca="1">+WORLDCUP!BD60</f>
        <v>Escocia</v>
      </c>
      <c r="G85" s="10" t="str">
        <f ca="1">+WORLDCUP!BD67</f>
        <v>Argelia</v>
      </c>
      <c r="H85" s="10" t="str">
        <f ca="1">+WORLDCUP!BD63</f>
        <v>Japón</v>
      </c>
      <c r="I85" s="10" t="str">
        <f ca="1">+WORLDCUP!BD69</f>
        <v>Ghana</v>
      </c>
      <c r="J85" s="10" t="str">
        <f ca="1">+WORLDCUP!BD68</f>
        <v>PO 1: COD/JAM/NCL</v>
      </c>
      <c r="N85" s="19" t="s">
        <v>1151</v>
      </c>
      <c r="O85" s="19">
        <v>84</v>
      </c>
      <c r="P85" s="19" t="s">
        <v>457</v>
      </c>
      <c r="Q85" s="19" t="s">
        <v>452</v>
      </c>
      <c r="R85" s="19" t="s">
        <v>92</v>
      </c>
      <c r="S85" s="19" t="s">
        <v>93</v>
      </c>
      <c r="T85" s="19" t="s">
        <v>458</v>
      </c>
      <c r="U85" s="19" t="s">
        <v>96</v>
      </c>
      <c r="V85" s="19" t="s">
        <v>460</v>
      </c>
      <c r="W85" s="19" t="s">
        <v>459</v>
      </c>
    </row>
    <row r="86" spans="1:23">
      <c r="A86" s="10" t="s">
        <v>1150</v>
      </c>
      <c r="B86" s="10">
        <f ca="1">+IF(A86=WORLDCUP!$BI$112,1,0)</f>
        <v>0</v>
      </c>
      <c r="C86" s="10" t="str">
        <f ca="1">+WORLDCUP!BD65</f>
        <v>Arabia Saudita</v>
      </c>
      <c r="D86" s="10" t="str">
        <f ca="1">+WORLDCUP!BD64</f>
        <v>Egipto</v>
      </c>
      <c r="E86" s="10" t="str">
        <f ca="1">+WORLDCUP!BD59</f>
        <v>Catar</v>
      </c>
      <c r="F86" s="10" t="str">
        <f ca="1">+WORLDCUP!BD60</f>
        <v>Escocia</v>
      </c>
      <c r="G86" s="10" t="str">
        <f ca="1">+WORLDCUP!BD67</f>
        <v>Argelia</v>
      </c>
      <c r="H86" s="10" t="str">
        <f ca="1">+WORLDCUP!BD63</f>
        <v>Japón</v>
      </c>
      <c r="I86" s="10" t="str">
        <f ca="1">+WORLDCUP!BD69</f>
        <v>Ghana</v>
      </c>
      <c r="J86" s="10" t="str">
        <f ca="1">+WORLDCUP!BD68</f>
        <v>PO 1: COD/JAM/NCL</v>
      </c>
      <c r="N86" s="19" t="s">
        <v>1150</v>
      </c>
      <c r="O86" s="19">
        <v>85</v>
      </c>
      <c r="P86" s="19" t="s">
        <v>453</v>
      </c>
      <c r="Q86" s="19" t="s">
        <v>452</v>
      </c>
      <c r="R86" s="19" t="s">
        <v>92</v>
      </c>
      <c r="S86" s="19" t="s">
        <v>93</v>
      </c>
      <c r="T86" s="19" t="s">
        <v>458</v>
      </c>
      <c r="U86" s="19" t="s">
        <v>96</v>
      </c>
      <c r="V86" s="19" t="s">
        <v>460</v>
      </c>
      <c r="W86" s="19" t="s">
        <v>459</v>
      </c>
    </row>
    <row r="87" spans="1:23">
      <c r="A87" s="10" t="s">
        <v>1149</v>
      </c>
      <c r="B87" s="10">
        <f ca="1">+IF(A87=WORLDCUP!$BI$112,1,0)</f>
        <v>0</v>
      </c>
      <c r="C87" s="10" t="str">
        <f ca="1">+WORLDCUP!BD65</f>
        <v>Arabia Saudita</v>
      </c>
      <c r="D87" s="10" t="str">
        <f ca="1">+WORLDCUP!BD64</f>
        <v>Egipto</v>
      </c>
      <c r="E87" s="10" t="str">
        <f ca="1">+WORLDCUP!BD59</f>
        <v>Catar</v>
      </c>
      <c r="F87" s="10" t="str">
        <f ca="1">+WORLDCUP!BD60</f>
        <v>Escocia</v>
      </c>
      <c r="G87" s="10" t="str">
        <f ca="1">+WORLDCUP!BD66</f>
        <v>Noruega</v>
      </c>
      <c r="H87" s="10" t="str">
        <f ca="1">+WORLDCUP!BD63</f>
        <v>Japón</v>
      </c>
      <c r="I87" s="10" t="str">
        <f ca="1">+WORLDCUP!BD69</f>
        <v>Ghana</v>
      </c>
      <c r="J87" s="10" t="str">
        <f ca="1">+WORLDCUP!BD68</f>
        <v>PO 1: COD/JAM/NCL</v>
      </c>
      <c r="N87" s="19" t="s">
        <v>1149</v>
      </c>
      <c r="O87" s="19">
        <v>86</v>
      </c>
      <c r="P87" s="19" t="s">
        <v>453</v>
      </c>
      <c r="Q87" s="19" t="s">
        <v>452</v>
      </c>
      <c r="R87" s="19" t="s">
        <v>92</v>
      </c>
      <c r="S87" s="19" t="s">
        <v>93</v>
      </c>
      <c r="T87" s="19" t="s">
        <v>457</v>
      </c>
      <c r="U87" s="19" t="s">
        <v>96</v>
      </c>
      <c r="V87" s="19" t="s">
        <v>460</v>
      </c>
      <c r="W87" s="19" t="s">
        <v>459</v>
      </c>
    </row>
    <row r="88" spans="1:23">
      <c r="A88" s="10" t="s">
        <v>1148</v>
      </c>
      <c r="B88" s="10">
        <f ca="1">+IF(A88=WORLDCUP!$BI$112,1,0)</f>
        <v>0</v>
      </c>
      <c r="C88" s="10" t="str">
        <f ca="1">+WORLDCUP!BD65</f>
        <v>Arabia Saudita</v>
      </c>
      <c r="D88" s="10" t="str">
        <f ca="1">+WORLDCUP!BD64</f>
        <v>Egipto</v>
      </c>
      <c r="E88" s="10" t="str">
        <f ca="1">+WORLDCUP!BD59</f>
        <v>Catar</v>
      </c>
      <c r="F88" s="10" t="str">
        <f ca="1">+WORLDCUP!BD60</f>
        <v>Escocia</v>
      </c>
      <c r="G88" s="10" t="str">
        <f ca="1">+WORLDCUP!BD67</f>
        <v>Argelia</v>
      </c>
      <c r="H88" s="10" t="str">
        <f ca="1">+WORLDCUP!BD63</f>
        <v>Japón</v>
      </c>
      <c r="I88" s="10" t="str">
        <f ca="1">+WORLDCUP!BD69</f>
        <v>Ghana</v>
      </c>
      <c r="J88" s="10" t="str">
        <f ca="1">+WORLDCUP!BD66</f>
        <v>Noruega</v>
      </c>
      <c r="N88" s="19" t="s">
        <v>1148</v>
      </c>
      <c r="O88" s="19">
        <v>87</v>
      </c>
      <c r="P88" s="19" t="s">
        <v>453</v>
      </c>
      <c r="Q88" s="19" t="s">
        <v>452</v>
      </c>
      <c r="R88" s="19" t="s">
        <v>92</v>
      </c>
      <c r="S88" s="19" t="s">
        <v>93</v>
      </c>
      <c r="T88" s="19" t="s">
        <v>458</v>
      </c>
      <c r="U88" s="19" t="s">
        <v>96</v>
      </c>
      <c r="V88" s="19" t="s">
        <v>460</v>
      </c>
      <c r="W88" s="19" t="s">
        <v>457</v>
      </c>
    </row>
    <row r="89" spans="1:23">
      <c r="A89" s="10" t="s">
        <v>1147</v>
      </c>
      <c r="B89" s="10">
        <f ca="1">+IF(A89=WORLDCUP!$BI$112,1,0)</f>
        <v>0</v>
      </c>
      <c r="C89" s="10" t="str">
        <f ca="1">+WORLDCUP!BD65</f>
        <v>Arabia Saudita</v>
      </c>
      <c r="D89" s="10" t="str">
        <f ca="1">+WORLDCUP!BD64</f>
        <v>Egipto</v>
      </c>
      <c r="E89" s="10" t="str">
        <f ca="1">+WORLDCUP!BD59</f>
        <v>Catar</v>
      </c>
      <c r="F89" s="10" t="str">
        <f ca="1">+WORLDCUP!BD60</f>
        <v>Escocia</v>
      </c>
      <c r="G89" s="10" t="str">
        <f ca="1">+WORLDCUP!BD67</f>
        <v>Argelia</v>
      </c>
      <c r="H89" s="10" t="str">
        <f ca="1">+WORLDCUP!BD63</f>
        <v>Japón</v>
      </c>
      <c r="I89" s="10" t="str">
        <f ca="1">+WORLDCUP!BD66</f>
        <v>Noruega</v>
      </c>
      <c r="J89" s="10" t="str">
        <f ca="1">+WORLDCUP!BD68</f>
        <v>PO 1: COD/JAM/NCL</v>
      </c>
      <c r="N89" s="19" t="s">
        <v>1147</v>
      </c>
      <c r="O89" s="19">
        <v>88</v>
      </c>
      <c r="P89" s="19" t="s">
        <v>453</v>
      </c>
      <c r="Q89" s="19" t="s">
        <v>452</v>
      </c>
      <c r="R89" s="19" t="s">
        <v>92</v>
      </c>
      <c r="S89" s="19" t="s">
        <v>93</v>
      </c>
      <c r="T89" s="19" t="s">
        <v>458</v>
      </c>
      <c r="U89" s="19" t="s">
        <v>96</v>
      </c>
      <c r="V89" s="19" t="s">
        <v>457</v>
      </c>
      <c r="W89" s="19" t="s">
        <v>459</v>
      </c>
    </row>
    <row r="90" spans="1:23">
      <c r="A90" s="10" t="s">
        <v>1146</v>
      </c>
      <c r="B90" s="10">
        <f ca="1">+IF(A90=WORLDCUP!$BI$112,1,0)</f>
        <v>0</v>
      </c>
      <c r="C90" s="10" t="str">
        <f ca="1">+WORLDCUP!BD62</f>
        <v>Curazao</v>
      </c>
      <c r="D90" s="10" t="str">
        <f ca="1">+WORLDCUP!BD67</f>
        <v>Argelia</v>
      </c>
      <c r="E90" s="10" t="str">
        <f ca="1">+WORLDCUP!BD59</f>
        <v>Catar</v>
      </c>
      <c r="F90" s="10" t="str">
        <f ca="1">+WORLDCUP!BD60</f>
        <v>Escocia</v>
      </c>
      <c r="G90" s="10" t="str">
        <f ca="1">+WORLDCUP!BD66</f>
        <v>Noruega</v>
      </c>
      <c r="H90" s="10" t="str">
        <f ca="1">+WORLDCUP!BD65</f>
        <v>Arabia Saudita</v>
      </c>
      <c r="I90" s="10" t="str">
        <f ca="1">+WORLDCUP!BD69</f>
        <v>Ghana</v>
      </c>
      <c r="J90" s="10" t="str">
        <f ca="1">+WORLDCUP!BD68</f>
        <v>PO 1: COD/JAM/NCL</v>
      </c>
      <c r="N90" s="19" t="s">
        <v>1146</v>
      </c>
      <c r="O90" s="19">
        <v>89</v>
      </c>
      <c r="P90" s="19" t="s">
        <v>95</v>
      </c>
      <c r="Q90" s="19" t="s">
        <v>458</v>
      </c>
      <c r="R90" s="19" t="s">
        <v>92</v>
      </c>
      <c r="S90" s="19" t="s">
        <v>93</v>
      </c>
      <c r="T90" s="19" t="s">
        <v>457</v>
      </c>
      <c r="U90" s="19" t="s">
        <v>453</v>
      </c>
      <c r="V90" s="19" t="s">
        <v>460</v>
      </c>
      <c r="W90" s="19" t="s">
        <v>459</v>
      </c>
    </row>
    <row r="91" spans="1:23">
      <c r="A91" s="10" t="s">
        <v>1145</v>
      </c>
      <c r="B91" s="10">
        <f ca="1">+IF(A91=WORLDCUP!$BI$112,1,0)</f>
        <v>0</v>
      </c>
      <c r="C91" s="10" t="str">
        <f ca="1">+WORLDCUP!BD62</f>
        <v>Curazao</v>
      </c>
      <c r="D91" s="10" t="str">
        <f ca="1">+WORLDCUP!BD67</f>
        <v>Argelia</v>
      </c>
      <c r="E91" s="10" t="str">
        <f ca="1">+WORLDCUP!BD59</f>
        <v>Catar</v>
      </c>
      <c r="F91" s="10" t="str">
        <f ca="1">+WORLDCUP!BD60</f>
        <v>Escocia</v>
      </c>
      <c r="G91" s="10" t="str">
        <f ca="1">+WORLDCUP!BD66</f>
        <v>Noruega</v>
      </c>
      <c r="H91" s="10" t="str">
        <f ca="1">+WORLDCUP!BD64</f>
        <v>Egipto</v>
      </c>
      <c r="I91" s="10" t="str">
        <f ca="1">+WORLDCUP!BD69</f>
        <v>Ghana</v>
      </c>
      <c r="J91" s="10" t="str">
        <f ca="1">+WORLDCUP!BD68</f>
        <v>PO 1: COD/JAM/NCL</v>
      </c>
      <c r="N91" s="19" t="s">
        <v>1145</v>
      </c>
      <c r="O91" s="19">
        <v>90</v>
      </c>
      <c r="P91" s="19" t="s">
        <v>95</v>
      </c>
      <c r="Q91" s="19" t="s">
        <v>458</v>
      </c>
      <c r="R91" s="19" t="s">
        <v>92</v>
      </c>
      <c r="S91" s="19" t="s">
        <v>93</v>
      </c>
      <c r="T91" s="19" t="s">
        <v>457</v>
      </c>
      <c r="U91" s="19" t="s">
        <v>452</v>
      </c>
      <c r="V91" s="19" t="s">
        <v>460</v>
      </c>
      <c r="W91" s="19" t="s">
        <v>459</v>
      </c>
    </row>
    <row r="92" spans="1:23">
      <c r="A92" s="10" t="s">
        <v>1144</v>
      </c>
      <c r="B92" s="10">
        <f ca="1">+IF(A92=WORLDCUP!$BI$112,1,0)</f>
        <v>0</v>
      </c>
      <c r="C92" s="10" t="str">
        <f ca="1">+WORLDCUP!BD62</f>
        <v>Curazao</v>
      </c>
      <c r="D92" s="10" t="str">
        <f ca="1">+WORLDCUP!BD67</f>
        <v>Argelia</v>
      </c>
      <c r="E92" s="10" t="str">
        <f ca="1">+WORLDCUP!BD59</f>
        <v>Catar</v>
      </c>
      <c r="F92" s="10" t="str">
        <f ca="1">+WORLDCUP!BD60</f>
        <v>Escocia</v>
      </c>
      <c r="G92" s="10" t="str">
        <f ca="1">+WORLDCUP!BD65</f>
        <v>Arabia Saudita</v>
      </c>
      <c r="H92" s="10" t="str">
        <f ca="1">+WORLDCUP!BD64</f>
        <v>Egipto</v>
      </c>
      <c r="I92" s="10" t="str">
        <f ca="1">+WORLDCUP!BD69</f>
        <v>Ghana</v>
      </c>
      <c r="J92" s="10" t="str">
        <f ca="1">+WORLDCUP!BD68</f>
        <v>PO 1: COD/JAM/NCL</v>
      </c>
      <c r="N92" s="19" t="s">
        <v>1144</v>
      </c>
      <c r="O92" s="19">
        <v>91</v>
      </c>
      <c r="P92" s="19" t="s">
        <v>95</v>
      </c>
      <c r="Q92" s="19" t="s">
        <v>458</v>
      </c>
      <c r="R92" s="19" t="s">
        <v>92</v>
      </c>
      <c r="S92" s="19" t="s">
        <v>93</v>
      </c>
      <c r="T92" s="19" t="s">
        <v>453</v>
      </c>
      <c r="U92" s="19" t="s">
        <v>452</v>
      </c>
      <c r="V92" s="19" t="s">
        <v>460</v>
      </c>
      <c r="W92" s="19" t="s">
        <v>459</v>
      </c>
    </row>
    <row r="93" spans="1:23">
      <c r="A93" s="10" t="s">
        <v>1143</v>
      </c>
      <c r="B93" s="10">
        <f ca="1">+IF(A93=WORLDCUP!$BI$112,1,0)</f>
        <v>0</v>
      </c>
      <c r="C93" s="10" t="str">
        <f ca="1">+WORLDCUP!BD62</f>
        <v>Curazao</v>
      </c>
      <c r="D93" s="10" t="str">
        <f ca="1">+WORLDCUP!BD64</f>
        <v>Egipto</v>
      </c>
      <c r="E93" s="10" t="str">
        <f ca="1">+WORLDCUP!BD59</f>
        <v>Catar</v>
      </c>
      <c r="F93" s="10" t="str">
        <f ca="1">+WORLDCUP!BD60</f>
        <v>Escocia</v>
      </c>
      <c r="G93" s="10" t="str">
        <f ca="1">+WORLDCUP!BD66</f>
        <v>Noruega</v>
      </c>
      <c r="H93" s="10" t="str">
        <f ca="1">+WORLDCUP!BD65</f>
        <v>Arabia Saudita</v>
      </c>
      <c r="I93" s="10" t="str">
        <f ca="1">+WORLDCUP!BD69</f>
        <v>Ghana</v>
      </c>
      <c r="J93" s="10" t="str">
        <f ca="1">+WORLDCUP!BD68</f>
        <v>PO 1: COD/JAM/NCL</v>
      </c>
      <c r="N93" s="19" t="s">
        <v>1143</v>
      </c>
      <c r="O93" s="19">
        <v>92</v>
      </c>
      <c r="P93" s="19" t="s">
        <v>95</v>
      </c>
      <c r="Q93" s="19" t="s">
        <v>452</v>
      </c>
      <c r="R93" s="19" t="s">
        <v>92</v>
      </c>
      <c r="S93" s="19" t="s">
        <v>93</v>
      </c>
      <c r="T93" s="19" t="s">
        <v>457</v>
      </c>
      <c r="U93" s="19" t="s">
        <v>453</v>
      </c>
      <c r="V93" s="19" t="s">
        <v>460</v>
      </c>
      <c r="W93" s="19" t="s">
        <v>459</v>
      </c>
    </row>
    <row r="94" spans="1:23">
      <c r="A94" s="10" t="s">
        <v>1142</v>
      </c>
      <c r="B94" s="10">
        <f ca="1">+IF(A94=WORLDCUP!$BI$112,1,0)</f>
        <v>0</v>
      </c>
      <c r="C94" s="10" t="str">
        <f ca="1">+WORLDCUP!BD62</f>
        <v>Curazao</v>
      </c>
      <c r="D94" s="10" t="str">
        <f ca="1">+WORLDCUP!BD67</f>
        <v>Argelia</v>
      </c>
      <c r="E94" s="10" t="str">
        <f ca="1">+WORLDCUP!BD59</f>
        <v>Catar</v>
      </c>
      <c r="F94" s="10" t="str">
        <f ca="1">+WORLDCUP!BD60</f>
        <v>Escocia</v>
      </c>
      <c r="G94" s="10" t="str">
        <f ca="1">+WORLDCUP!BD65</f>
        <v>Arabia Saudita</v>
      </c>
      <c r="H94" s="10" t="str">
        <f ca="1">+WORLDCUP!BD64</f>
        <v>Egipto</v>
      </c>
      <c r="I94" s="10" t="str">
        <f ca="1">+WORLDCUP!BD69</f>
        <v>Ghana</v>
      </c>
      <c r="J94" s="10" t="str">
        <f ca="1">+WORLDCUP!BD66</f>
        <v>Noruega</v>
      </c>
      <c r="N94" s="19" t="s">
        <v>1142</v>
      </c>
      <c r="O94" s="19">
        <v>93</v>
      </c>
      <c r="P94" s="19" t="s">
        <v>95</v>
      </c>
      <c r="Q94" s="19" t="s">
        <v>458</v>
      </c>
      <c r="R94" s="19" t="s">
        <v>92</v>
      </c>
      <c r="S94" s="19" t="s">
        <v>93</v>
      </c>
      <c r="T94" s="19" t="s">
        <v>453</v>
      </c>
      <c r="U94" s="19" t="s">
        <v>452</v>
      </c>
      <c r="V94" s="19" t="s">
        <v>460</v>
      </c>
      <c r="W94" s="19" t="s">
        <v>457</v>
      </c>
    </row>
    <row r="95" spans="1:23">
      <c r="A95" s="10" t="s">
        <v>1141</v>
      </c>
      <c r="B95" s="10">
        <f ca="1">+IF(A95=WORLDCUP!$BI$112,1,0)</f>
        <v>0</v>
      </c>
      <c r="C95" s="10" t="str">
        <f ca="1">+WORLDCUP!BD62</f>
        <v>Curazao</v>
      </c>
      <c r="D95" s="10" t="str">
        <f ca="1">+WORLDCUP!BD67</f>
        <v>Argelia</v>
      </c>
      <c r="E95" s="10" t="str">
        <f ca="1">+WORLDCUP!BD59</f>
        <v>Catar</v>
      </c>
      <c r="F95" s="10" t="str">
        <f ca="1">+WORLDCUP!BD60</f>
        <v>Escocia</v>
      </c>
      <c r="G95" s="10" t="str">
        <f ca="1">+WORLDCUP!BD65</f>
        <v>Arabia Saudita</v>
      </c>
      <c r="H95" s="10" t="str">
        <f ca="1">+WORLDCUP!BD64</f>
        <v>Egipto</v>
      </c>
      <c r="I95" s="10" t="str">
        <f ca="1">+WORLDCUP!BD66</f>
        <v>Noruega</v>
      </c>
      <c r="J95" s="10" t="str">
        <f ca="1">+WORLDCUP!BD68</f>
        <v>PO 1: COD/JAM/NCL</v>
      </c>
      <c r="N95" s="19" t="s">
        <v>1141</v>
      </c>
      <c r="O95" s="19">
        <v>94</v>
      </c>
      <c r="P95" s="19" t="s">
        <v>95</v>
      </c>
      <c r="Q95" s="19" t="s">
        <v>458</v>
      </c>
      <c r="R95" s="19" t="s">
        <v>92</v>
      </c>
      <c r="S95" s="19" t="s">
        <v>93</v>
      </c>
      <c r="T95" s="19" t="s">
        <v>453</v>
      </c>
      <c r="U95" s="19" t="s">
        <v>452</v>
      </c>
      <c r="V95" s="19" t="s">
        <v>457</v>
      </c>
      <c r="W95" s="19" t="s">
        <v>459</v>
      </c>
    </row>
    <row r="96" spans="1:23">
      <c r="A96" s="10" t="s">
        <v>1140</v>
      </c>
      <c r="B96" s="10">
        <f ca="1">+IF(A96=WORLDCUP!$BI$112,1,0)</f>
        <v>0</v>
      </c>
      <c r="C96" s="10" t="str">
        <f ca="1">+WORLDCUP!BD62</f>
        <v>Curazao</v>
      </c>
      <c r="D96" s="10" t="str">
        <f ca="1">+WORLDCUP!BD67</f>
        <v>Argelia</v>
      </c>
      <c r="E96" s="10" t="str">
        <f ca="1">+WORLDCUP!BD59</f>
        <v>Catar</v>
      </c>
      <c r="F96" s="10" t="str">
        <f ca="1">+WORLDCUP!BD60</f>
        <v>Escocia</v>
      </c>
      <c r="G96" s="10" t="str">
        <f ca="1">+WORLDCUP!BD66</f>
        <v>Noruega</v>
      </c>
      <c r="H96" s="10" t="str">
        <f ca="1">+WORLDCUP!BD63</f>
        <v>Japón</v>
      </c>
      <c r="I96" s="10" t="str">
        <f ca="1">+WORLDCUP!BD69</f>
        <v>Ghana</v>
      </c>
      <c r="J96" s="10" t="str">
        <f ca="1">+WORLDCUP!BD68</f>
        <v>PO 1: COD/JAM/NCL</v>
      </c>
      <c r="N96" s="19" t="s">
        <v>1140</v>
      </c>
      <c r="O96" s="19">
        <v>95</v>
      </c>
      <c r="P96" s="19" t="s">
        <v>95</v>
      </c>
      <c r="Q96" s="19" t="s">
        <v>458</v>
      </c>
      <c r="R96" s="19" t="s">
        <v>92</v>
      </c>
      <c r="S96" s="19" t="s">
        <v>93</v>
      </c>
      <c r="T96" s="19" t="s">
        <v>457</v>
      </c>
      <c r="U96" s="19" t="s">
        <v>96</v>
      </c>
      <c r="V96" s="19" t="s">
        <v>460</v>
      </c>
      <c r="W96" s="19" t="s">
        <v>459</v>
      </c>
    </row>
    <row r="97" spans="1:23">
      <c r="A97" s="10" t="s">
        <v>1139</v>
      </c>
      <c r="B97" s="10">
        <f ca="1">+IF(A97=WORLDCUP!$BI$112,1,0)</f>
        <v>0</v>
      </c>
      <c r="C97" s="10" t="str">
        <f ca="1">+WORLDCUP!BD62</f>
        <v>Curazao</v>
      </c>
      <c r="D97" s="10" t="str">
        <f ca="1">+WORLDCUP!BD67</f>
        <v>Argelia</v>
      </c>
      <c r="E97" s="10" t="str">
        <f ca="1">+WORLDCUP!BD59</f>
        <v>Catar</v>
      </c>
      <c r="F97" s="10" t="str">
        <f ca="1">+WORLDCUP!BD60</f>
        <v>Escocia</v>
      </c>
      <c r="G97" s="10" t="str">
        <f ca="1">+WORLDCUP!BD65</f>
        <v>Arabia Saudita</v>
      </c>
      <c r="H97" s="10" t="str">
        <f ca="1">+WORLDCUP!BD63</f>
        <v>Japón</v>
      </c>
      <c r="I97" s="10" t="str">
        <f ca="1">+WORLDCUP!BD69</f>
        <v>Ghana</v>
      </c>
      <c r="J97" s="10" t="str">
        <f ca="1">+WORLDCUP!BD68</f>
        <v>PO 1: COD/JAM/NCL</v>
      </c>
      <c r="N97" s="19" t="s">
        <v>1139</v>
      </c>
      <c r="O97" s="19">
        <v>96</v>
      </c>
      <c r="P97" s="19" t="s">
        <v>95</v>
      </c>
      <c r="Q97" s="19" t="s">
        <v>458</v>
      </c>
      <c r="R97" s="19" t="s">
        <v>92</v>
      </c>
      <c r="S97" s="19" t="s">
        <v>93</v>
      </c>
      <c r="T97" s="19" t="s">
        <v>453</v>
      </c>
      <c r="U97" s="19" t="s">
        <v>96</v>
      </c>
      <c r="V97" s="19" t="s">
        <v>460</v>
      </c>
      <c r="W97" s="19" t="s">
        <v>459</v>
      </c>
    </row>
    <row r="98" spans="1:23">
      <c r="A98" s="10" t="s">
        <v>1138</v>
      </c>
      <c r="B98" s="10">
        <f ca="1">+IF(A98=WORLDCUP!$BI$112,1,0)</f>
        <v>0</v>
      </c>
      <c r="C98" s="10" t="str">
        <f ca="1">+WORLDCUP!BD62</f>
        <v>Curazao</v>
      </c>
      <c r="D98" s="10" t="str">
        <f ca="1">+WORLDCUP!BD66</f>
        <v>Noruega</v>
      </c>
      <c r="E98" s="10" t="str">
        <f ca="1">+WORLDCUP!BD59</f>
        <v>Catar</v>
      </c>
      <c r="F98" s="10" t="str">
        <f ca="1">+WORLDCUP!BD60</f>
        <v>Escocia</v>
      </c>
      <c r="G98" s="10" t="str">
        <f ca="1">+WORLDCUP!BD65</f>
        <v>Arabia Saudita</v>
      </c>
      <c r="H98" s="10" t="str">
        <f ca="1">+WORLDCUP!BD63</f>
        <v>Japón</v>
      </c>
      <c r="I98" s="10" t="str">
        <f ca="1">+WORLDCUP!BD69</f>
        <v>Ghana</v>
      </c>
      <c r="J98" s="10" t="str">
        <f ca="1">+WORLDCUP!BD68</f>
        <v>PO 1: COD/JAM/NCL</v>
      </c>
      <c r="N98" s="19" t="s">
        <v>1138</v>
      </c>
      <c r="O98" s="19">
        <v>97</v>
      </c>
      <c r="P98" s="19" t="s">
        <v>95</v>
      </c>
      <c r="Q98" s="19" t="s">
        <v>457</v>
      </c>
      <c r="R98" s="19" t="s">
        <v>92</v>
      </c>
      <c r="S98" s="19" t="s">
        <v>93</v>
      </c>
      <c r="T98" s="19" t="s">
        <v>453</v>
      </c>
      <c r="U98" s="19" t="s">
        <v>96</v>
      </c>
      <c r="V98" s="19" t="s">
        <v>460</v>
      </c>
      <c r="W98" s="19" t="s">
        <v>459</v>
      </c>
    </row>
    <row r="99" spans="1:23">
      <c r="A99" s="10" t="s">
        <v>1137</v>
      </c>
      <c r="B99" s="10">
        <f ca="1">+IF(A99=WORLDCUP!$BI$112,1,0)</f>
        <v>0</v>
      </c>
      <c r="C99" s="10" t="str">
        <f ca="1">+WORLDCUP!BD62</f>
        <v>Curazao</v>
      </c>
      <c r="D99" s="10" t="str">
        <f ca="1">+WORLDCUP!BD67</f>
        <v>Argelia</v>
      </c>
      <c r="E99" s="10" t="str">
        <f ca="1">+WORLDCUP!BD59</f>
        <v>Catar</v>
      </c>
      <c r="F99" s="10" t="str">
        <f ca="1">+WORLDCUP!BD60</f>
        <v>Escocia</v>
      </c>
      <c r="G99" s="10" t="str">
        <f ca="1">+WORLDCUP!BD65</f>
        <v>Arabia Saudita</v>
      </c>
      <c r="H99" s="10" t="str">
        <f ca="1">+WORLDCUP!BD63</f>
        <v>Japón</v>
      </c>
      <c r="I99" s="10" t="str">
        <f ca="1">+WORLDCUP!BD69</f>
        <v>Ghana</v>
      </c>
      <c r="J99" s="10" t="str">
        <f ca="1">+WORLDCUP!BD66</f>
        <v>Noruega</v>
      </c>
      <c r="N99" s="19" t="s">
        <v>1137</v>
      </c>
      <c r="O99" s="19">
        <v>98</v>
      </c>
      <c r="P99" s="19" t="s">
        <v>95</v>
      </c>
      <c r="Q99" s="19" t="s">
        <v>458</v>
      </c>
      <c r="R99" s="19" t="s">
        <v>92</v>
      </c>
      <c r="S99" s="19" t="s">
        <v>93</v>
      </c>
      <c r="T99" s="19" t="s">
        <v>453</v>
      </c>
      <c r="U99" s="19" t="s">
        <v>96</v>
      </c>
      <c r="V99" s="19" t="s">
        <v>460</v>
      </c>
      <c r="W99" s="19" t="s">
        <v>457</v>
      </c>
    </row>
    <row r="100" spans="1:23">
      <c r="A100" s="10" t="s">
        <v>1136</v>
      </c>
      <c r="B100" s="10">
        <f ca="1">+IF(A100=WORLDCUP!$BI$112,1,0)</f>
        <v>0</v>
      </c>
      <c r="C100" s="10" t="str">
        <f ca="1">+WORLDCUP!BD62</f>
        <v>Curazao</v>
      </c>
      <c r="D100" s="10" t="str">
        <f ca="1">+WORLDCUP!BD67</f>
        <v>Argelia</v>
      </c>
      <c r="E100" s="10" t="str">
        <f ca="1">+WORLDCUP!BD59</f>
        <v>Catar</v>
      </c>
      <c r="F100" s="10" t="str">
        <f ca="1">+WORLDCUP!BD60</f>
        <v>Escocia</v>
      </c>
      <c r="G100" s="10" t="str">
        <f ca="1">+WORLDCUP!BD65</f>
        <v>Arabia Saudita</v>
      </c>
      <c r="H100" s="10" t="str">
        <f ca="1">+WORLDCUP!BD63</f>
        <v>Japón</v>
      </c>
      <c r="I100" s="10" t="str">
        <f ca="1">+WORLDCUP!BD66</f>
        <v>Noruega</v>
      </c>
      <c r="J100" s="10" t="str">
        <f ca="1">+WORLDCUP!BD68</f>
        <v>PO 1: COD/JAM/NCL</v>
      </c>
      <c r="N100" s="19" t="s">
        <v>1136</v>
      </c>
      <c r="O100" s="19">
        <v>99</v>
      </c>
      <c r="P100" s="19" t="s">
        <v>95</v>
      </c>
      <c r="Q100" s="19" t="s">
        <v>458</v>
      </c>
      <c r="R100" s="19" t="s">
        <v>92</v>
      </c>
      <c r="S100" s="19" t="s">
        <v>93</v>
      </c>
      <c r="T100" s="19" t="s">
        <v>453</v>
      </c>
      <c r="U100" s="19" t="s">
        <v>96</v>
      </c>
      <c r="V100" s="19" t="s">
        <v>457</v>
      </c>
      <c r="W100" s="19" t="s">
        <v>459</v>
      </c>
    </row>
    <row r="101" spans="1:23">
      <c r="A101" s="10" t="s">
        <v>1135</v>
      </c>
      <c r="B101" s="10">
        <f ca="1">+IF(A101=WORLDCUP!$BI$112,1,0)</f>
        <v>0</v>
      </c>
      <c r="C101" s="10" t="str">
        <f ca="1">+WORLDCUP!BD62</f>
        <v>Curazao</v>
      </c>
      <c r="D101" s="10" t="str">
        <f ca="1">+WORLDCUP!BD64</f>
        <v>Egipto</v>
      </c>
      <c r="E101" s="10" t="str">
        <f ca="1">+WORLDCUP!BD59</f>
        <v>Catar</v>
      </c>
      <c r="F101" s="10" t="str">
        <f ca="1">+WORLDCUP!BD60</f>
        <v>Escocia</v>
      </c>
      <c r="G101" s="10" t="str">
        <f ca="1">+WORLDCUP!BD67</f>
        <v>Argelia</v>
      </c>
      <c r="H101" s="10" t="str">
        <f ca="1">+WORLDCUP!BD63</f>
        <v>Japón</v>
      </c>
      <c r="I101" s="10" t="str">
        <f ca="1">+WORLDCUP!BD69</f>
        <v>Ghana</v>
      </c>
      <c r="J101" s="10" t="str">
        <f ca="1">+WORLDCUP!BD68</f>
        <v>PO 1: COD/JAM/NCL</v>
      </c>
      <c r="N101" s="19" t="s">
        <v>1135</v>
      </c>
      <c r="O101" s="19">
        <v>100</v>
      </c>
      <c r="P101" s="19" t="s">
        <v>95</v>
      </c>
      <c r="Q101" s="19" t="s">
        <v>452</v>
      </c>
      <c r="R101" s="19" t="s">
        <v>92</v>
      </c>
      <c r="S101" s="19" t="s">
        <v>93</v>
      </c>
      <c r="T101" s="19" t="s">
        <v>458</v>
      </c>
      <c r="U101" s="19" t="s">
        <v>96</v>
      </c>
      <c r="V101" s="19" t="s">
        <v>460</v>
      </c>
      <c r="W101" s="19" t="s">
        <v>459</v>
      </c>
    </row>
    <row r="102" spans="1:23">
      <c r="A102" s="10" t="s">
        <v>1134</v>
      </c>
      <c r="B102" s="10">
        <f ca="1">+IF(A102=WORLDCUP!$BI$112,1,0)</f>
        <v>0</v>
      </c>
      <c r="C102" s="10" t="str">
        <f ca="1">+WORLDCUP!BD62</f>
        <v>Curazao</v>
      </c>
      <c r="D102" s="10" t="str">
        <f ca="1">+WORLDCUP!BD64</f>
        <v>Egipto</v>
      </c>
      <c r="E102" s="10" t="str">
        <f ca="1">+WORLDCUP!BD59</f>
        <v>Catar</v>
      </c>
      <c r="F102" s="10" t="str">
        <f ca="1">+WORLDCUP!BD60</f>
        <v>Escocia</v>
      </c>
      <c r="G102" s="10" t="str">
        <f ca="1">+WORLDCUP!BD66</f>
        <v>Noruega</v>
      </c>
      <c r="H102" s="10" t="str">
        <f ca="1">+WORLDCUP!BD63</f>
        <v>Japón</v>
      </c>
      <c r="I102" s="10" t="str">
        <f ca="1">+WORLDCUP!BD69</f>
        <v>Ghana</v>
      </c>
      <c r="J102" s="10" t="str">
        <f ca="1">+WORLDCUP!BD68</f>
        <v>PO 1: COD/JAM/NCL</v>
      </c>
      <c r="N102" s="19" t="s">
        <v>1134</v>
      </c>
      <c r="O102" s="19">
        <v>101</v>
      </c>
      <c r="P102" s="19" t="s">
        <v>95</v>
      </c>
      <c r="Q102" s="19" t="s">
        <v>452</v>
      </c>
      <c r="R102" s="19" t="s">
        <v>92</v>
      </c>
      <c r="S102" s="19" t="s">
        <v>93</v>
      </c>
      <c r="T102" s="19" t="s">
        <v>457</v>
      </c>
      <c r="U102" s="19" t="s">
        <v>96</v>
      </c>
      <c r="V102" s="19" t="s">
        <v>460</v>
      </c>
      <c r="W102" s="19" t="s">
        <v>459</v>
      </c>
    </row>
    <row r="103" spans="1:23">
      <c r="A103" s="10" t="s">
        <v>1133</v>
      </c>
      <c r="B103" s="10">
        <f ca="1">+IF(A103=WORLDCUP!$BI$112,1,0)</f>
        <v>0</v>
      </c>
      <c r="C103" s="10" t="str">
        <f ca="1">+WORLDCUP!BD62</f>
        <v>Curazao</v>
      </c>
      <c r="D103" s="10" t="str">
        <f ca="1">+WORLDCUP!BD64</f>
        <v>Egipto</v>
      </c>
      <c r="E103" s="10" t="str">
        <f ca="1">+WORLDCUP!BD59</f>
        <v>Catar</v>
      </c>
      <c r="F103" s="10" t="str">
        <f ca="1">+WORLDCUP!BD60</f>
        <v>Escocia</v>
      </c>
      <c r="G103" s="10" t="str">
        <f ca="1">+WORLDCUP!BD67</f>
        <v>Argelia</v>
      </c>
      <c r="H103" s="10" t="str">
        <f ca="1">+WORLDCUP!BD63</f>
        <v>Japón</v>
      </c>
      <c r="I103" s="10" t="str">
        <f ca="1">+WORLDCUP!BD69</f>
        <v>Ghana</v>
      </c>
      <c r="J103" s="10" t="str">
        <f ca="1">+WORLDCUP!BD66</f>
        <v>Noruega</v>
      </c>
      <c r="N103" s="19" t="s">
        <v>1133</v>
      </c>
      <c r="O103" s="19">
        <v>102</v>
      </c>
      <c r="P103" s="19" t="s">
        <v>95</v>
      </c>
      <c r="Q103" s="19" t="s">
        <v>452</v>
      </c>
      <c r="R103" s="19" t="s">
        <v>92</v>
      </c>
      <c r="S103" s="19" t="s">
        <v>93</v>
      </c>
      <c r="T103" s="19" t="s">
        <v>458</v>
      </c>
      <c r="U103" s="19" t="s">
        <v>96</v>
      </c>
      <c r="V103" s="19" t="s">
        <v>460</v>
      </c>
      <c r="W103" s="19" t="s">
        <v>457</v>
      </c>
    </row>
    <row r="104" spans="1:23">
      <c r="A104" s="10" t="s">
        <v>1132</v>
      </c>
      <c r="B104" s="10">
        <f ca="1">+IF(A104=WORLDCUP!$BI$112,1,0)</f>
        <v>0</v>
      </c>
      <c r="C104" s="10" t="str">
        <f ca="1">+WORLDCUP!BD62</f>
        <v>Curazao</v>
      </c>
      <c r="D104" s="10" t="str">
        <f ca="1">+WORLDCUP!BD64</f>
        <v>Egipto</v>
      </c>
      <c r="E104" s="10" t="str">
        <f ca="1">+WORLDCUP!BD59</f>
        <v>Catar</v>
      </c>
      <c r="F104" s="10" t="str">
        <f ca="1">+WORLDCUP!BD60</f>
        <v>Escocia</v>
      </c>
      <c r="G104" s="10" t="str">
        <f ca="1">+WORLDCUP!BD67</f>
        <v>Argelia</v>
      </c>
      <c r="H104" s="10" t="str">
        <f ca="1">+WORLDCUP!BD63</f>
        <v>Japón</v>
      </c>
      <c r="I104" s="10" t="str">
        <f ca="1">+WORLDCUP!BD66</f>
        <v>Noruega</v>
      </c>
      <c r="J104" s="10" t="str">
        <f ca="1">+WORLDCUP!BD68</f>
        <v>PO 1: COD/JAM/NCL</v>
      </c>
      <c r="N104" s="19" t="s">
        <v>1132</v>
      </c>
      <c r="O104" s="19">
        <v>103</v>
      </c>
      <c r="P104" s="19" t="s">
        <v>95</v>
      </c>
      <c r="Q104" s="19" t="s">
        <v>452</v>
      </c>
      <c r="R104" s="19" t="s">
        <v>92</v>
      </c>
      <c r="S104" s="19" t="s">
        <v>93</v>
      </c>
      <c r="T104" s="19" t="s">
        <v>458</v>
      </c>
      <c r="U104" s="19" t="s">
        <v>96</v>
      </c>
      <c r="V104" s="19" t="s">
        <v>457</v>
      </c>
      <c r="W104" s="19" t="s">
        <v>459</v>
      </c>
    </row>
    <row r="105" spans="1:23">
      <c r="A105" s="10" t="s">
        <v>1131</v>
      </c>
      <c r="B105" s="10">
        <f ca="1">+IF(A105=WORLDCUP!$BI$112,1,0)</f>
        <v>0</v>
      </c>
      <c r="C105" s="10" t="str">
        <f ca="1">+WORLDCUP!BD62</f>
        <v>Curazao</v>
      </c>
      <c r="D105" s="10" t="str">
        <f ca="1">+WORLDCUP!BD64</f>
        <v>Egipto</v>
      </c>
      <c r="E105" s="10" t="str">
        <f ca="1">+WORLDCUP!BD59</f>
        <v>Catar</v>
      </c>
      <c r="F105" s="10" t="str">
        <f ca="1">+WORLDCUP!BD60</f>
        <v>Escocia</v>
      </c>
      <c r="G105" s="10" t="str">
        <f ca="1">+WORLDCUP!BD65</f>
        <v>Arabia Saudita</v>
      </c>
      <c r="H105" s="10" t="str">
        <f ca="1">+WORLDCUP!BD63</f>
        <v>Japón</v>
      </c>
      <c r="I105" s="10" t="str">
        <f ca="1">+WORLDCUP!BD69</f>
        <v>Ghana</v>
      </c>
      <c r="J105" s="10" t="str">
        <f ca="1">+WORLDCUP!BD68</f>
        <v>PO 1: COD/JAM/NCL</v>
      </c>
      <c r="N105" s="19" t="s">
        <v>1131</v>
      </c>
      <c r="O105" s="19">
        <v>104</v>
      </c>
      <c r="P105" s="19" t="s">
        <v>95</v>
      </c>
      <c r="Q105" s="19" t="s">
        <v>452</v>
      </c>
      <c r="R105" s="19" t="s">
        <v>92</v>
      </c>
      <c r="S105" s="19" t="s">
        <v>93</v>
      </c>
      <c r="T105" s="19" t="s">
        <v>453</v>
      </c>
      <c r="U105" s="19" t="s">
        <v>96</v>
      </c>
      <c r="V105" s="19" t="s">
        <v>460</v>
      </c>
      <c r="W105" s="19" t="s">
        <v>459</v>
      </c>
    </row>
    <row r="106" spans="1:23">
      <c r="A106" s="10" t="s">
        <v>1130</v>
      </c>
      <c r="B106" s="10">
        <f ca="1">+IF(A106=WORLDCUP!$BI$112,1,0)</f>
        <v>0</v>
      </c>
      <c r="C106" s="10" t="str">
        <f ca="1">+WORLDCUP!BD65</f>
        <v>Arabia Saudita</v>
      </c>
      <c r="D106" s="10" t="str">
        <f ca="1">+WORLDCUP!BD64</f>
        <v>Egipto</v>
      </c>
      <c r="E106" s="10" t="str">
        <f ca="1">+WORLDCUP!BD59</f>
        <v>Catar</v>
      </c>
      <c r="F106" s="10" t="str">
        <f ca="1">+WORLDCUP!BD60</f>
        <v>Escocia</v>
      </c>
      <c r="G106" s="10" t="str">
        <f ca="1">+WORLDCUP!BD67</f>
        <v>Argelia</v>
      </c>
      <c r="H106" s="10" t="str">
        <f ca="1">+WORLDCUP!BD63</f>
        <v>Japón</v>
      </c>
      <c r="I106" s="10" t="str">
        <f ca="1">+WORLDCUP!BD69</f>
        <v>Ghana</v>
      </c>
      <c r="J106" s="10" t="str">
        <f ca="1">+WORLDCUP!BD62</f>
        <v>Curazao</v>
      </c>
      <c r="N106" s="19" t="s">
        <v>1130</v>
      </c>
      <c r="O106" s="19">
        <v>105</v>
      </c>
      <c r="P106" s="19" t="s">
        <v>453</v>
      </c>
      <c r="Q106" s="19" t="s">
        <v>452</v>
      </c>
      <c r="R106" s="19" t="s">
        <v>92</v>
      </c>
      <c r="S106" s="19" t="s">
        <v>93</v>
      </c>
      <c r="T106" s="19" t="s">
        <v>458</v>
      </c>
      <c r="U106" s="19" t="s">
        <v>96</v>
      </c>
      <c r="V106" s="19" t="s">
        <v>460</v>
      </c>
      <c r="W106" s="19" t="s">
        <v>95</v>
      </c>
    </row>
    <row r="107" spans="1:23">
      <c r="A107" s="10" t="s">
        <v>1129</v>
      </c>
      <c r="B107" s="10">
        <f ca="1">+IF(A107=WORLDCUP!$BI$112,1,0)</f>
        <v>0</v>
      </c>
      <c r="C107" s="10" t="str">
        <f ca="1">+WORLDCUP!BD65</f>
        <v>Arabia Saudita</v>
      </c>
      <c r="D107" s="10" t="str">
        <f ca="1">+WORLDCUP!BD64</f>
        <v>Egipto</v>
      </c>
      <c r="E107" s="10" t="str">
        <f ca="1">+WORLDCUP!BD59</f>
        <v>Catar</v>
      </c>
      <c r="F107" s="10" t="str">
        <f ca="1">+WORLDCUP!BD60</f>
        <v>Escocia</v>
      </c>
      <c r="G107" s="10" t="str">
        <f ca="1">+WORLDCUP!BD67</f>
        <v>Argelia</v>
      </c>
      <c r="H107" s="10" t="str">
        <f ca="1">+WORLDCUP!BD63</f>
        <v>Japón</v>
      </c>
      <c r="I107" s="10" t="str">
        <f ca="1">+WORLDCUP!BD62</f>
        <v>Curazao</v>
      </c>
      <c r="J107" s="10" t="str">
        <f ca="1">+WORLDCUP!BD68</f>
        <v>PO 1: COD/JAM/NCL</v>
      </c>
      <c r="N107" s="19" t="s">
        <v>1129</v>
      </c>
      <c r="O107" s="19">
        <v>106</v>
      </c>
      <c r="P107" s="19" t="s">
        <v>453</v>
      </c>
      <c r="Q107" s="19" t="s">
        <v>452</v>
      </c>
      <c r="R107" s="19" t="s">
        <v>92</v>
      </c>
      <c r="S107" s="19" t="s">
        <v>93</v>
      </c>
      <c r="T107" s="19" t="s">
        <v>458</v>
      </c>
      <c r="U107" s="19" t="s">
        <v>96</v>
      </c>
      <c r="V107" s="19" t="s">
        <v>95</v>
      </c>
      <c r="W107" s="19" t="s">
        <v>459</v>
      </c>
    </row>
    <row r="108" spans="1:23">
      <c r="A108" s="10" t="s">
        <v>1128</v>
      </c>
      <c r="B108" s="10">
        <f ca="1">+IF(A108=WORLDCUP!$BI$112,1,0)</f>
        <v>0</v>
      </c>
      <c r="C108" s="10" t="str">
        <f ca="1">+WORLDCUP!BD62</f>
        <v>Curazao</v>
      </c>
      <c r="D108" s="10" t="str">
        <f ca="1">+WORLDCUP!BD64</f>
        <v>Egipto</v>
      </c>
      <c r="E108" s="10" t="str">
        <f ca="1">+WORLDCUP!BD59</f>
        <v>Catar</v>
      </c>
      <c r="F108" s="10" t="str">
        <f ca="1">+WORLDCUP!BD60</f>
        <v>Escocia</v>
      </c>
      <c r="G108" s="10" t="str">
        <f ca="1">+WORLDCUP!BD65</f>
        <v>Arabia Saudita</v>
      </c>
      <c r="H108" s="10" t="str">
        <f ca="1">+WORLDCUP!BD63</f>
        <v>Japón</v>
      </c>
      <c r="I108" s="10" t="str">
        <f ca="1">+WORLDCUP!BD69</f>
        <v>Ghana</v>
      </c>
      <c r="J108" s="10" t="str">
        <f ca="1">+WORLDCUP!BD66</f>
        <v>Noruega</v>
      </c>
      <c r="N108" s="19" t="s">
        <v>1128</v>
      </c>
      <c r="O108" s="19">
        <v>107</v>
      </c>
      <c r="P108" s="19" t="s">
        <v>95</v>
      </c>
      <c r="Q108" s="19" t="s">
        <v>452</v>
      </c>
      <c r="R108" s="19" t="s">
        <v>92</v>
      </c>
      <c r="S108" s="19" t="s">
        <v>93</v>
      </c>
      <c r="T108" s="19" t="s">
        <v>453</v>
      </c>
      <c r="U108" s="19" t="s">
        <v>96</v>
      </c>
      <c r="V108" s="19" t="s">
        <v>460</v>
      </c>
      <c r="W108" s="19" t="s">
        <v>457</v>
      </c>
    </row>
    <row r="109" spans="1:23">
      <c r="A109" s="10" t="s">
        <v>1127</v>
      </c>
      <c r="B109" s="10">
        <f ca="1">+IF(A109=WORLDCUP!$BI$112,1,0)</f>
        <v>0</v>
      </c>
      <c r="C109" s="10" t="str">
        <f ca="1">+WORLDCUP!BD62</f>
        <v>Curazao</v>
      </c>
      <c r="D109" s="10" t="str">
        <f ca="1">+WORLDCUP!BD64</f>
        <v>Egipto</v>
      </c>
      <c r="E109" s="10" t="str">
        <f ca="1">+WORLDCUP!BD59</f>
        <v>Catar</v>
      </c>
      <c r="F109" s="10" t="str">
        <f ca="1">+WORLDCUP!BD60</f>
        <v>Escocia</v>
      </c>
      <c r="G109" s="10" t="str">
        <f ca="1">+WORLDCUP!BD65</f>
        <v>Arabia Saudita</v>
      </c>
      <c r="H109" s="10" t="str">
        <f ca="1">+WORLDCUP!BD63</f>
        <v>Japón</v>
      </c>
      <c r="I109" s="10" t="str">
        <f ca="1">+WORLDCUP!BD66</f>
        <v>Noruega</v>
      </c>
      <c r="J109" s="10" t="str">
        <f ca="1">+WORLDCUP!BD68</f>
        <v>PO 1: COD/JAM/NCL</v>
      </c>
      <c r="N109" s="19" t="s">
        <v>1127</v>
      </c>
      <c r="O109" s="19">
        <v>108</v>
      </c>
      <c r="P109" s="19" t="s">
        <v>95</v>
      </c>
      <c r="Q109" s="19" t="s">
        <v>452</v>
      </c>
      <c r="R109" s="19" t="s">
        <v>92</v>
      </c>
      <c r="S109" s="19" t="s">
        <v>93</v>
      </c>
      <c r="T109" s="19" t="s">
        <v>453</v>
      </c>
      <c r="U109" s="19" t="s">
        <v>96</v>
      </c>
      <c r="V109" s="19" t="s">
        <v>457</v>
      </c>
      <c r="W109" s="19" t="s">
        <v>459</v>
      </c>
    </row>
    <row r="110" spans="1:23">
      <c r="A110" s="10" t="s">
        <v>1126</v>
      </c>
      <c r="B110" s="10">
        <f ca="1">+IF(A110=WORLDCUP!$BI$112,1,0)</f>
        <v>0</v>
      </c>
      <c r="C110" s="10" t="str">
        <f ca="1">+WORLDCUP!BD65</f>
        <v>Arabia Saudita</v>
      </c>
      <c r="D110" s="10" t="str">
        <f ca="1">+WORLDCUP!BD64</f>
        <v>Egipto</v>
      </c>
      <c r="E110" s="10" t="str">
        <f ca="1">+WORLDCUP!BD59</f>
        <v>Catar</v>
      </c>
      <c r="F110" s="10" t="str">
        <f ca="1">+WORLDCUP!BD60</f>
        <v>Escocia</v>
      </c>
      <c r="G110" s="10" t="str">
        <f ca="1">+WORLDCUP!BD67</f>
        <v>Argelia</v>
      </c>
      <c r="H110" s="10" t="str">
        <f ca="1">+WORLDCUP!BD63</f>
        <v>Japón</v>
      </c>
      <c r="I110" s="10" t="str">
        <f ca="1">+WORLDCUP!BD62</f>
        <v>Curazao</v>
      </c>
      <c r="J110" s="10" t="str">
        <f ca="1">+WORLDCUP!BD66</f>
        <v>Noruega</v>
      </c>
      <c r="N110" s="19" t="s">
        <v>1126</v>
      </c>
      <c r="O110" s="19">
        <v>109</v>
      </c>
      <c r="P110" s="19" t="s">
        <v>453</v>
      </c>
      <c r="Q110" s="19" t="s">
        <v>452</v>
      </c>
      <c r="R110" s="19" t="s">
        <v>92</v>
      </c>
      <c r="S110" s="19" t="s">
        <v>93</v>
      </c>
      <c r="T110" s="19" t="s">
        <v>458</v>
      </c>
      <c r="U110" s="19" t="s">
        <v>96</v>
      </c>
      <c r="V110" s="19" t="s">
        <v>95</v>
      </c>
      <c r="W110" s="19" t="s">
        <v>457</v>
      </c>
    </row>
    <row r="111" spans="1:23">
      <c r="A111" s="10" t="s">
        <v>1125</v>
      </c>
      <c r="B111" s="10">
        <f ca="1">+IF(A111=WORLDCUP!$BI$112,1,0)</f>
        <v>0</v>
      </c>
      <c r="C111" s="10" t="str">
        <f ca="1">+WORLDCUP!BD65</f>
        <v>Arabia Saudita</v>
      </c>
      <c r="D111" s="10" t="str">
        <f ca="1">+WORLDCUP!BD67</f>
        <v>Argelia</v>
      </c>
      <c r="E111" s="10" t="str">
        <f ca="1">+WORLDCUP!BD59</f>
        <v>Catar</v>
      </c>
      <c r="F111" s="10" t="str">
        <f ca="1">+WORLDCUP!BD60</f>
        <v>Escocia</v>
      </c>
      <c r="G111" s="10" t="str">
        <f ca="1">+WORLDCUP!BD66</f>
        <v>Noruega</v>
      </c>
      <c r="H111" s="10" t="str">
        <f ca="1">+WORLDCUP!BD61</f>
        <v>Australia</v>
      </c>
      <c r="I111" s="10" t="str">
        <f ca="1">+WORLDCUP!BD69</f>
        <v>Ghana</v>
      </c>
      <c r="J111" s="10" t="str">
        <f ca="1">+WORLDCUP!BD68</f>
        <v>PO 1: COD/JAM/NCL</v>
      </c>
      <c r="N111" s="19" t="s">
        <v>1125</v>
      </c>
      <c r="O111" s="19">
        <v>110</v>
      </c>
      <c r="P111" s="19" t="s">
        <v>453</v>
      </c>
      <c r="Q111" s="19" t="s">
        <v>458</v>
      </c>
      <c r="R111" s="19" t="s">
        <v>92</v>
      </c>
      <c r="S111" s="19" t="s">
        <v>93</v>
      </c>
      <c r="T111" s="19" t="s">
        <v>457</v>
      </c>
      <c r="U111" s="19" t="s">
        <v>94</v>
      </c>
      <c r="V111" s="19" t="s">
        <v>460</v>
      </c>
      <c r="W111" s="19" t="s">
        <v>459</v>
      </c>
    </row>
    <row r="112" spans="1:23">
      <c r="A112" s="10" t="s">
        <v>1124</v>
      </c>
      <c r="B112" s="10">
        <f ca="1">+IF(A112=WORLDCUP!$BI$112,1,0)</f>
        <v>0</v>
      </c>
      <c r="C112" s="10" t="str">
        <f ca="1">+WORLDCUP!BD66</f>
        <v>Noruega</v>
      </c>
      <c r="D112" s="10" t="str">
        <f ca="1">+WORLDCUP!BD64</f>
        <v>Egipto</v>
      </c>
      <c r="E112" s="10" t="str">
        <f ca="1">+WORLDCUP!BD59</f>
        <v>Catar</v>
      </c>
      <c r="F112" s="10" t="str">
        <f ca="1">+WORLDCUP!BD60</f>
        <v>Escocia</v>
      </c>
      <c r="G112" s="10" t="str">
        <f ca="1">+WORLDCUP!BD67</f>
        <v>Argelia</v>
      </c>
      <c r="H112" s="10" t="str">
        <f ca="1">+WORLDCUP!BD61</f>
        <v>Australia</v>
      </c>
      <c r="I112" s="10" t="str">
        <f ca="1">+WORLDCUP!BD69</f>
        <v>Ghana</v>
      </c>
      <c r="J112" s="10" t="str">
        <f ca="1">+WORLDCUP!BD68</f>
        <v>PO 1: COD/JAM/NCL</v>
      </c>
      <c r="N112" s="19" t="s">
        <v>1124</v>
      </c>
      <c r="O112" s="19">
        <v>111</v>
      </c>
      <c r="P112" s="19" t="s">
        <v>457</v>
      </c>
      <c r="Q112" s="19" t="s">
        <v>452</v>
      </c>
      <c r="R112" s="19" t="s">
        <v>92</v>
      </c>
      <c r="S112" s="19" t="s">
        <v>93</v>
      </c>
      <c r="T112" s="19" t="s">
        <v>458</v>
      </c>
      <c r="U112" s="19" t="s">
        <v>94</v>
      </c>
      <c r="V112" s="19" t="s">
        <v>460</v>
      </c>
      <c r="W112" s="19" t="s">
        <v>459</v>
      </c>
    </row>
    <row r="113" spans="1:23">
      <c r="A113" s="10" t="s">
        <v>1123</v>
      </c>
      <c r="B113" s="10">
        <f ca="1">+IF(A113=WORLDCUP!$BI$112,1,0)</f>
        <v>0</v>
      </c>
      <c r="C113" s="10" t="str">
        <f ca="1">+WORLDCUP!BD65</f>
        <v>Arabia Saudita</v>
      </c>
      <c r="D113" s="10" t="str">
        <f ca="1">+WORLDCUP!BD64</f>
        <v>Egipto</v>
      </c>
      <c r="E113" s="10" t="str">
        <f ca="1">+WORLDCUP!BD59</f>
        <v>Catar</v>
      </c>
      <c r="F113" s="10" t="str">
        <f ca="1">+WORLDCUP!BD60</f>
        <v>Escocia</v>
      </c>
      <c r="G113" s="10" t="str">
        <f ca="1">+WORLDCUP!BD67</f>
        <v>Argelia</v>
      </c>
      <c r="H113" s="10" t="str">
        <f ca="1">+WORLDCUP!BD61</f>
        <v>Australia</v>
      </c>
      <c r="I113" s="10" t="str">
        <f ca="1">+WORLDCUP!BD69</f>
        <v>Ghana</v>
      </c>
      <c r="J113" s="10" t="str">
        <f ca="1">+WORLDCUP!BD68</f>
        <v>PO 1: COD/JAM/NCL</v>
      </c>
      <c r="N113" s="19" t="s">
        <v>1123</v>
      </c>
      <c r="O113" s="19">
        <v>112</v>
      </c>
      <c r="P113" s="19" t="s">
        <v>453</v>
      </c>
      <c r="Q113" s="19" t="s">
        <v>452</v>
      </c>
      <c r="R113" s="19" t="s">
        <v>92</v>
      </c>
      <c r="S113" s="19" t="s">
        <v>93</v>
      </c>
      <c r="T113" s="19" t="s">
        <v>458</v>
      </c>
      <c r="U113" s="19" t="s">
        <v>94</v>
      </c>
      <c r="V113" s="19" t="s">
        <v>460</v>
      </c>
      <c r="W113" s="19" t="s">
        <v>459</v>
      </c>
    </row>
    <row r="114" spans="1:23">
      <c r="A114" s="10" t="s">
        <v>1122</v>
      </c>
      <c r="B114" s="10">
        <f ca="1">+IF(A114=WORLDCUP!$BI$112,1,0)</f>
        <v>0</v>
      </c>
      <c r="C114" s="10" t="str">
        <f ca="1">+WORLDCUP!BD65</f>
        <v>Arabia Saudita</v>
      </c>
      <c r="D114" s="10" t="str">
        <f ca="1">+WORLDCUP!BD64</f>
        <v>Egipto</v>
      </c>
      <c r="E114" s="10" t="str">
        <f ca="1">+WORLDCUP!BD59</f>
        <v>Catar</v>
      </c>
      <c r="F114" s="10" t="str">
        <f ca="1">+WORLDCUP!BD60</f>
        <v>Escocia</v>
      </c>
      <c r="G114" s="10" t="str">
        <f ca="1">+WORLDCUP!BD66</f>
        <v>Noruega</v>
      </c>
      <c r="H114" s="10" t="str">
        <f ca="1">+WORLDCUP!BD61</f>
        <v>Australia</v>
      </c>
      <c r="I114" s="10" t="str">
        <f ca="1">+WORLDCUP!BD69</f>
        <v>Ghana</v>
      </c>
      <c r="J114" s="10" t="str">
        <f ca="1">+WORLDCUP!BD68</f>
        <v>PO 1: COD/JAM/NCL</v>
      </c>
      <c r="N114" s="19" t="s">
        <v>1122</v>
      </c>
      <c r="O114" s="19">
        <v>113</v>
      </c>
      <c r="P114" s="19" t="s">
        <v>453</v>
      </c>
      <c r="Q114" s="19" t="s">
        <v>452</v>
      </c>
      <c r="R114" s="19" t="s">
        <v>92</v>
      </c>
      <c r="S114" s="19" t="s">
        <v>93</v>
      </c>
      <c r="T114" s="19" t="s">
        <v>457</v>
      </c>
      <c r="U114" s="19" t="s">
        <v>94</v>
      </c>
      <c r="V114" s="19" t="s">
        <v>460</v>
      </c>
      <c r="W114" s="19" t="s">
        <v>459</v>
      </c>
    </row>
    <row r="115" spans="1:23">
      <c r="A115" s="10" t="s">
        <v>1121</v>
      </c>
      <c r="B115" s="10">
        <f ca="1">+IF(A115=WORLDCUP!$BI$112,1,0)</f>
        <v>0</v>
      </c>
      <c r="C115" s="10" t="str">
        <f ca="1">+WORLDCUP!BD65</f>
        <v>Arabia Saudita</v>
      </c>
      <c r="D115" s="10" t="str">
        <f ca="1">+WORLDCUP!BD64</f>
        <v>Egipto</v>
      </c>
      <c r="E115" s="10" t="str">
        <f ca="1">+WORLDCUP!BD59</f>
        <v>Catar</v>
      </c>
      <c r="F115" s="10" t="str">
        <f ca="1">+WORLDCUP!BD60</f>
        <v>Escocia</v>
      </c>
      <c r="G115" s="10" t="str">
        <f ca="1">+WORLDCUP!BD67</f>
        <v>Argelia</v>
      </c>
      <c r="H115" s="10" t="str">
        <f ca="1">+WORLDCUP!BD61</f>
        <v>Australia</v>
      </c>
      <c r="I115" s="10" t="str">
        <f ca="1">+WORLDCUP!BD69</f>
        <v>Ghana</v>
      </c>
      <c r="J115" s="10" t="str">
        <f ca="1">+WORLDCUP!BD66</f>
        <v>Noruega</v>
      </c>
      <c r="N115" s="19" t="s">
        <v>1121</v>
      </c>
      <c r="O115" s="19">
        <v>114</v>
      </c>
      <c r="P115" s="19" t="s">
        <v>453</v>
      </c>
      <c r="Q115" s="19" t="s">
        <v>452</v>
      </c>
      <c r="R115" s="19" t="s">
        <v>92</v>
      </c>
      <c r="S115" s="19" t="s">
        <v>93</v>
      </c>
      <c r="T115" s="19" t="s">
        <v>458</v>
      </c>
      <c r="U115" s="19" t="s">
        <v>94</v>
      </c>
      <c r="V115" s="19" t="s">
        <v>460</v>
      </c>
      <c r="W115" s="19" t="s">
        <v>457</v>
      </c>
    </row>
    <row r="116" spans="1:23">
      <c r="A116" s="10" t="s">
        <v>1120</v>
      </c>
      <c r="B116" s="10">
        <f ca="1">+IF(A116=WORLDCUP!$BI$112,1,0)</f>
        <v>0</v>
      </c>
      <c r="C116" s="10" t="str">
        <f ca="1">+WORLDCUP!BD65</f>
        <v>Arabia Saudita</v>
      </c>
      <c r="D116" s="10" t="str">
        <f ca="1">+WORLDCUP!BD64</f>
        <v>Egipto</v>
      </c>
      <c r="E116" s="10" t="str">
        <f ca="1">+WORLDCUP!BD59</f>
        <v>Catar</v>
      </c>
      <c r="F116" s="10" t="str">
        <f ca="1">+WORLDCUP!BD60</f>
        <v>Escocia</v>
      </c>
      <c r="G116" s="10" t="str">
        <f ca="1">+WORLDCUP!BD67</f>
        <v>Argelia</v>
      </c>
      <c r="H116" s="10" t="str">
        <f ca="1">+WORLDCUP!BD61</f>
        <v>Australia</v>
      </c>
      <c r="I116" s="10" t="str">
        <f ca="1">+WORLDCUP!BD66</f>
        <v>Noruega</v>
      </c>
      <c r="J116" s="10" t="str">
        <f ca="1">+WORLDCUP!BD68</f>
        <v>PO 1: COD/JAM/NCL</v>
      </c>
      <c r="N116" s="19" t="s">
        <v>1120</v>
      </c>
      <c r="O116" s="19">
        <v>115</v>
      </c>
      <c r="P116" s="19" t="s">
        <v>453</v>
      </c>
      <c r="Q116" s="19" t="s">
        <v>452</v>
      </c>
      <c r="R116" s="19" t="s">
        <v>92</v>
      </c>
      <c r="S116" s="19" t="s">
        <v>93</v>
      </c>
      <c r="T116" s="19" t="s">
        <v>458</v>
      </c>
      <c r="U116" s="19" t="s">
        <v>94</v>
      </c>
      <c r="V116" s="19" t="s">
        <v>457</v>
      </c>
      <c r="W116" s="19" t="s">
        <v>459</v>
      </c>
    </row>
    <row r="117" spans="1:23">
      <c r="A117" s="10" t="s">
        <v>1119</v>
      </c>
      <c r="B117" s="10">
        <f ca="1">+IF(A117=WORLDCUP!$BI$112,1,0)</f>
        <v>0</v>
      </c>
      <c r="C117" s="10" t="str">
        <f ca="1">+WORLDCUP!BD60</f>
        <v>Escocia</v>
      </c>
      <c r="D117" s="10" t="str">
        <f ca="1">+WORLDCUP!BD67</f>
        <v>Argelia</v>
      </c>
      <c r="E117" s="10" t="str">
        <f ca="1">+WORLDCUP!BD59</f>
        <v>Catar</v>
      </c>
      <c r="F117" s="10" t="str">
        <f ca="1">+WORLDCUP!BD61</f>
        <v>Australia</v>
      </c>
      <c r="G117" s="10" t="str">
        <f ca="1">+WORLDCUP!BD66</f>
        <v>Noruega</v>
      </c>
      <c r="H117" s="10" t="str">
        <f ca="1">+WORLDCUP!BD63</f>
        <v>Japón</v>
      </c>
      <c r="I117" s="10" t="str">
        <f ca="1">+WORLDCUP!BD69</f>
        <v>Ghana</v>
      </c>
      <c r="J117" s="10" t="str">
        <f ca="1">+WORLDCUP!BD68</f>
        <v>PO 1: COD/JAM/NCL</v>
      </c>
      <c r="N117" s="19" t="s">
        <v>1119</v>
      </c>
      <c r="O117" s="19">
        <v>116</v>
      </c>
      <c r="P117" s="19" t="s">
        <v>93</v>
      </c>
      <c r="Q117" s="19" t="s">
        <v>458</v>
      </c>
      <c r="R117" s="19" t="s">
        <v>92</v>
      </c>
      <c r="S117" s="19" t="s">
        <v>94</v>
      </c>
      <c r="T117" s="19" t="s">
        <v>457</v>
      </c>
      <c r="U117" s="19" t="s">
        <v>96</v>
      </c>
      <c r="V117" s="19" t="s">
        <v>460</v>
      </c>
      <c r="W117" s="19" t="s">
        <v>459</v>
      </c>
    </row>
    <row r="118" spans="1:23">
      <c r="A118" s="10" t="s">
        <v>1118</v>
      </c>
      <c r="B118" s="10">
        <f ca="1">+IF(A118=WORLDCUP!$BI$112,1,0)</f>
        <v>0</v>
      </c>
      <c r="C118" s="10" t="str">
        <f ca="1">+WORLDCUP!BD60</f>
        <v>Escocia</v>
      </c>
      <c r="D118" s="10" t="str">
        <f ca="1">+WORLDCUP!BD67</f>
        <v>Argelia</v>
      </c>
      <c r="E118" s="10" t="str">
        <f ca="1">+WORLDCUP!BD59</f>
        <v>Catar</v>
      </c>
      <c r="F118" s="10" t="str">
        <f ca="1">+WORLDCUP!BD61</f>
        <v>Australia</v>
      </c>
      <c r="G118" s="10" t="str">
        <f ca="1">+WORLDCUP!BD65</f>
        <v>Arabia Saudita</v>
      </c>
      <c r="H118" s="10" t="str">
        <f ca="1">+WORLDCUP!BD63</f>
        <v>Japón</v>
      </c>
      <c r="I118" s="10" t="str">
        <f ca="1">+WORLDCUP!BD69</f>
        <v>Ghana</v>
      </c>
      <c r="J118" s="10" t="str">
        <f ca="1">+WORLDCUP!BD68</f>
        <v>PO 1: COD/JAM/NCL</v>
      </c>
      <c r="N118" s="19" t="s">
        <v>1118</v>
      </c>
      <c r="O118" s="19">
        <v>117</v>
      </c>
      <c r="P118" s="19" t="s">
        <v>93</v>
      </c>
      <c r="Q118" s="19" t="s">
        <v>458</v>
      </c>
      <c r="R118" s="19" t="s">
        <v>92</v>
      </c>
      <c r="S118" s="19" t="s">
        <v>94</v>
      </c>
      <c r="T118" s="19" t="s">
        <v>453</v>
      </c>
      <c r="U118" s="19" t="s">
        <v>96</v>
      </c>
      <c r="V118" s="19" t="s">
        <v>460</v>
      </c>
      <c r="W118" s="19" t="s">
        <v>459</v>
      </c>
    </row>
    <row r="119" spans="1:23">
      <c r="A119" s="10" t="s">
        <v>1117</v>
      </c>
      <c r="B119" s="10">
        <f ca="1">+IF(A119=WORLDCUP!$BI$112,1,0)</f>
        <v>0</v>
      </c>
      <c r="C119" s="10" t="str">
        <f ca="1">+WORLDCUP!BD60</f>
        <v>Escocia</v>
      </c>
      <c r="D119" s="10" t="str">
        <f ca="1">+WORLDCUP!BD66</f>
        <v>Noruega</v>
      </c>
      <c r="E119" s="10" t="str">
        <f ca="1">+WORLDCUP!BD59</f>
        <v>Catar</v>
      </c>
      <c r="F119" s="10" t="str">
        <f ca="1">+WORLDCUP!BD61</f>
        <v>Australia</v>
      </c>
      <c r="G119" s="10" t="str">
        <f ca="1">+WORLDCUP!BD65</f>
        <v>Arabia Saudita</v>
      </c>
      <c r="H119" s="10" t="str">
        <f ca="1">+WORLDCUP!BD63</f>
        <v>Japón</v>
      </c>
      <c r="I119" s="10" t="str">
        <f ca="1">+WORLDCUP!BD69</f>
        <v>Ghana</v>
      </c>
      <c r="J119" s="10" t="str">
        <f ca="1">+WORLDCUP!BD68</f>
        <v>PO 1: COD/JAM/NCL</v>
      </c>
      <c r="N119" s="19" t="s">
        <v>1117</v>
      </c>
      <c r="O119" s="19">
        <v>118</v>
      </c>
      <c r="P119" s="19" t="s">
        <v>93</v>
      </c>
      <c r="Q119" s="19" t="s">
        <v>457</v>
      </c>
      <c r="R119" s="19" t="s">
        <v>92</v>
      </c>
      <c r="S119" s="19" t="s">
        <v>94</v>
      </c>
      <c r="T119" s="19" t="s">
        <v>453</v>
      </c>
      <c r="U119" s="19" t="s">
        <v>96</v>
      </c>
      <c r="V119" s="19" t="s">
        <v>460</v>
      </c>
      <c r="W119" s="19" t="s">
        <v>459</v>
      </c>
    </row>
    <row r="120" spans="1:23">
      <c r="A120" s="10" t="s">
        <v>1116</v>
      </c>
      <c r="B120" s="10">
        <f ca="1">+IF(A120=WORLDCUP!$BI$112,1,0)</f>
        <v>0</v>
      </c>
      <c r="C120" s="10" t="str">
        <f ca="1">+WORLDCUP!BD60</f>
        <v>Escocia</v>
      </c>
      <c r="D120" s="10" t="str">
        <f ca="1">+WORLDCUP!BD67</f>
        <v>Argelia</v>
      </c>
      <c r="E120" s="10" t="str">
        <f ca="1">+WORLDCUP!BD59</f>
        <v>Catar</v>
      </c>
      <c r="F120" s="10" t="str">
        <f ca="1">+WORLDCUP!BD61</f>
        <v>Australia</v>
      </c>
      <c r="G120" s="10" t="str">
        <f ca="1">+WORLDCUP!BD65</f>
        <v>Arabia Saudita</v>
      </c>
      <c r="H120" s="10" t="str">
        <f ca="1">+WORLDCUP!BD63</f>
        <v>Japón</v>
      </c>
      <c r="I120" s="10" t="str">
        <f ca="1">+WORLDCUP!BD69</f>
        <v>Ghana</v>
      </c>
      <c r="J120" s="10" t="str">
        <f ca="1">+WORLDCUP!BD66</f>
        <v>Noruega</v>
      </c>
      <c r="N120" s="19" t="s">
        <v>1116</v>
      </c>
      <c r="O120" s="19">
        <v>119</v>
      </c>
      <c r="P120" s="19" t="s">
        <v>93</v>
      </c>
      <c r="Q120" s="19" t="s">
        <v>458</v>
      </c>
      <c r="R120" s="19" t="s">
        <v>92</v>
      </c>
      <c r="S120" s="19" t="s">
        <v>94</v>
      </c>
      <c r="T120" s="19" t="s">
        <v>453</v>
      </c>
      <c r="U120" s="19" t="s">
        <v>96</v>
      </c>
      <c r="V120" s="19" t="s">
        <v>460</v>
      </c>
      <c r="W120" s="19" t="s">
        <v>457</v>
      </c>
    </row>
    <row r="121" spans="1:23">
      <c r="A121" s="10" t="s">
        <v>1115</v>
      </c>
      <c r="B121" s="10">
        <f ca="1">+IF(A121=WORLDCUP!$BI$112,1,0)</f>
        <v>0</v>
      </c>
      <c r="C121" s="10" t="str">
        <f ca="1">+WORLDCUP!BD60</f>
        <v>Escocia</v>
      </c>
      <c r="D121" s="10" t="str">
        <f ca="1">+WORLDCUP!BD67</f>
        <v>Argelia</v>
      </c>
      <c r="E121" s="10" t="str">
        <f ca="1">+WORLDCUP!BD59</f>
        <v>Catar</v>
      </c>
      <c r="F121" s="10" t="str">
        <f ca="1">+WORLDCUP!BD61</f>
        <v>Australia</v>
      </c>
      <c r="G121" s="10" t="str">
        <f ca="1">+WORLDCUP!BD65</f>
        <v>Arabia Saudita</v>
      </c>
      <c r="H121" s="10" t="str">
        <f ca="1">+WORLDCUP!BD63</f>
        <v>Japón</v>
      </c>
      <c r="I121" s="10" t="str">
        <f ca="1">+WORLDCUP!BD66</f>
        <v>Noruega</v>
      </c>
      <c r="J121" s="10" t="str">
        <f ca="1">+WORLDCUP!BD68</f>
        <v>PO 1: COD/JAM/NCL</v>
      </c>
      <c r="N121" s="19" t="s">
        <v>1115</v>
      </c>
      <c r="O121" s="19">
        <v>120</v>
      </c>
      <c r="P121" s="19" t="s">
        <v>93</v>
      </c>
      <c r="Q121" s="19" t="s">
        <v>458</v>
      </c>
      <c r="R121" s="19" t="s">
        <v>92</v>
      </c>
      <c r="S121" s="19" t="s">
        <v>94</v>
      </c>
      <c r="T121" s="19" t="s">
        <v>453</v>
      </c>
      <c r="U121" s="19" t="s">
        <v>96</v>
      </c>
      <c r="V121" s="19" t="s">
        <v>457</v>
      </c>
      <c r="W121" s="19" t="s">
        <v>459</v>
      </c>
    </row>
    <row r="122" spans="1:23">
      <c r="A122" s="10" t="s">
        <v>1114</v>
      </c>
      <c r="B122" s="10">
        <f ca="1">+IF(A122=WORLDCUP!$BI$112,1,0)</f>
        <v>0</v>
      </c>
      <c r="C122" s="10" t="str">
        <f ca="1">+WORLDCUP!BD60</f>
        <v>Escocia</v>
      </c>
      <c r="D122" s="10" t="str">
        <f ca="1">+WORLDCUP!BD64</f>
        <v>Egipto</v>
      </c>
      <c r="E122" s="10" t="str">
        <f ca="1">+WORLDCUP!BD59</f>
        <v>Catar</v>
      </c>
      <c r="F122" s="10" t="str">
        <f ca="1">+WORLDCUP!BD61</f>
        <v>Australia</v>
      </c>
      <c r="G122" s="10" t="str">
        <f ca="1">+WORLDCUP!BD67</f>
        <v>Argelia</v>
      </c>
      <c r="H122" s="10" t="str">
        <f ca="1">+WORLDCUP!BD63</f>
        <v>Japón</v>
      </c>
      <c r="I122" s="10" t="str">
        <f ca="1">+WORLDCUP!BD69</f>
        <v>Ghana</v>
      </c>
      <c r="J122" s="10" t="str">
        <f ca="1">+WORLDCUP!BD68</f>
        <v>PO 1: COD/JAM/NCL</v>
      </c>
      <c r="N122" s="19" t="s">
        <v>1114</v>
      </c>
      <c r="O122" s="19">
        <v>121</v>
      </c>
      <c r="P122" s="19" t="s">
        <v>93</v>
      </c>
      <c r="Q122" s="19" t="s">
        <v>452</v>
      </c>
      <c r="R122" s="19" t="s">
        <v>92</v>
      </c>
      <c r="S122" s="19" t="s">
        <v>94</v>
      </c>
      <c r="T122" s="19" t="s">
        <v>458</v>
      </c>
      <c r="U122" s="19" t="s">
        <v>96</v>
      </c>
      <c r="V122" s="19" t="s">
        <v>460</v>
      </c>
      <c r="W122" s="19" t="s">
        <v>459</v>
      </c>
    </row>
    <row r="123" spans="1:23">
      <c r="A123" s="10" t="s">
        <v>1113</v>
      </c>
      <c r="B123" s="10">
        <f ca="1">+IF(A123=WORLDCUP!$BI$112,1,0)</f>
        <v>0</v>
      </c>
      <c r="C123" s="10" t="str">
        <f ca="1">+WORLDCUP!BD60</f>
        <v>Escocia</v>
      </c>
      <c r="D123" s="10" t="str">
        <f ca="1">+WORLDCUP!BD64</f>
        <v>Egipto</v>
      </c>
      <c r="E123" s="10" t="str">
        <f ca="1">+WORLDCUP!BD59</f>
        <v>Catar</v>
      </c>
      <c r="F123" s="10" t="str">
        <f ca="1">+WORLDCUP!BD61</f>
        <v>Australia</v>
      </c>
      <c r="G123" s="10" t="str">
        <f ca="1">+WORLDCUP!BD66</f>
        <v>Noruega</v>
      </c>
      <c r="H123" s="10" t="str">
        <f ca="1">+WORLDCUP!BD63</f>
        <v>Japón</v>
      </c>
      <c r="I123" s="10" t="str">
        <f ca="1">+WORLDCUP!BD69</f>
        <v>Ghana</v>
      </c>
      <c r="J123" s="10" t="str">
        <f ca="1">+WORLDCUP!BD68</f>
        <v>PO 1: COD/JAM/NCL</v>
      </c>
      <c r="N123" s="19" t="s">
        <v>1113</v>
      </c>
      <c r="O123" s="19">
        <v>122</v>
      </c>
      <c r="P123" s="19" t="s">
        <v>93</v>
      </c>
      <c r="Q123" s="19" t="s">
        <v>452</v>
      </c>
      <c r="R123" s="19" t="s">
        <v>92</v>
      </c>
      <c r="S123" s="19" t="s">
        <v>94</v>
      </c>
      <c r="T123" s="19" t="s">
        <v>457</v>
      </c>
      <c r="U123" s="19" t="s">
        <v>96</v>
      </c>
      <c r="V123" s="19" t="s">
        <v>460</v>
      </c>
      <c r="W123" s="19" t="s">
        <v>459</v>
      </c>
    </row>
    <row r="124" spans="1:23">
      <c r="A124" s="10" t="s">
        <v>1112</v>
      </c>
      <c r="B124" s="10">
        <f ca="1">+IF(A124=WORLDCUP!$BI$112,1,0)</f>
        <v>0</v>
      </c>
      <c r="C124" s="10" t="str">
        <f ca="1">+WORLDCUP!BD60</f>
        <v>Escocia</v>
      </c>
      <c r="D124" s="10" t="str">
        <f ca="1">+WORLDCUP!BD64</f>
        <v>Egipto</v>
      </c>
      <c r="E124" s="10" t="str">
        <f ca="1">+WORLDCUP!BD59</f>
        <v>Catar</v>
      </c>
      <c r="F124" s="10" t="str">
        <f ca="1">+WORLDCUP!BD61</f>
        <v>Australia</v>
      </c>
      <c r="G124" s="10" t="str">
        <f ca="1">+WORLDCUP!BD67</f>
        <v>Argelia</v>
      </c>
      <c r="H124" s="10" t="str">
        <f ca="1">+WORLDCUP!BD63</f>
        <v>Japón</v>
      </c>
      <c r="I124" s="10" t="str">
        <f ca="1">+WORLDCUP!BD69</f>
        <v>Ghana</v>
      </c>
      <c r="J124" s="10" t="str">
        <f ca="1">+WORLDCUP!BD66</f>
        <v>Noruega</v>
      </c>
      <c r="N124" s="19" t="s">
        <v>1112</v>
      </c>
      <c r="O124" s="19">
        <v>123</v>
      </c>
      <c r="P124" s="19" t="s">
        <v>93</v>
      </c>
      <c r="Q124" s="19" t="s">
        <v>452</v>
      </c>
      <c r="R124" s="19" t="s">
        <v>92</v>
      </c>
      <c r="S124" s="19" t="s">
        <v>94</v>
      </c>
      <c r="T124" s="19" t="s">
        <v>458</v>
      </c>
      <c r="U124" s="19" t="s">
        <v>96</v>
      </c>
      <c r="V124" s="19" t="s">
        <v>460</v>
      </c>
      <c r="W124" s="19" t="s">
        <v>457</v>
      </c>
    </row>
    <row r="125" spans="1:23">
      <c r="A125" s="10" t="s">
        <v>1111</v>
      </c>
      <c r="B125" s="10">
        <f ca="1">+IF(A125=WORLDCUP!$BI$112,1,0)</f>
        <v>0</v>
      </c>
      <c r="C125" s="10" t="str">
        <f ca="1">+WORLDCUP!BD60</f>
        <v>Escocia</v>
      </c>
      <c r="D125" s="10" t="str">
        <f ca="1">+WORLDCUP!BD64</f>
        <v>Egipto</v>
      </c>
      <c r="E125" s="10" t="str">
        <f ca="1">+WORLDCUP!BD59</f>
        <v>Catar</v>
      </c>
      <c r="F125" s="10" t="str">
        <f ca="1">+WORLDCUP!BD61</f>
        <v>Australia</v>
      </c>
      <c r="G125" s="10" t="str">
        <f ca="1">+WORLDCUP!BD67</f>
        <v>Argelia</v>
      </c>
      <c r="H125" s="10" t="str">
        <f ca="1">+WORLDCUP!BD63</f>
        <v>Japón</v>
      </c>
      <c r="I125" s="10" t="str">
        <f ca="1">+WORLDCUP!BD66</f>
        <v>Noruega</v>
      </c>
      <c r="J125" s="10" t="str">
        <f ca="1">+WORLDCUP!BD68</f>
        <v>PO 1: COD/JAM/NCL</v>
      </c>
      <c r="N125" s="19" t="s">
        <v>1111</v>
      </c>
      <c r="O125" s="19">
        <v>124</v>
      </c>
      <c r="P125" s="19" t="s">
        <v>93</v>
      </c>
      <c r="Q125" s="19" t="s">
        <v>452</v>
      </c>
      <c r="R125" s="19" t="s">
        <v>92</v>
      </c>
      <c r="S125" s="19" t="s">
        <v>94</v>
      </c>
      <c r="T125" s="19" t="s">
        <v>458</v>
      </c>
      <c r="U125" s="19" t="s">
        <v>96</v>
      </c>
      <c r="V125" s="19" t="s">
        <v>457</v>
      </c>
      <c r="W125" s="19" t="s">
        <v>459</v>
      </c>
    </row>
    <row r="126" spans="1:23">
      <c r="A126" s="10" t="s">
        <v>1110</v>
      </c>
      <c r="B126" s="10">
        <f ca="1">+IF(A126=WORLDCUP!$BI$112,1,0)</f>
        <v>0</v>
      </c>
      <c r="C126" s="10" t="str">
        <f ca="1">+WORLDCUP!BD60</f>
        <v>Escocia</v>
      </c>
      <c r="D126" s="10" t="str">
        <f ca="1">+WORLDCUP!BD64</f>
        <v>Egipto</v>
      </c>
      <c r="E126" s="10" t="str">
        <f ca="1">+WORLDCUP!BD59</f>
        <v>Catar</v>
      </c>
      <c r="F126" s="10" t="str">
        <f ca="1">+WORLDCUP!BD61</f>
        <v>Australia</v>
      </c>
      <c r="G126" s="10" t="str">
        <f ca="1">+WORLDCUP!BD65</f>
        <v>Arabia Saudita</v>
      </c>
      <c r="H126" s="10" t="str">
        <f ca="1">+WORLDCUP!BD63</f>
        <v>Japón</v>
      </c>
      <c r="I126" s="10" t="str">
        <f ca="1">+WORLDCUP!BD69</f>
        <v>Ghana</v>
      </c>
      <c r="J126" s="10" t="str">
        <f ca="1">+WORLDCUP!BD68</f>
        <v>PO 1: COD/JAM/NCL</v>
      </c>
      <c r="N126" s="19" t="s">
        <v>1110</v>
      </c>
      <c r="O126" s="19">
        <v>125</v>
      </c>
      <c r="P126" s="19" t="s">
        <v>93</v>
      </c>
      <c r="Q126" s="19" t="s">
        <v>452</v>
      </c>
      <c r="R126" s="19" t="s">
        <v>92</v>
      </c>
      <c r="S126" s="19" t="s">
        <v>94</v>
      </c>
      <c r="T126" s="19" t="s">
        <v>453</v>
      </c>
      <c r="U126" s="19" t="s">
        <v>96</v>
      </c>
      <c r="V126" s="19" t="s">
        <v>460</v>
      </c>
      <c r="W126" s="19" t="s">
        <v>459</v>
      </c>
    </row>
    <row r="127" spans="1:23">
      <c r="A127" s="10" t="s">
        <v>1109</v>
      </c>
      <c r="B127" s="10">
        <f ca="1">+IF(A127=WORLDCUP!$BI$112,1,0)</f>
        <v>0</v>
      </c>
      <c r="C127" s="10" t="str">
        <f ca="1">+WORLDCUP!BD60</f>
        <v>Escocia</v>
      </c>
      <c r="D127" s="10" t="str">
        <f ca="1">+WORLDCUP!BD64</f>
        <v>Egipto</v>
      </c>
      <c r="E127" s="10" t="str">
        <f ca="1">+WORLDCUP!BD59</f>
        <v>Catar</v>
      </c>
      <c r="F127" s="10" t="str">
        <f ca="1">+WORLDCUP!BD61</f>
        <v>Australia</v>
      </c>
      <c r="G127" s="10" t="str">
        <f ca="1">+WORLDCUP!BD65</f>
        <v>Arabia Saudita</v>
      </c>
      <c r="H127" s="10" t="str">
        <f ca="1">+WORLDCUP!BD63</f>
        <v>Japón</v>
      </c>
      <c r="I127" s="10" t="str">
        <f ca="1">+WORLDCUP!BD69</f>
        <v>Ghana</v>
      </c>
      <c r="J127" s="10" t="str">
        <f ca="1">+WORLDCUP!BD67</f>
        <v>Argelia</v>
      </c>
      <c r="N127" s="19" t="s">
        <v>1109</v>
      </c>
      <c r="O127" s="19">
        <v>126</v>
      </c>
      <c r="P127" s="19" t="s">
        <v>93</v>
      </c>
      <c r="Q127" s="19" t="s">
        <v>452</v>
      </c>
      <c r="R127" s="19" t="s">
        <v>92</v>
      </c>
      <c r="S127" s="19" t="s">
        <v>94</v>
      </c>
      <c r="T127" s="19" t="s">
        <v>453</v>
      </c>
      <c r="U127" s="19" t="s">
        <v>96</v>
      </c>
      <c r="V127" s="19" t="s">
        <v>460</v>
      </c>
      <c r="W127" s="19" t="s">
        <v>458</v>
      </c>
    </row>
    <row r="128" spans="1:23">
      <c r="A128" s="10" t="s">
        <v>1108</v>
      </c>
      <c r="B128" s="10">
        <f ca="1">+IF(A128=WORLDCUP!$BI$112,1,0)</f>
        <v>0</v>
      </c>
      <c r="C128" s="10" t="str">
        <f ca="1">+WORLDCUP!BD65</f>
        <v>Arabia Saudita</v>
      </c>
      <c r="D128" s="10" t="str">
        <f ca="1">+WORLDCUP!BD64</f>
        <v>Egipto</v>
      </c>
      <c r="E128" s="10" t="str">
        <f ca="1">+WORLDCUP!BD59</f>
        <v>Catar</v>
      </c>
      <c r="F128" s="10" t="str">
        <f ca="1">+WORLDCUP!BD60</f>
        <v>Escocia</v>
      </c>
      <c r="G128" s="10" t="str">
        <f ca="1">+WORLDCUP!BD67</f>
        <v>Argelia</v>
      </c>
      <c r="H128" s="10" t="str">
        <f ca="1">+WORLDCUP!BD63</f>
        <v>Japón</v>
      </c>
      <c r="I128" s="10" t="str">
        <f ca="1">+WORLDCUP!BD61</f>
        <v>Australia</v>
      </c>
      <c r="J128" s="10" t="str">
        <f ca="1">+WORLDCUP!BD68</f>
        <v>PO 1: COD/JAM/NCL</v>
      </c>
      <c r="N128" s="19" t="s">
        <v>1108</v>
      </c>
      <c r="O128" s="19">
        <v>127</v>
      </c>
      <c r="P128" s="19" t="s">
        <v>453</v>
      </c>
      <c r="Q128" s="19" t="s">
        <v>452</v>
      </c>
      <c r="R128" s="19" t="s">
        <v>92</v>
      </c>
      <c r="S128" s="19" t="s">
        <v>93</v>
      </c>
      <c r="T128" s="19" t="s">
        <v>458</v>
      </c>
      <c r="U128" s="19" t="s">
        <v>96</v>
      </c>
      <c r="V128" s="19" t="s">
        <v>94</v>
      </c>
      <c r="W128" s="19" t="s">
        <v>459</v>
      </c>
    </row>
    <row r="129" spans="1:23">
      <c r="A129" s="10" t="s">
        <v>1107</v>
      </c>
      <c r="B129" s="10">
        <f ca="1">+IF(A129=WORLDCUP!$BI$112,1,0)</f>
        <v>0</v>
      </c>
      <c r="C129" s="10" t="str">
        <f ca="1">+WORLDCUP!BD60</f>
        <v>Escocia</v>
      </c>
      <c r="D129" s="10" t="str">
        <f ca="1">+WORLDCUP!BD64</f>
        <v>Egipto</v>
      </c>
      <c r="E129" s="10" t="str">
        <f ca="1">+WORLDCUP!BD59</f>
        <v>Catar</v>
      </c>
      <c r="F129" s="10" t="str">
        <f ca="1">+WORLDCUP!BD61</f>
        <v>Australia</v>
      </c>
      <c r="G129" s="10" t="str">
        <f ca="1">+WORLDCUP!BD65</f>
        <v>Arabia Saudita</v>
      </c>
      <c r="H129" s="10" t="str">
        <f ca="1">+WORLDCUP!BD63</f>
        <v>Japón</v>
      </c>
      <c r="I129" s="10" t="str">
        <f ca="1">+WORLDCUP!BD69</f>
        <v>Ghana</v>
      </c>
      <c r="J129" s="10" t="str">
        <f ca="1">+WORLDCUP!BD66</f>
        <v>Noruega</v>
      </c>
      <c r="N129" s="19" t="s">
        <v>1107</v>
      </c>
      <c r="O129" s="19">
        <v>128</v>
      </c>
      <c r="P129" s="19" t="s">
        <v>93</v>
      </c>
      <c r="Q129" s="19" t="s">
        <v>452</v>
      </c>
      <c r="R129" s="19" t="s">
        <v>92</v>
      </c>
      <c r="S129" s="19" t="s">
        <v>94</v>
      </c>
      <c r="T129" s="19" t="s">
        <v>453</v>
      </c>
      <c r="U129" s="19" t="s">
        <v>96</v>
      </c>
      <c r="V129" s="19" t="s">
        <v>460</v>
      </c>
      <c r="W129" s="19" t="s">
        <v>457</v>
      </c>
    </row>
    <row r="130" spans="1:23">
      <c r="A130" s="10" t="s">
        <v>1106</v>
      </c>
      <c r="B130" s="10">
        <f ca="1">+IF(A130=WORLDCUP!$BI$112,1,0)</f>
        <v>0</v>
      </c>
      <c r="C130" s="10" t="str">
        <f ca="1">+WORLDCUP!BD60</f>
        <v>Escocia</v>
      </c>
      <c r="D130" s="10" t="str">
        <f ca="1">+WORLDCUP!BD64</f>
        <v>Egipto</v>
      </c>
      <c r="E130" s="10" t="str">
        <f ca="1">+WORLDCUP!BD59</f>
        <v>Catar</v>
      </c>
      <c r="F130" s="10" t="str">
        <f ca="1">+WORLDCUP!BD61</f>
        <v>Australia</v>
      </c>
      <c r="G130" s="10" t="str">
        <f ca="1">+WORLDCUP!BD65</f>
        <v>Arabia Saudita</v>
      </c>
      <c r="H130" s="10" t="str">
        <f ca="1">+WORLDCUP!BD63</f>
        <v>Japón</v>
      </c>
      <c r="I130" s="10" t="str">
        <f ca="1">+WORLDCUP!BD66</f>
        <v>Noruega</v>
      </c>
      <c r="J130" s="10" t="str">
        <f ca="1">+WORLDCUP!BD68</f>
        <v>PO 1: COD/JAM/NCL</v>
      </c>
      <c r="N130" s="19" t="s">
        <v>1106</v>
      </c>
      <c r="O130" s="19">
        <v>129</v>
      </c>
      <c r="P130" s="19" t="s">
        <v>93</v>
      </c>
      <c r="Q130" s="19" t="s">
        <v>452</v>
      </c>
      <c r="R130" s="19" t="s">
        <v>92</v>
      </c>
      <c r="S130" s="19" t="s">
        <v>94</v>
      </c>
      <c r="T130" s="19" t="s">
        <v>453</v>
      </c>
      <c r="U130" s="19" t="s">
        <v>96</v>
      </c>
      <c r="V130" s="19" t="s">
        <v>457</v>
      </c>
      <c r="W130" s="19" t="s">
        <v>459</v>
      </c>
    </row>
    <row r="131" spans="1:23">
      <c r="A131" s="10" t="s">
        <v>1105</v>
      </c>
      <c r="B131" s="10">
        <f ca="1">+IF(A131=WORLDCUP!$BI$112,1,0)</f>
        <v>0</v>
      </c>
      <c r="C131" s="10" t="str">
        <f ca="1">+WORLDCUP!BD65</f>
        <v>Arabia Saudita</v>
      </c>
      <c r="D131" s="10" t="str">
        <f ca="1">+WORLDCUP!BD64</f>
        <v>Egipto</v>
      </c>
      <c r="E131" s="10" t="str">
        <f ca="1">+WORLDCUP!BD59</f>
        <v>Catar</v>
      </c>
      <c r="F131" s="10" t="str">
        <f ca="1">+WORLDCUP!BD60</f>
        <v>Escocia</v>
      </c>
      <c r="G131" s="10" t="str">
        <f ca="1">+WORLDCUP!BD67</f>
        <v>Argelia</v>
      </c>
      <c r="H131" s="10" t="str">
        <f ca="1">+WORLDCUP!BD63</f>
        <v>Japón</v>
      </c>
      <c r="I131" s="10" t="str">
        <f ca="1">+WORLDCUP!BD61</f>
        <v>Australia</v>
      </c>
      <c r="J131" s="10" t="str">
        <f ca="1">+WORLDCUP!BD66</f>
        <v>Noruega</v>
      </c>
      <c r="N131" s="19" t="s">
        <v>1105</v>
      </c>
      <c r="O131" s="19">
        <v>130</v>
      </c>
      <c r="P131" s="19" t="s">
        <v>453</v>
      </c>
      <c r="Q131" s="19" t="s">
        <v>452</v>
      </c>
      <c r="R131" s="19" t="s">
        <v>92</v>
      </c>
      <c r="S131" s="19" t="s">
        <v>93</v>
      </c>
      <c r="T131" s="19" t="s">
        <v>458</v>
      </c>
      <c r="U131" s="19" t="s">
        <v>96</v>
      </c>
      <c r="V131" s="19" t="s">
        <v>94</v>
      </c>
      <c r="W131" s="19" t="s">
        <v>457</v>
      </c>
    </row>
    <row r="132" spans="1:23">
      <c r="A132" s="10" t="s">
        <v>1104</v>
      </c>
      <c r="B132" s="10">
        <f ca="1">+IF(A132=WORLDCUP!$BI$112,1,0)</f>
        <v>0</v>
      </c>
      <c r="C132" s="10" t="str">
        <f ca="1">+WORLDCUP!BD62</f>
        <v>Curazao</v>
      </c>
      <c r="D132" s="10" t="str">
        <f ca="1">+WORLDCUP!BD67</f>
        <v>Argelia</v>
      </c>
      <c r="E132" s="10" t="str">
        <f ca="1">+WORLDCUP!BD59</f>
        <v>Catar</v>
      </c>
      <c r="F132" s="10" t="str">
        <f ca="1">+WORLDCUP!BD60</f>
        <v>Escocia</v>
      </c>
      <c r="G132" s="10" t="str">
        <f ca="1">+WORLDCUP!BD66</f>
        <v>Noruega</v>
      </c>
      <c r="H132" s="10" t="str">
        <f ca="1">+WORLDCUP!BD61</f>
        <v>Australia</v>
      </c>
      <c r="I132" s="10" t="str">
        <f ca="1">+WORLDCUP!BD69</f>
        <v>Ghana</v>
      </c>
      <c r="J132" s="10" t="str">
        <f ca="1">+WORLDCUP!BD68</f>
        <v>PO 1: COD/JAM/NCL</v>
      </c>
      <c r="N132" s="19" t="s">
        <v>1104</v>
      </c>
      <c r="O132" s="19">
        <v>131</v>
      </c>
      <c r="P132" s="19" t="s">
        <v>95</v>
      </c>
      <c r="Q132" s="19" t="s">
        <v>458</v>
      </c>
      <c r="R132" s="19" t="s">
        <v>92</v>
      </c>
      <c r="S132" s="19" t="s">
        <v>93</v>
      </c>
      <c r="T132" s="19" t="s">
        <v>457</v>
      </c>
      <c r="U132" s="19" t="s">
        <v>94</v>
      </c>
      <c r="V132" s="19" t="s">
        <v>460</v>
      </c>
      <c r="W132" s="19" t="s">
        <v>459</v>
      </c>
    </row>
    <row r="133" spans="1:23">
      <c r="A133" s="10" t="s">
        <v>1103</v>
      </c>
      <c r="B133" s="10">
        <f ca="1">+IF(A133=WORLDCUP!$BI$112,1,0)</f>
        <v>0</v>
      </c>
      <c r="C133" s="10" t="str">
        <f ca="1">+WORLDCUP!BD62</f>
        <v>Curazao</v>
      </c>
      <c r="D133" s="10" t="str">
        <f ca="1">+WORLDCUP!BD67</f>
        <v>Argelia</v>
      </c>
      <c r="E133" s="10" t="str">
        <f ca="1">+WORLDCUP!BD59</f>
        <v>Catar</v>
      </c>
      <c r="F133" s="10" t="str">
        <f ca="1">+WORLDCUP!BD60</f>
        <v>Escocia</v>
      </c>
      <c r="G133" s="10" t="str">
        <f ca="1">+WORLDCUP!BD65</f>
        <v>Arabia Saudita</v>
      </c>
      <c r="H133" s="10" t="str">
        <f ca="1">+WORLDCUP!BD61</f>
        <v>Australia</v>
      </c>
      <c r="I133" s="10" t="str">
        <f ca="1">+WORLDCUP!BD69</f>
        <v>Ghana</v>
      </c>
      <c r="J133" s="10" t="str">
        <f ca="1">+WORLDCUP!BD68</f>
        <v>PO 1: COD/JAM/NCL</v>
      </c>
      <c r="N133" s="19" t="s">
        <v>1103</v>
      </c>
      <c r="O133" s="19">
        <v>132</v>
      </c>
      <c r="P133" s="19" t="s">
        <v>95</v>
      </c>
      <c r="Q133" s="19" t="s">
        <v>458</v>
      </c>
      <c r="R133" s="19" t="s">
        <v>92</v>
      </c>
      <c r="S133" s="19" t="s">
        <v>93</v>
      </c>
      <c r="T133" s="19" t="s">
        <v>453</v>
      </c>
      <c r="U133" s="19" t="s">
        <v>94</v>
      </c>
      <c r="V133" s="19" t="s">
        <v>460</v>
      </c>
      <c r="W133" s="19" t="s">
        <v>459</v>
      </c>
    </row>
    <row r="134" spans="1:23">
      <c r="A134" s="10" t="s">
        <v>1102</v>
      </c>
      <c r="B134" s="10">
        <f ca="1">+IF(A134=WORLDCUP!$BI$112,1,0)</f>
        <v>0</v>
      </c>
      <c r="C134" s="10" t="str">
        <f ca="1">+WORLDCUP!BD62</f>
        <v>Curazao</v>
      </c>
      <c r="D134" s="10" t="str">
        <f ca="1">+WORLDCUP!BD66</f>
        <v>Noruega</v>
      </c>
      <c r="E134" s="10" t="str">
        <f ca="1">+WORLDCUP!BD59</f>
        <v>Catar</v>
      </c>
      <c r="F134" s="10" t="str">
        <f ca="1">+WORLDCUP!BD60</f>
        <v>Escocia</v>
      </c>
      <c r="G134" s="10" t="str">
        <f ca="1">+WORLDCUP!BD65</f>
        <v>Arabia Saudita</v>
      </c>
      <c r="H134" s="10" t="str">
        <f ca="1">+WORLDCUP!BD61</f>
        <v>Australia</v>
      </c>
      <c r="I134" s="10" t="str">
        <f ca="1">+WORLDCUP!BD69</f>
        <v>Ghana</v>
      </c>
      <c r="J134" s="10" t="str">
        <f ca="1">+WORLDCUP!BD68</f>
        <v>PO 1: COD/JAM/NCL</v>
      </c>
      <c r="N134" s="19" t="s">
        <v>1102</v>
      </c>
      <c r="O134" s="19">
        <v>133</v>
      </c>
      <c r="P134" s="19" t="s">
        <v>95</v>
      </c>
      <c r="Q134" s="19" t="s">
        <v>457</v>
      </c>
      <c r="R134" s="19" t="s">
        <v>92</v>
      </c>
      <c r="S134" s="19" t="s">
        <v>93</v>
      </c>
      <c r="T134" s="19" t="s">
        <v>453</v>
      </c>
      <c r="U134" s="19" t="s">
        <v>94</v>
      </c>
      <c r="V134" s="19" t="s">
        <v>460</v>
      </c>
      <c r="W134" s="19" t="s">
        <v>459</v>
      </c>
    </row>
    <row r="135" spans="1:23">
      <c r="A135" s="10" t="s">
        <v>1101</v>
      </c>
      <c r="B135" s="10">
        <f ca="1">+IF(A135=WORLDCUP!$BI$112,1,0)</f>
        <v>0</v>
      </c>
      <c r="C135" s="10" t="str">
        <f ca="1">+WORLDCUP!BD62</f>
        <v>Curazao</v>
      </c>
      <c r="D135" s="10" t="str">
        <f ca="1">+WORLDCUP!BD67</f>
        <v>Argelia</v>
      </c>
      <c r="E135" s="10" t="str">
        <f ca="1">+WORLDCUP!BD59</f>
        <v>Catar</v>
      </c>
      <c r="F135" s="10" t="str">
        <f ca="1">+WORLDCUP!BD60</f>
        <v>Escocia</v>
      </c>
      <c r="G135" s="10" t="str">
        <f ca="1">+WORLDCUP!BD65</f>
        <v>Arabia Saudita</v>
      </c>
      <c r="H135" s="10" t="str">
        <f ca="1">+WORLDCUP!BD61</f>
        <v>Australia</v>
      </c>
      <c r="I135" s="10" t="str">
        <f ca="1">+WORLDCUP!BD69</f>
        <v>Ghana</v>
      </c>
      <c r="J135" s="10" t="str">
        <f ca="1">+WORLDCUP!BD66</f>
        <v>Noruega</v>
      </c>
      <c r="N135" s="19" t="s">
        <v>1101</v>
      </c>
      <c r="O135" s="19">
        <v>134</v>
      </c>
      <c r="P135" s="19" t="s">
        <v>95</v>
      </c>
      <c r="Q135" s="19" t="s">
        <v>458</v>
      </c>
      <c r="R135" s="19" t="s">
        <v>92</v>
      </c>
      <c r="S135" s="19" t="s">
        <v>93</v>
      </c>
      <c r="T135" s="19" t="s">
        <v>453</v>
      </c>
      <c r="U135" s="19" t="s">
        <v>94</v>
      </c>
      <c r="V135" s="19" t="s">
        <v>460</v>
      </c>
      <c r="W135" s="19" t="s">
        <v>457</v>
      </c>
    </row>
    <row r="136" spans="1:23">
      <c r="A136" s="10" t="s">
        <v>1100</v>
      </c>
      <c r="B136" s="10">
        <f ca="1">+IF(A136=WORLDCUP!$BI$112,1,0)</f>
        <v>0</v>
      </c>
      <c r="C136" s="10" t="str">
        <f ca="1">+WORLDCUP!BD62</f>
        <v>Curazao</v>
      </c>
      <c r="D136" s="10" t="str">
        <f ca="1">+WORLDCUP!BD67</f>
        <v>Argelia</v>
      </c>
      <c r="E136" s="10" t="str">
        <f ca="1">+WORLDCUP!BD59</f>
        <v>Catar</v>
      </c>
      <c r="F136" s="10" t="str">
        <f ca="1">+WORLDCUP!BD60</f>
        <v>Escocia</v>
      </c>
      <c r="G136" s="10" t="str">
        <f ca="1">+WORLDCUP!BD65</f>
        <v>Arabia Saudita</v>
      </c>
      <c r="H136" s="10" t="str">
        <f ca="1">+WORLDCUP!BD61</f>
        <v>Australia</v>
      </c>
      <c r="I136" s="10" t="str">
        <f ca="1">+WORLDCUP!BD66</f>
        <v>Noruega</v>
      </c>
      <c r="J136" s="10" t="str">
        <f ca="1">+WORLDCUP!BD68</f>
        <v>PO 1: COD/JAM/NCL</v>
      </c>
      <c r="N136" s="19" t="s">
        <v>1100</v>
      </c>
      <c r="O136" s="19">
        <v>135</v>
      </c>
      <c r="P136" s="19" t="s">
        <v>95</v>
      </c>
      <c r="Q136" s="19" t="s">
        <v>458</v>
      </c>
      <c r="R136" s="19" t="s">
        <v>92</v>
      </c>
      <c r="S136" s="19" t="s">
        <v>93</v>
      </c>
      <c r="T136" s="19" t="s">
        <v>453</v>
      </c>
      <c r="U136" s="19" t="s">
        <v>94</v>
      </c>
      <c r="V136" s="19" t="s">
        <v>457</v>
      </c>
      <c r="W136" s="19" t="s">
        <v>459</v>
      </c>
    </row>
    <row r="137" spans="1:23">
      <c r="A137" s="10" t="s">
        <v>1099</v>
      </c>
      <c r="B137" s="10">
        <f ca="1">+IF(A137=WORLDCUP!$BI$112,1,0)</f>
        <v>0</v>
      </c>
      <c r="C137" s="10" t="str">
        <f ca="1">+WORLDCUP!BD62</f>
        <v>Curazao</v>
      </c>
      <c r="D137" s="10" t="str">
        <f ca="1">+WORLDCUP!BD64</f>
        <v>Egipto</v>
      </c>
      <c r="E137" s="10" t="str">
        <f ca="1">+WORLDCUP!BD59</f>
        <v>Catar</v>
      </c>
      <c r="F137" s="10" t="str">
        <f ca="1">+WORLDCUP!BD60</f>
        <v>Escocia</v>
      </c>
      <c r="G137" s="10" t="str">
        <f ca="1">+WORLDCUP!BD67</f>
        <v>Argelia</v>
      </c>
      <c r="H137" s="10" t="str">
        <f ca="1">+WORLDCUP!BD61</f>
        <v>Australia</v>
      </c>
      <c r="I137" s="10" t="str">
        <f ca="1">+WORLDCUP!BD69</f>
        <v>Ghana</v>
      </c>
      <c r="J137" s="10" t="str">
        <f ca="1">+WORLDCUP!BD68</f>
        <v>PO 1: COD/JAM/NCL</v>
      </c>
      <c r="N137" s="19" t="s">
        <v>1099</v>
      </c>
      <c r="O137" s="19">
        <v>136</v>
      </c>
      <c r="P137" s="19" t="s">
        <v>95</v>
      </c>
      <c r="Q137" s="19" t="s">
        <v>452</v>
      </c>
      <c r="R137" s="19" t="s">
        <v>92</v>
      </c>
      <c r="S137" s="19" t="s">
        <v>93</v>
      </c>
      <c r="T137" s="19" t="s">
        <v>458</v>
      </c>
      <c r="U137" s="19" t="s">
        <v>94</v>
      </c>
      <c r="V137" s="19" t="s">
        <v>460</v>
      </c>
      <c r="W137" s="19" t="s">
        <v>459</v>
      </c>
    </row>
    <row r="138" spans="1:23">
      <c r="A138" s="10" t="s">
        <v>1098</v>
      </c>
      <c r="B138" s="10">
        <f ca="1">+IF(A138=WORLDCUP!$BI$112,1,0)</f>
        <v>0</v>
      </c>
      <c r="C138" s="10" t="str">
        <f ca="1">+WORLDCUP!BD62</f>
        <v>Curazao</v>
      </c>
      <c r="D138" s="10" t="str">
        <f ca="1">+WORLDCUP!BD64</f>
        <v>Egipto</v>
      </c>
      <c r="E138" s="10" t="str">
        <f ca="1">+WORLDCUP!BD59</f>
        <v>Catar</v>
      </c>
      <c r="F138" s="10" t="str">
        <f ca="1">+WORLDCUP!BD60</f>
        <v>Escocia</v>
      </c>
      <c r="G138" s="10" t="str">
        <f ca="1">+WORLDCUP!BD66</f>
        <v>Noruega</v>
      </c>
      <c r="H138" s="10" t="str">
        <f ca="1">+WORLDCUP!BD61</f>
        <v>Australia</v>
      </c>
      <c r="I138" s="10" t="str">
        <f ca="1">+WORLDCUP!BD69</f>
        <v>Ghana</v>
      </c>
      <c r="J138" s="10" t="str">
        <f ca="1">+WORLDCUP!BD68</f>
        <v>PO 1: COD/JAM/NCL</v>
      </c>
      <c r="N138" s="19" t="s">
        <v>1098</v>
      </c>
      <c r="O138" s="19">
        <v>137</v>
      </c>
      <c r="P138" s="19" t="s">
        <v>95</v>
      </c>
      <c r="Q138" s="19" t="s">
        <v>452</v>
      </c>
      <c r="R138" s="19" t="s">
        <v>92</v>
      </c>
      <c r="S138" s="19" t="s">
        <v>93</v>
      </c>
      <c r="T138" s="19" t="s">
        <v>457</v>
      </c>
      <c r="U138" s="19" t="s">
        <v>94</v>
      </c>
      <c r="V138" s="19" t="s">
        <v>460</v>
      </c>
      <c r="W138" s="19" t="s">
        <v>459</v>
      </c>
    </row>
    <row r="139" spans="1:23">
      <c r="A139" s="10" t="s">
        <v>1097</v>
      </c>
      <c r="B139" s="10">
        <f ca="1">+IF(A139=WORLDCUP!$BI$112,1,0)</f>
        <v>0</v>
      </c>
      <c r="C139" s="10" t="str">
        <f ca="1">+WORLDCUP!BD62</f>
        <v>Curazao</v>
      </c>
      <c r="D139" s="10" t="str">
        <f ca="1">+WORLDCUP!BD64</f>
        <v>Egipto</v>
      </c>
      <c r="E139" s="10" t="str">
        <f ca="1">+WORLDCUP!BD59</f>
        <v>Catar</v>
      </c>
      <c r="F139" s="10" t="str">
        <f ca="1">+WORLDCUP!BD60</f>
        <v>Escocia</v>
      </c>
      <c r="G139" s="10" t="str">
        <f ca="1">+WORLDCUP!BD67</f>
        <v>Argelia</v>
      </c>
      <c r="H139" s="10" t="str">
        <f ca="1">+WORLDCUP!BD61</f>
        <v>Australia</v>
      </c>
      <c r="I139" s="10" t="str">
        <f ca="1">+WORLDCUP!BD69</f>
        <v>Ghana</v>
      </c>
      <c r="J139" s="10" t="str">
        <f ca="1">+WORLDCUP!BD66</f>
        <v>Noruega</v>
      </c>
      <c r="N139" s="19" t="s">
        <v>1097</v>
      </c>
      <c r="O139" s="19">
        <v>138</v>
      </c>
      <c r="P139" s="19" t="s">
        <v>95</v>
      </c>
      <c r="Q139" s="19" t="s">
        <v>452</v>
      </c>
      <c r="R139" s="19" t="s">
        <v>92</v>
      </c>
      <c r="S139" s="19" t="s">
        <v>93</v>
      </c>
      <c r="T139" s="19" t="s">
        <v>458</v>
      </c>
      <c r="U139" s="19" t="s">
        <v>94</v>
      </c>
      <c r="V139" s="19" t="s">
        <v>460</v>
      </c>
      <c r="W139" s="19" t="s">
        <v>457</v>
      </c>
    </row>
    <row r="140" spans="1:23">
      <c r="A140" s="10" t="s">
        <v>1096</v>
      </c>
      <c r="B140" s="10">
        <f ca="1">+IF(A140=WORLDCUP!$BI$112,1,0)</f>
        <v>0</v>
      </c>
      <c r="C140" s="10" t="str">
        <f ca="1">+WORLDCUP!BD62</f>
        <v>Curazao</v>
      </c>
      <c r="D140" s="10" t="str">
        <f ca="1">+WORLDCUP!BD64</f>
        <v>Egipto</v>
      </c>
      <c r="E140" s="10" t="str">
        <f ca="1">+WORLDCUP!BD59</f>
        <v>Catar</v>
      </c>
      <c r="F140" s="10" t="str">
        <f ca="1">+WORLDCUP!BD60</f>
        <v>Escocia</v>
      </c>
      <c r="G140" s="10" t="str">
        <f ca="1">+WORLDCUP!BD67</f>
        <v>Argelia</v>
      </c>
      <c r="H140" s="10" t="str">
        <f ca="1">+WORLDCUP!BD61</f>
        <v>Australia</v>
      </c>
      <c r="I140" s="10" t="str">
        <f ca="1">+WORLDCUP!BD66</f>
        <v>Noruega</v>
      </c>
      <c r="J140" s="10" t="str">
        <f ca="1">+WORLDCUP!BD68</f>
        <v>PO 1: COD/JAM/NCL</v>
      </c>
      <c r="N140" s="19" t="s">
        <v>1096</v>
      </c>
      <c r="O140" s="19">
        <v>139</v>
      </c>
      <c r="P140" s="19" t="s">
        <v>95</v>
      </c>
      <c r="Q140" s="19" t="s">
        <v>452</v>
      </c>
      <c r="R140" s="19" t="s">
        <v>92</v>
      </c>
      <c r="S140" s="19" t="s">
        <v>93</v>
      </c>
      <c r="T140" s="19" t="s">
        <v>458</v>
      </c>
      <c r="U140" s="19" t="s">
        <v>94</v>
      </c>
      <c r="V140" s="19" t="s">
        <v>457</v>
      </c>
      <c r="W140" s="19" t="s">
        <v>459</v>
      </c>
    </row>
    <row r="141" spans="1:23">
      <c r="A141" s="10" t="s">
        <v>1095</v>
      </c>
      <c r="B141" s="10">
        <f ca="1">+IF(A141=WORLDCUP!$BI$112,1,0)</f>
        <v>0</v>
      </c>
      <c r="C141" s="10" t="str">
        <f ca="1">+WORLDCUP!BD62</f>
        <v>Curazao</v>
      </c>
      <c r="D141" s="10" t="str">
        <f ca="1">+WORLDCUP!BD64</f>
        <v>Egipto</v>
      </c>
      <c r="E141" s="10" t="str">
        <f ca="1">+WORLDCUP!BD59</f>
        <v>Catar</v>
      </c>
      <c r="F141" s="10" t="str">
        <f ca="1">+WORLDCUP!BD60</f>
        <v>Escocia</v>
      </c>
      <c r="G141" s="10" t="str">
        <f ca="1">+WORLDCUP!BD65</f>
        <v>Arabia Saudita</v>
      </c>
      <c r="H141" s="10" t="str">
        <f ca="1">+WORLDCUP!BD61</f>
        <v>Australia</v>
      </c>
      <c r="I141" s="10" t="str">
        <f ca="1">+WORLDCUP!BD69</f>
        <v>Ghana</v>
      </c>
      <c r="J141" s="10" t="str">
        <f ca="1">+WORLDCUP!BD68</f>
        <v>PO 1: COD/JAM/NCL</v>
      </c>
      <c r="N141" s="19" t="s">
        <v>1095</v>
      </c>
      <c r="O141" s="19">
        <v>140</v>
      </c>
      <c r="P141" s="19" t="s">
        <v>95</v>
      </c>
      <c r="Q141" s="19" t="s">
        <v>452</v>
      </c>
      <c r="R141" s="19" t="s">
        <v>92</v>
      </c>
      <c r="S141" s="19" t="s">
        <v>93</v>
      </c>
      <c r="T141" s="19" t="s">
        <v>453</v>
      </c>
      <c r="U141" s="19" t="s">
        <v>94</v>
      </c>
      <c r="V141" s="19" t="s">
        <v>460</v>
      </c>
      <c r="W141" s="19" t="s">
        <v>459</v>
      </c>
    </row>
    <row r="142" spans="1:23">
      <c r="A142" s="10" t="s">
        <v>1094</v>
      </c>
      <c r="B142" s="10">
        <f ca="1">+IF(A142=WORLDCUP!$BI$112,1,0)</f>
        <v>0</v>
      </c>
      <c r="C142" s="10" t="str">
        <f ca="1">+WORLDCUP!BD65</f>
        <v>Arabia Saudita</v>
      </c>
      <c r="D142" s="10" t="str">
        <f ca="1">+WORLDCUP!BD64</f>
        <v>Egipto</v>
      </c>
      <c r="E142" s="10" t="str">
        <f ca="1">+WORLDCUP!BD59</f>
        <v>Catar</v>
      </c>
      <c r="F142" s="10" t="str">
        <f ca="1">+WORLDCUP!BD60</f>
        <v>Escocia</v>
      </c>
      <c r="G142" s="10" t="str">
        <f ca="1">+WORLDCUP!BD67</f>
        <v>Argelia</v>
      </c>
      <c r="H142" s="10" t="str">
        <f ca="1">+WORLDCUP!BD61</f>
        <v>Australia</v>
      </c>
      <c r="I142" s="10" t="str">
        <f ca="1">+WORLDCUP!BD69</f>
        <v>Ghana</v>
      </c>
      <c r="J142" s="10" t="str">
        <f ca="1">+WORLDCUP!BD62</f>
        <v>Curazao</v>
      </c>
      <c r="N142" s="19" t="s">
        <v>1094</v>
      </c>
      <c r="O142" s="19">
        <v>141</v>
      </c>
      <c r="P142" s="19" t="s">
        <v>453</v>
      </c>
      <c r="Q142" s="19" t="s">
        <v>452</v>
      </c>
      <c r="R142" s="19" t="s">
        <v>92</v>
      </c>
      <c r="S142" s="19" t="s">
        <v>93</v>
      </c>
      <c r="T142" s="19" t="s">
        <v>458</v>
      </c>
      <c r="U142" s="19" t="s">
        <v>94</v>
      </c>
      <c r="V142" s="19" t="s">
        <v>460</v>
      </c>
      <c r="W142" s="19" t="s">
        <v>95</v>
      </c>
    </row>
    <row r="143" spans="1:23">
      <c r="A143" s="10" t="s">
        <v>1093</v>
      </c>
      <c r="B143" s="10">
        <f ca="1">+IF(A143=WORLDCUP!$BI$112,1,0)</f>
        <v>0</v>
      </c>
      <c r="C143" s="10" t="str">
        <f ca="1">+WORLDCUP!BD65</f>
        <v>Arabia Saudita</v>
      </c>
      <c r="D143" s="10" t="str">
        <f ca="1">+WORLDCUP!BD64</f>
        <v>Egipto</v>
      </c>
      <c r="E143" s="10" t="str">
        <f ca="1">+WORLDCUP!BD59</f>
        <v>Catar</v>
      </c>
      <c r="F143" s="10" t="str">
        <f ca="1">+WORLDCUP!BD60</f>
        <v>Escocia</v>
      </c>
      <c r="G143" s="10" t="str">
        <f ca="1">+WORLDCUP!BD67</f>
        <v>Argelia</v>
      </c>
      <c r="H143" s="10" t="str">
        <f ca="1">+WORLDCUP!BD61</f>
        <v>Australia</v>
      </c>
      <c r="I143" s="10" t="str">
        <f ca="1">+WORLDCUP!BD62</f>
        <v>Curazao</v>
      </c>
      <c r="J143" s="10" t="str">
        <f ca="1">+WORLDCUP!BD68</f>
        <v>PO 1: COD/JAM/NCL</v>
      </c>
      <c r="N143" s="19" t="s">
        <v>1093</v>
      </c>
      <c r="O143" s="19">
        <v>142</v>
      </c>
      <c r="P143" s="19" t="s">
        <v>453</v>
      </c>
      <c r="Q143" s="19" t="s">
        <v>452</v>
      </c>
      <c r="R143" s="19" t="s">
        <v>92</v>
      </c>
      <c r="S143" s="19" t="s">
        <v>93</v>
      </c>
      <c r="T143" s="19" t="s">
        <v>458</v>
      </c>
      <c r="U143" s="19" t="s">
        <v>94</v>
      </c>
      <c r="V143" s="19" t="s">
        <v>95</v>
      </c>
      <c r="W143" s="19" t="s">
        <v>459</v>
      </c>
    </row>
    <row r="144" spans="1:23">
      <c r="A144" s="10" t="s">
        <v>1092</v>
      </c>
      <c r="B144" s="10">
        <f ca="1">+IF(A144=WORLDCUP!$BI$112,1,0)</f>
        <v>0</v>
      </c>
      <c r="C144" s="10" t="str">
        <f ca="1">+WORLDCUP!BD62</f>
        <v>Curazao</v>
      </c>
      <c r="D144" s="10" t="str">
        <f ca="1">+WORLDCUP!BD64</f>
        <v>Egipto</v>
      </c>
      <c r="E144" s="10" t="str">
        <f ca="1">+WORLDCUP!BD59</f>
        <v>Catar</v>
      </c>
      <c r="F144" s="10" t="str">
        <f ca="1">+WORLDCUP!BD60</f>
        <v>Escocia</v>
      </c>
      <c r="G144" s="10" t="str">
        <f ca="1">+WORLDCUP!BD65</f>
        <v>Arabia Saudita</v>
      </c>
      <c r="H144" s="10" t="str">
        <f ca="1">+WORLDCUP!BD61</f>
        <v>Australia</v>
      </c>
      <c r="I144" s="10" t="str">
        <f ca="1">+WORLDCUP!BD69</f>
        <v>Ghana</v>
      </c>
      <c r="J144" s="10" t="str">
        <f ca="1">+WORLDCUP!BD66</f>
        <v>Noruega</v>
      </c>
      <c r="N144" s="19" t="s">
        <v>1092</v>
      </c>
      <c r="O144" s="19">
        <v>143</v>
      </c>
      <c r="P144" s="19" t="s">
        <v>95</v>
      </c>
      <c r="Q144" s="19" t="s">
        <v>452</v>
      </c>
      <c r="R144" s="19" t="s">
        <v>92</v>
      </c>
      <c r="S144" s="19" t="s">
        <v>93</v>
      </c>
      <c r="T144" s="19" t="s">
        <v>453</v>
      </c>
      <c r="U144" s="19" t="s">
        <v>94</v>
      </c>
      <c r="V144" s="19" t="s">
        <v>460</v>
      </c>
      <c r="W144" s="19" t="s">
        <v>457</v>
      </c>
    </row>
    <row r="145" spans="1:23">
      <c r="A145" s="10" t="s">
        <v>1091</v>
      </c>
      <c r="B145" s="10">
        <f ca="1">+IF(A145=WORLDCUP!$BI$112,1,0)</f>
        <v>0</v>
      </c>
      <c r="C145" s="10" t="str">
        <f ca="1">+WORLDCUP!BD62</f>
        <v>Curazao</v>
      </c>
      <c r="D145" s="10" t="str">
        <f ca="1">+WORLDCUP!BD64</f>
        <v>Egipto</v>
      </c>
      <c r="E145" s="10" t="str">
        <f ca="1">+WORLDCUP!BD59</f>
        <v>Catar</v>
      </c>
      <c r="F145" s="10" t="str">
        <f ca="1">+WORLDCUP!BD60</f>
        <v>Escocia</v>
      </c>
      <c r="G145" s="10" t="str">
        <f ca="1">+WORLDCUP!BD65</f>
        <v>Arabia Saudita</v>
      </c>
      <c r="H145" s="10" t="str">
        <f ca="1">+WORLDCUP!BD61</f>
        <v>Australia</v>
      </c>
      <c r="I145" s="10" t="str">
        <f ca="1">+WORLDCUP!BD66</f>
        <v>Noruega</v>
      </c>
      <c r="J145" s="10" t="str">
        <f ca="1">+WORLDCUP!BD68</f>
        <v>PO 1: COD/JAM/NCL</v>
      </c>
      <c r="N145" s="19" t="s">
        <v>1091</v>
      </c>
      <c r="O145" s="19">
        <v>144</v>
      </c>
      <c r="P145" s="19" t="s">
        <v>95</v>
      </c>
      <c r="Q145" s="19" t="s">
        <v>452</v>
      </c>
      <c r="R145" s="19" t="s">
        <v>92</v>
      </c>
      <c r="S145" s="19" t="s">
        <v>93</v>
      </c>
      <c r="T145" s="19" t="s">
        <v>453</v>
      </c>
      <c r="U145" s="19" t="s">
        <v>94</v>
      </c>
      <c r="V145" s="19" t="s">
        <v>457</v>
      </c>
      <c r="W145" s="19" t="s">
        <v>459</v>
      </c>
    </row>
    <row r="146" spans="1:23">
      <c r="A146" s="10" t="s">
        <v>1090</v>
      </c>
      <c r="B146" s="10">
        <f ca="1">+IF(A146=WORLDCUP!$BI$112,1,0)</f>
        <v>0</v>
      </c>
      <c r="C146" s="10" t="str">
        <f ca="1">+WORLDCUP!BD65</f>
        <v>Arabia Saudita</v>
      </c>
      <c r="D146" s="10" t="str">
        <f ca="1">+WORLDCUP!BD64</f>
        <v>Egipto</v>
      </c>
      <c r="E146" s="10" t="str">
        <f ca="1">+WORLDCUP!BD59</f>
        <v>Catar</v>
      </c>
      <c r="F146" s="10" t="str">
        <f ca="1">+WORLDCUP!BD60</f>
        <v>Escocia</v>
      </c>
      <c r="G146" s="10" t="str">
        <f ca="1">+WORLDCUP!BD67</f>
        <v>Argelia</v>
      </c>
      <c r="H146" s="10" t="str">
        <f ca="1">+WORLDCUP!BD61</f>
        <v>Australia</v>
      </c>
      <c r="I146" s="10" t="str">
        <f ca="1">+WORLDCUP!BD62</f>
        <v>Curazao</v>
      </c>
      <c r="J146" s="10" t="str">
        <f ca="1">+WORLDCUP!BD66</f>
        <v>Noruega</v>
      </c>
      <c r="N146" s="19" t="s">
        <v>1090</v>
      </c>
      <c r="O146" s="19">
        <v>145</v>
      </c>
      <c r="P146" s="19" t="s">
        <v>453</v>
      </c>
      <c r="Q146" s="19" t="s">
        <v>452</v>
      </c>
      <c r="R146" s="19" t="s">
        <v>92</v>
      </c>
      <c r="S146" s="19" t="s">
        <v>93</v>
      </c>
      <c r="T146" s="19" t="s">
        <v>458</v>
      </c>
      <c r="U146" s="19" t="s">
        <v>94</v>
      </c>
      <c r="V146" s="19" t="s">
        <v>95</v>
      </c>
      <c r="W146" s="19" t="s">
        <v>457</v>
      </c>
    </row>
    <row r="147" spans="1:23">
      <c r="A147" s="10" t="s">
        <v>1089</v>
      </c>
      <c r="B147" s="10">
        <f ca="1">+IF(A147=WORLDCUP!$BI$112,1,0)</f>
        <v>0</v>
      </c>
      <c r="C147" s="10" t="str">
        <f ca="1">+WORLDCUP!BD60</f>
        <v>Escocia</v>
      </c>
      <c r="D147" s="10" t="str">
        <f ca="1">+WORLDCUP!BD67</f>
        <v>Argelia</v>
      </c>
      <c r="E147" s="10" t="str">
        <f ca="1">+WORLDCUP!BD59</f>
        <v>Catar</v>
      </c>
      <c r="F147" s="10" t="str">
        <f ca="1">+WORLDCUP!BD61</f>
        <v>Australia</v>
      </c>
      <c r="G147" s="10" t="str">
        <f ca="1">+WORLDCUP!BD62</f>
        <v>Curazao</v>
      </c>
      <c r="H147" s="10" t="str">
        <f ca="1">+WORLDCUP!BD63</f>
        <v>Japón</v>
      </c>
      <c r="I147" s="10" t="str">
        <f ca="1">+WORLDCUP!BD69</f>
        <v>Ghana</v>
      </c>
      <c r="J147" s="10" t="str">
        <f ca="1">+WORLDCUP!BD68</f>
        <v>PO 1: COD/JAM/NCL</v>
      </c>
      <c r="N147" s="19" t="s">
        <v>1089</v>
      </c>
      <c r="O147" s="19">
        <v>146</v>
      </c>
      <c r="P147" s="19" t="s">
        <v>93</v>
      </c>
      <c r="Q147" s="19" t="s">
        <v>458</v>
      </c>
      <c r="R147" s="19" t="s">
        <v>92</v>
      </c>
      <c r="S147" s="19" t="s">
        <v>94</v>
      </c>
      <c r="T147" s="19" t="s">
        <v>95</v>
      </c>
      <c r="U147" s="19" t="s">
        <v>96</v>
      </c>
      <c r="V147" s="19" t="s">
        <v>460</v>
      </c>
      <c r="W147" s="19" t="s">
        <v>459</v>
      </c>
    </row>
    <row r="148" spans="1:23">
      <c r="A148" s="10" t="s">
        <v>1088</v>
      </c>
      <c r="B148" s="10">
        <f ca="1">+IF(A148=WORLDCUP!$BI$112,1,0)</f>
        <v>0</v>
      </c>
      <c r="C148" s="10" t="str">
        <f ca="1">+WORLDCUP!BD60</f>
        <v>Escocia</v>
      </c>
      <c r="D148" s="10" t="str">
        <f ca="1">+WORLDCUP!BD62</f>
        <v>Curazao</v>
      </c>
      <c r="E148" s="10" t="str">
        <f ca="1">+WORLDCUP!BD59</f>
        <v>Catar</v>
      </c>
      <c r="F148" s="10" t="str">
        <f ca="1">+WORLDCUP!BD61</f>
        <v>Australia</v>
      </c>
      <c r="G148" s="10" t="str">
        <f ca="1">+WORLDCUP!BD66</f>
        <v>Noruega</v>
      </c>
      <c r="H148" s="10" t="str">
        <f ca="1">+WORLDCUP!BD63</f>
        <v>Japón</v>
      </c>
      <c r="I148" s="10" t="str">
        <f ca="1">+WORLDCUP!BD69</f>
        <v>Ghana</v>
      </c>
      <c r="J148" s="10" t="str">
        <f ca="1">+WORLDCUP!BD68</f>
        <v>PO 1: COD/JAM/NCL</v>
      </c>
      <c r="N148" s="19" t="s">
        <v>1088</v>
      </c>
      <c r="O148" s="19">
        <v>147</v>
      </c>
      <c r="P148" s="19" t="s">
        <v>93</v>
      </c>
      <c r="Q148" s="19" t="s">
        <v>95</v>
      </c>
      <c r="R148" s="19" t="s">
        <v>92</v>
      </c>
      <c r="S148" s="19" t="s">
        <v>94</v>
      </c>
      <c r="T148" s="19" t="s">
        <v>457</v>
      </c>
      <c r="U148" s="19" t="s">
        <v>96</v>
      </c>
      <c r="V148" s="19" t="s">
        <v>460</v>
      </c>
      <c r="W148" s="19" t="s">
        <v>459</v>
      </c>
    </row>
    <row r="149" spans="1:23">
      <c r="A149" s="10" t="s">
        <v>1087</v>
      </c>
      <c r="B149" s="10">
        <f ca="1">+IF(A149=WORLDCUP!$BI$112,1,0)</f>
        <v>0</v>
      </c>
      <c r="C149" s="10" t="str">
        <f ca="1">+WORLDCUP!BD60</f>
        <v>Escocia</v>
      </c>
      <c r="D149" s="10" t="str">
        <f ca="1">+WORLDCUP!BD67</f>
        <v>Argelia</v>
      </c>
      <c r="E149" s="10" t="str">
        <f ca="1">+WORLDCUP!BD59</f>
        <v>Catar</v>
      </c>
      <c r="F149" s="10" t="str">
        <f ca="1">+WORLDCUP!BD61</f>
        <v>Australia</v>
      </c>
      <c r="G149" s="10" t="str">
        <f ca="1">+WORLDCUP!BD62</f>
        <v>Curazao</v>
      </c>
      <c r="H149" s="10" t="str">
        <f ca="1">+WORLDCUP!BD63</f>
        <v>Japón</v>
      </c>
      <c r="I149" s="10" t="str">
        <f ca="1">+WORLDCUP!BD69</f>
        <v>Ghana</v>
      </c>
      <c r="J149" s="10" t="str">
        <f ca="1">+WORLDCUP!BD66</f>
        <v>Noruega</v>
      </c>
      <c r="N149" s="19" t="s">
        <v>1087</v>
      </c>
      <c r="O149" s="19">
        <v>148</v>
      </c>
      <c r="P149" s="19" t="s">
        <v>93</v>
      </c>
      <c r="Q149" s="19" t="s">
        <v>458</v>
      </c>
      <c r="R149" s="19" t="s">
        <v>92</v>
      </c>
      <c r="S149" s="19" t="s">
        <v>94</v>
      </c>
      <c r="T149" s="19" t="s">
        <v>95</v>
      </c>
      <c r="U149" s="19" t="s">
        <v>96</v>
      </c>
      <c r="V149" s="19" t="s">
        <v>460</v>
      </c>
      <c r="W149" s="19" t="s">
        <v>457</v>
      </c>
    </row>
    <row r="150" spans="1:23">
      <c r="A150" s="10" t="s">
        <v>1086</v>
      </c>
      <c r="B150" s="10">
        <f ca="1">+IF(A150=WORLDCUP!$BI$112,1,0)</f>
        <v>0</v>
      </c>
      <c r="C150" s="10" t="str">
        <f ca="1">+WORLDCUP!BD60</f>
        <v>Escocia</v>
      </c>
      <c r="D150" s="10" t="str">
        <f ca="1">+WORLDCUP!BD67</f>
        <v>Argelia</v>
      </c>
      <c r="E150" s="10" t="str">
        <f ca="1">+WORLDCUP!BD59</f>
        <v>Catar</v>
      </c>
      <c r="F150" s="10" t="str">
        <f ca="1">+WORLDCUP!BD61</f>
        <v>Australia</v>
      </c>
      <c r="G150" s="10" t="str">
        <f ca="1">+WORLDCUP!BD62</f>
        <v>Curazao</v>
      </c>
      <c r="H150" s="10" t="str">
        <f ca="1">+WORLDCUP!BD63</f>
        <v>Japón</v>
      </c>
      <c r="I150" s="10" t="str">
        <f ca="1">+WORLDCUP!BD66</f>
        <v>Noruega</v>
      </c>
      <c r="J150" s="10" t="str">
        <f ca="1">+WORLDCUP!BD68</f>
        <v>PO 1: COD/JAM/NCL</v>
      </c>
      <c r="N150" s="19" t="s">
        <v>1086</v>
      </c>
      <c r="O150" s="19">
        <v>149</v>
      </c>
      <c r="P150" s="19" t="s">
        <v>93</v>
      </c>
      <c r="Q150" s="19" t="s">
        <v>458</v>
      </c>
      <c r="R150" s="19" t="s">
        <v>92</v>
      </c>
      <c r="S150" s="19" t="s">
        <v>94</v>
      </c>
      <c r="T150" s="19" t="s">
        <v>95</v>
      </c>
      <c r="U150" s="19" t="s">
        <v>96</v>
      </c>
      <c r="V150" s="19" t="s">
        <v>457</v>
      </c>
      <c r="W150" s="19" t="s">
        <v>459</v>
      </c>
    </row>
    <row r="151" spans="1:23">
      <c r="A151" s="10" t="s">
        <v>1085</v>
      </c>
      <c r="B151" s="10">
        <f ca="1">+IF(A151=WORLDCUP!$BI$112,1,0)</f>
        <v>0</v>
      </c>
      <c r="C151" s="10" t="str">
        <f ca="1">+WORLDCUP!BD60</f>
        <v>Escocia</v>
      </c>
      <c r="D151" s="10" t="str">
        <f ca="1">+WORLDCUP!BD62</f>
        <v>Curazao</v>
      </c>
      <c r="E151" s="10" t="str">
        <f ca="1">+WORLDCUP!BD59</f>
        <v>Catar</v>
      </c>
      <c r="F151" s="10" t="str">
        <f ca="1">+WORLDCUP!BD61</f>
        <v>Australia</v>
      </c>
      <c r="G151" s="10" t="str">
        <f ca="1">+WORLDCUP!BD65</f>
        <v>Arabia Saudita</v>
      </c>
      <c r="H151" s="10" t="str">
        <f ca="1">+WORLDCUP!BD63</f>
        <v>Japón</v>
      </c>
      <c r="I151" s="10" t="str">
        <f ca="1">+WORLDCUP!BD69</f>
        <v>Ghana</v>
      </c>
      <c r="J151" s="10" t="str">
        <f ca="1">+WORLDCUP!BD68</f>
        <v>PO 1: COD/JAM/NCL</v>
      </c>
      <c r="N151" s="19" t="s">
        <v>1085</v>
      </c>
      <c r="O151" s="19">
        <v>150</v>
      </c>
      <c r="P151" s="19" t="s">
        <v>93</v>
      </c>
      <c r="Q151" s="19" t="s">
        <v>95</v>
      </c>
      <c r="R151" s="19" t="s">
        <v>92</v>
      </c>
      <c r="S151" s="19" t="s">
        <v>94</v>
      </c>
      <c r="T151" s="19" t="s">
        <v>453</v>
      </c>
      <c r="U151" s="19" t="s">
        <v>96</v>
      </c>
      <c r="V151" s="19" t="s">
        <v>460</v>
      </c>
      <c r="W151" s="19" t="s">
        <v>459</v>
      </c>
    </row>
    <row r="152" spans="1:23">
      <c r="A152" s="10" t="s">
        <v>1084</v>
      </c>
      <c r="B152" s="10">
        <f ca="1">+IF(A152=WORLDCUP!$BI$112,1,0)</f>
        <v>0</v>
      </c>
      <c r="C152" s="10" t="str">
        <f ca="1">+WORLDCUP!BD60</f>
        <v>Escocia</v>
      </c>
      <c r="D152" s="10" t="str">
        <f ca="1">+WORLDCUP!BD67</f>
        <v>Argelia</v>
      </c>
      <c r="E152" s="10" t="str">
        <f ca="1">+WORLDCUP!BD59</f>
        <v>Catar</v>
      </c>
      <c r="F152" s="10" t="str">
        <f ca="1">+WORLDCUP!BD61</f>
        <v>Australia</v>
      </c>
      <c r="G152" s="10" t="str">
        <f ca="1">+WORLDCUP!BD65</f>
        <v>Arabia Saudita</v>
      </c>
      <c r="H152" s="10" t="str">
        <f ca="1">+WORLDCUP!BD63</f>
        <v>Japón</v>
      </c>
      <c r="I152" s="10" t="str">
        <f ca="1">+WORLDCUP!BD69</f>
        <v>Ghana</v>
      </c>
      <c r="J152" s="10" t="str">
        <f ca="1">+WORLDCUP!BD62</f>
        <v>Curazao</v>
      </c>
      <c r="N152" s="19" t="s">
        <v>1084</v>
      </c>
      <c r="O152" s="19">
        <v>151</v>
      </c>
      <c r="P152" s="19" t="s">
        <v>93</v>
      </c>
      <c r="Q152" s="19" t="s">
        <v>458</v>
      </c>
      <c r="R152" s="19" t="s">
        <v>92</v>
      </c>
      <c r="S152" s="19" t="s">
        <v>94</v>
      </c>
      <c r="T152" s="19" t="s">
        <v>453</v>
      </c>
      <c r="U152" s="19" t="s">
        <v>96</v>
      </c>
      <c r="V152" s="19" t="s">
        <v>460</v>
      </c>
      <c r="W152" s="19" t="s">
        <v>95</v>
      </c>
    </row>
    <row r="153" spans="1:23">
      <c r="A153" s="10" t="s">
        <v>1083</v>
      </c>
      <c r="B153" s="10">
        <f ca="1">+IF(A153=WORLDCUP!$BI$112,1,0)</f>
        <v>0</v>
      </c>
      <c r="C153" s="10" t="str">
        <f ca="1">+WORLDCUP!BD60</f>
        <v>Escocia</v>
      </c>
      <c r="D153" s="10" t="str">
        <f ca="1">+WORLDCUP!BD67</f>
        <v>Argelia</v>
      </c>
      <c r="E153" s="10" t="str">
        <f ca="1">+WORLDCUP!BD59</f>
        <v>Catar</v>
      </c>
      <c r="F153" s="10" t="str">
        <f ca="1">+WORLDCUP!BD61</f>
        <v>Australia</v>
      </c>
      <c r="G153" s="10" t="str">
        <f ca="1">+WORLDCUP!BD65</f>
        <v>Arabia Saudita</v>
      </c>
      <c r="H153" s="10" t="str">
        <f ca="1">+WORLDCUP!BD63</f>
        <v>Japón</v>
      </c>
      <c r="I153" s="10" t="str">
        <f ca="1">+WORLDCUP!BD62</f>
        <v>Curazao</v>
      </c>
      <c r="J153" s="10" t="str">
        <f ca="1">+WORLDCUP!BD68</f>
        <v>PO 1: COD/JAM/NCL</v>
      </c>
      <c r="N153" s="19" t="s">
        <v>1083</v>
      </c>
      <c r="O153" s="19">
        <v>152</v>
      </c>
      <c r="P153" s="19" t="s">
        <v>93</v>
      </c>
      <c r="Q153" s="19" t="s">
        <v>458</v>
      </c>
      <c r="R153" s="19" t="s">
        <v>92</v>
      </c>
      <c r="S153" s="19" t="s">
        <v>94</v>
      </c>
      <c r="T153" s="19" t="s">
        <v>453</v>
      </c>
      <c r="U153" s="19" t="s">
        <v>96</v>
      </c>
      <c r="V153" s="19" t="s">
        <v>95</v>
      </c>
      <c r="W153" s="19" t="s">
        <v>459</v>
      </c>
    </row>
    <row r="154" spans="1:23">
      <c r="A154" s="10" t="s">
        <v>1082</v>
      </c>
      <c r="B154" s="10">
        <f ca="1">+IF(A154=WORLDCUP!$BI$112,1,0)</f>
        <v>0</v>
      </c>
      <c r="C154" s="10" t="str">
        <f ca="1">+WORLDCUP!BD60</f>
        <v>Escocia</v>
      </c>
      <c r="D154" s="10" t="str">
        <f ca="1">+WORLDCUP!BD62</f>
        <v>Curazao</v>
      </c>
      <c r="E154" s="10" t="str">
        <f ca="1">+WORLDCUP!BD59</f>
        <v>Catar</v>
      </c>
      <c r="F154" s="10" t="str">
        <f ca="1">+WORLDCUP!BD61</f>
        <v>Australia</v>
      </c>
      <c r="G154" s="10" t="str">
        <f ca="1">+WORLDCUP!BD65</f>
        <v>Arabia Saudita</v>
      </c>
      <c r="H154" s="10" t="str">
        <f ca="1">+WORLDCUP!BD63</f>
        <v>Japón</v>
      </c>
      <c r="I154" s="10" t="str">
        <f ca="1">+WORLDCUP!BD69</f>
        <v>Ghana</v>
      </c>
      <c r="J154" s="10" t="str">
        <f ca="1">+WORLDCUP!BD66</f>
        <v>Noruega</v>
      </c>
      <c r="N154" s="19" t="s">
        <v>1082</v>
      </c>
      <c r="O154" s="19">
        <v>153</v>
      </c>
      <c r="P154" s="19" t="s">
        <v>93</v>
      </c>
      <c r="Q154" s="19" t="s">
        <v>95</v>
      </c>
      <c r="R154" s="19" t="s">
        <v>92</v>
      </c>
      <c r="S154" s="19" t="s">
        <v>94</v>
      </c>
      <c r="T154" s="19" t="s">
        <v>453</v>
      </c>
      <c r="U154" s="19" t="s">
        <v>96</v>
      </c>
      <c r="V154" s="19" t="s">
        <v>460</v>
      </c>
      <c r="W154" s="19" t="s">
        <v>457</v>
      </c>
    </row>
    <row r="155" spans="1:23">
      <c r="A155" s="10" t="s">
        <v>1081</v>
      </c>
      <c r="B155" s="10">
        <f ca="1">+IF(A155=WORLDCUP!$BI$112,1,0)</f>
        <v>0</v>
      </c>
      <c r="C155" s="10" t="str">
        <f ca="1">+WORLDCUP!BD60</f>
        <v>Escocia</v>
      </c>
      <c r="D155" s="10" t="str">
        <f ca="1">+WORLDCUP!BD62</f>
        <v>Curazao</v>
      </c>
      <c r="E155" s="10" t="str">
        <f ca="1">+WORLDCUP!BD59</f>
        <v>Catar</v>
      </c>
      <c r="F155" s="10" t="str">
        <f ca="1">+WORLDCUP!BD61</f>
        <v>Australia</v>
      </c>
      <c r="G155" s="10" t="str">
        <f ca="1">+WORLDCUP!BD65</f>
        <v>Arabia Saudita</v>
      </c>
      <c r="H155" s="10" t="str">
        <f ca="1">+WORLDCUP!BD63</f>
        <v>Japón</v>
      </c>
      <c r="I155" s="10" t="str">
        <f ca="1">+WORLDCUP!BD66</f>
        <v>Noruega</v>
      </c>
      <c r="J155" s="10" t="str">
        <f ca="1">+WORLDCUP!BD68</f>
        <v>PO 1: COD/JAM/NCL</v>
      </c>
      <c r="N155" s="19" t="s">
        <v>1081</v>
      </c>
      <c r="O155" s="19">
        <v>154</v>
      </c>
      <c r="P155" s="19" t="s">
        <v>93</v>
      </c>
      <c r="Q155" s="19" t="s">
        <v>95</v>
      </c>
      <c r="R155" s="19" t="s">
        <v>92</v>
      </c>
      <c r="S155" s="19" t="s">
        <v>94</v>
      </c>
      <c r="T155" s="19" t="s">
        <v>453</v>
      </c>
      <c r="U155" s="19" t="s">
        <v>96</v>
      </c>
      <c r="V155" s="19" t="s">
        <v>457</v>
      </c>
      <c r="W155" s="19" t="s">
        <v>459</v>
      </c>
    </row>
    <row r="156" spans="1:23">
      <c r="A156" s="10" t="s">
        <v>1080</v>
      </c>
      <c r="B156" s="10">
        <f ca="1">+IF(A156=WORLDCUP!$BI$112,1,0)</f>
        <v>0</v>
      </c>
      <c r="C156" s="10" t="str">
        <f ca="1">+WORLDCUP!BD60</f>
        <v>Escocia</v>
      </c>
      <c r="D156" s="10" t="str">
        <f ca="1">+WORLDCUP!BD67</f>
        <v>Argelia</v>
      </c>
      <c r="E156" s="10" t="str">
        <f ca="1">+WORLDCUP!BD59</f>
        <v>Catar</v>
      </c>
      <c r="F156" s="10" t="str">
        <f ca="1">+WORLDCUP!BD61</f>
        <v>Australia</v>
      </c>
      <c r="G156" s="10" t="str">
        <f ca="1">+WORLDCUP!BD65</f>
        <v>Arabia Saudita</v>
      </c>
      <c r="H156" s="10" t="str">
        <f ca="1">+WORLDCUP!BD63</f>
        <v>Japón</v>
      </c>
      <c r="I156" s="10" t="str">
        <f ca="1">+WORLDCUP!BD62</f>
        <v>Curazao</v>
      </c>
      <c r="J156" s="10" t="str">
        <f ca="1">+WORLDCUP!BD66</f>
        <v>Noruega</v>
      </c>
      <c r="N156" s="19" t="s">
        <v>1080</v>
      </c>
      <c r="O156" s="19">
        <v>155</v>
      </c>
      <c r="P156" s="19" t="s">
        <v>93</v>
      </c>
      <c r="Q156" s="19" t="s">
        <v>458</v>
      </c>
      <c r="R156" s="19" t="s">
        <v>92</v>
      </c>
      <c r="S156" s="19" t="s">
        <v>94</v>
      </c>
      <c r="T156" s="19" t="s">
        <v>453</v>
      </c>
      <c r="U156" s="19" t="s">
        <v>96</v>
      </c>
      <c r="V156" s="19" t="s">
        <v>95</v>
      </c>
      <c r="W156" s="19" t="s">
        <v>457</v>
      </c>
    </row>
    <row r="157" spans="1:23">
      <c r="A157" s="10" t="s">
        <v>492</v>
      </c>
      <c r="B157" s="10">
        <f ca="1">+IF(A157=WORLDCUP!$BI$112,1,0)</f>
        <v>0</v>
      </c>
      <c r="C157" s="10" t="str">
        <f ca="1">+WORLDCUP!BD60</f>
        <v>Escocia</v>
      </c>
      <c r="D157" s="10" t="str">
        <f ca="1">+WORLDCUP!BD64</f>
        <v>Egipto</v>
      </c>
      <c r="E157" s="10" t="str">
        <f ca="1">+WORLDCUP!BD59</f>
        <v>Catar</v>
      </c>
      <c r="F157" s="10" t="str">
        <f ca="1">+WORLDCUP!BD61</f>
        <v>Australia</v>
      </c>
      <c r="G157" s="10" t="str">
        <f ca="1">+WORLDCUP!BD62</f>
        <v>Curazao</v>
      </c>
      <c r="H157" s="10" t="str">
        <f ca="1">+WORLDCUP!BD63</f>
        <v>Japón</v>
      </c>
      <c r="I157" s="10" t="str">
        <f ca="1">+WORLDCUP!BD69</f>
        <v>Ghana</v>
      </c>
      <c r="J157" s="10" t="str">
        <f ca="1">+WORLDCUP!BD68</f>
        <v>PO 1: COD/JAM/NCL</v>
      </c>
      <c r="N157" s="19" t="s">
        <v>492</v>
      </c>
      <c r="O157" s="19">
        <v>156</v>
      </c>
      <c r="P157" s="19" t="s">
        <v>93</v>
      </c>
      <c r="Q157" s="19" t="s">
        <v>452</v>
      </c>
      <c r="R157" s="19" t="s">
        <v>92</v>
      </c>
      <c r="S157" s="19" t="s">
        <v>94</v>
      </c>
      <c r="T157" s="19" t="s">
        <v>95</v>
      </c>
      <c r="U157" s="19" t="s">
        <v>96</v>
      </c>
      <c r="V157" s="19" t="s">
        <v>460</v>
      </c>
      <c r="W157" s="19" t="s">
        <v>459</v>
      </c>
    </row>
    <row r="158" spans="1:23">
      <c r="A158" s="10" t="s">
        <v>485</v>
      </c>
      <c r="B158" s="10">
        <f ca="1">+IF(A158=WORLDCUP!$BI$112,1,0)</f>
        <v>0</v>
      </c>
      <c r="C158" s="10" t="str">
        <f ca="1">+WORLDCUP!BD60</f>
        <v>Escocia</v>
      </c>
      <c r="D158" s="10" t="str">
        <f ca="1">+WORLDCUP!BD64</f>
        <v>Egipto</v>
      </c>
      <c r="E158" s="10" t="str">
        <f ca="1">+WORLDCUP!BD59</f>
        <v>Catar</v>
      </c>
      <c r="F158" s="10" t="str">
        <f ca="1">+WORLDCUP!BD61</f>
        <v>Australia</v>
      </c>
      <c r="G158" s="10" t="str">
        <f ca="1">+WORLDCUP!BD67</f>
        <v>Argelia</v>
      </c>
      <c r="H158" s="10" t="str">
        <f ca="1">+WORLDCUP!BD63</f>
        <v>Japón</v>
      </c>
      <c r="I158" s="10" t="str">
        <f ca="1">+WORLDCUP!BD69</f>
        <v>Ghana</v>
      </c>
      <c r="J158" s="10" t="str">
        <f ca="1">+WORLDCUP!BD62</f>
        <v>Curazao</v>
      </c>
      <c r="N158" s="19" t="s">
        <v>485</v>
      </c>
      <c r="O158" s="19">
        <v>157</v>
      </c>
      <c r="P158" s="19" t="s">
        <v>93</v>
      </c>
      <c r="Q158" s="19" t="s">
        <v>452</v>
      </c>
      <c r="R158" s="19" t="s">
        <v>92</v>
      </c>
      <c r="S158" s="19" t="s">
        <v>94</v>
      </c>
      <c r="T158" s="19" t="s">
        <v>458</v>
      </c>
      <c r="U158" s="19" t="s">
        <v>96</v>
      </c>
      <c r="V158" s="19" t="s">
        <v>460</v>
      </c>
      <c r="W158" s="19" t="s">
        <v>95</v>
      </c>
    </row>
    <row r="159" spans="1:23">
      <c r="A159" s="10" t="s">
        <v>484</v>
      </c>
      <c r="B159" s="10">
        <f ca="1">+IF(A159=WORLDCUP!$BI$112,1,0)</f>
        <v>0</v>
      </c>
      <c r="C159" s="10" t="str">
        <f ca="1">+WORLDCUP!BD60</f>
        <v>Escocia</v>
      </c>
      <c r="D159" s="10" t="str">
        <f ca="1">+WORLDCUP!BD64</f>
        <v>Egipto</v>
      </c>
      <c r="E159" s="10" t="str">
        <f ca="1">+WORLDCUP!BD59</f>
        <v>Catar</v>
      </c>
      <c r="F159" s="10" t="str">
        <f ca="1">+WORLDCUP!BD61</f>
        <v>Australia</v>
      </c>
      <c r="G159" s="10" t="str">
        <f ca="1">+WORLDCUP!BD67</f>
        <v>Argelia</v>
      </c>
      <c r="H159" s="10" t="str">
        <f ca="1">+WORLDCUP!BD63</f>
        <v>Japón</v>
      </c>
      <c r="I159" s="10" t="str">
        <f ca="1">+WORLDCUP!BD62</f>
        <v>Curazao</v>
      </c>
      <c r="J159" s="10" t="str">
        <f ca="1">+WORLDCUP!BD68</f>
        <v>PO 1: COD/JAM/NCL</v>
      </c>
      <c r="N159" s="19" t="s">
        <v>484</v>
      </c>
      <c r="O159" s="19">
        <v>158</v>
      </c>
      <c r="P159" s="19" t="s">
        <v>93</v>
      </c>
      <c r="Q159" s="19" t="s">
        <v>452</v>
      </c>
      <c r="R159" s="19" t="s">
        <v>92</v>
      </c>
      <c r="S159" s="19" t="s">
        <v>94</v>
      </c>
      <c r="T159" s="19" t="s">
        <v>458</v>
      </c>
      <c r="U159" s="19" t="s">
        <v>96</v>
      </c>
      <c r="V159" s="19" t="s">
        <v>95</v>
      </c>
      <c r="W159" s="19" t="s">
        <v>459</v>
      </c>
    </row>
    <row r="160" spans="1:23">
      <c r="A160" s="10" t="s">
        <v>483</v>
      </c>
      <c r="B160" s="10">
        <f ca="1">+IF(A160=WORLDCUP!$BI$112,1,0)</f>
        <v>0</v>
      </c>
      <c r="C160" s="10" t="str">
        <f ca="1">+WORLDCUP!BD60</f>
        <v>Escocia</v>
      </c>
      <c r="D160" s="10" t="str">
        <f ca="1">+WORLDCUP!BD64</f>
        <v>Egipto</v>
      </c>
      <c r="E160" s="10" t="str">
        <f ca="1">+WORLDCUP!BD59</f>
        <v>Catar</v>
      </c>
      <c r="F160" s="10" t="str">
        <f ca="1">+WORLDCUP!BD61</f>
        <v>Australia</v>
      </c>
      <c r="G160" s="10" t="str">
        <f ca="1">+WORLDCUP!BD62</f>
        <v>Curazao</v>
      </c>
      <c r="H160" s="10" t="str">
        <f ca="1">+WORLDCUP!BD63</f>
        <v>Japón</v>
      </c>
      <c r="I160" s="10" t="str">
        <f ca="1">+WORLDCUP!BD69</f>
        <v>Ghana</v>
      </c>
      <c r="J160" s="10" t="str">
        <f ca="1">+WORLDCUP!BD66</f>
        <v>Noruega</v>
      </c>
      <c r="N160" s="19" t="s">
        <v>483</v>
      </c>
      <c r="O160" s="19">
        <v>159</v>
      </c>
      <c r="P160" s="19" t="s">
        <v>93</v>
      </c>
      <c r="Q160" s="19" t="s">
        <v>452</v>
      </c>
      <c r="R160" s="19" t="s">
        <v>92</v>
      </c>
      <c r="S160" s="19" t="s">
        <v>94</v>
      </c>
      <c r="T160" s="19" t="s">
        <v>95</v>
      </c>
      <c r="U160" s="19" t="s">
        <v>96</v>
      </c>
      <c r="V160" s="19" t="s">
        <v>460</v>
      </c>
      <c r="W160" s="19" t="s">
        <v>457</v>
      </c>
    </row>
    <row r="161" spans="1:23">
      <c r="A161" s="10" t="s">
        <v>482</v>
      </c>
      <c r="B161" s="10">
        <f ca="1">+IF(A161=WORLDCUP!$BI$112,1,0)</f>
        <v>0</v>
      </c>
      <c r="C161" s="10" t="str">
        <f ca="1">+WORLDCUP!BD60</f>
        <v>Escocia</v>
      </c>
      <c r="D161" s="10" t="str">
        <f ca="1">+WORLDCUP!BD64</f>
        <v>Egipto</v>
      </c>
      <c r="E161" s="10" t="str">
        <f ca="1">+WORLDCUP!BD59</f>
        <v>Catar</v>
      </c>
      <c r="F161" s="10" t="str">
        <f ca="1">+WORLDCUP!BD61</f>
        <v>Australia</v>
      </c>
      <c r="G161" s="10" t="str">
        <f ca="1">+WORLDCUP!BD62</f>
        <v>Curazao</v>
      </c>
      <c r="H161" s="10" t="str">
        <f ca="1">+WORLDCUP!BD63</f>
        <v>Japón</v>
      </c>
      <c r="I161" s="10" t="str">
        <f ca="1">+WORLDCUP!BD66</f>
        <v>Noruega</v>
      </c>
      <c r="J161" s="10" t="str">
        <f ca="1">+WORLDCUP!BD68</f>
        <v>PO 1: COD/JAM/NCL</v>
      </c>
      <c r="N161" s="19" t="s">
        <v>482</v>
      </c>
      <c r="O161" s="19">
        <v>160</v>
      </c>
      <c r="P161" s="19" t="s">
        <v>93</v>
      </c>
      <c r="Q161" s="19" t="s">
        <v>452</v>
      </c>
      <c r="R161" s="19" t="s">
        <v>92</v>
      </c>
      <c r="S161" s="19" t="s">
        <v>94</v>
      </c>
      <c r="T161" s="19" t="s">
        <v>95</v>
      </c>
      <c r="U161" s="19" t="s">
        <v>96</v>
      </c>
      <c r="V161" s="19" t="s">
        <v>457</v>
      </c>
      <c r="W161" s="19" t="s">
        <v>459</v>
      </c>
    </row>
    <row r="162" spans="1:23">
      <c r="A162" s="10" t="s">
        <v>481</v>
      </c>
      <c r="B162" s="10">
        <f ca="1">+IF(A162=WORLDCUP!$BI$112,1,0)</f>
        <v>0</v>
      </c>
      <c r="C162" s="10" t="str">
        <f ca="1">+WORLDCUP!BD60</f>
        <v>Escocia</v>
      </c>
      <c r="D162" s="10" t="str">
        <f ca="1">+WORLDCUP!BD64</f>
        <v>Egipto</v>
      </c>
      <c r="E162" s="10" t="str">
        <f ca="1">+WORLDCUP!BD59</f>
        <v>Catar</v>
      </c>
      <c r="F162" s="10" t="str">
        <f ca="1">+WORLDCUP!BD61</f>
        <v>Australia</v>
      </c>
      <c r="G162" s="10" t="str">
        <f ca="1">+WORLDCUP!BD67</f>
        <v>Argelia</v>
      </c>
      <c r="H162" s="10" t="str">
        <f ca="1">+WORLDCUP!BD63</f>
        <v>Japón</v>
      </c>
      <c r="I162" s="10" t="str">
        <f ca="1">+WORLDCUP!BD62</f>
        <v>Curazao</v>
      </c>
      <c r="J162" s="10" t="str">
        <f ca="1">+WORLDCUP!BD66</f>
        <v>Noruega</v>
      </c>
      <c r="N162" s="19" t="s">
        <v>481</v>
      </c>
      <c r="O162" s="19">
        <v>161</v>
      </c>
      <c r="P162" s="19" t="s">
        <v>93</v>
      </c>
      <c r="Q162" s="19" t="s">
        <v>452</v>
      </c>
      <c r="R162" s="19" t="s">
        <v>92</v>
      </c>
      <c r="S162" s="19" t="s">
        <v>94</v>
      </c>
      <c r="T162" s="19" t="s">
        <v>458</v>
      </c>
      <c r="U162" s="19" t="s">
        <v>96</v>
      </c>
      <c r="V162" s="19" t="s">
        <v>95</v>
      </c>
      <c r="W162" s="19" t="s">
        <v>457</v>
      </c>
    </row>
    <row r="163" spans="1:23">
      <c r="A163" s="10" t="s">
        <v>480</v>
      </c>
      <c r="B163" s="10">
        <f ca="1">+IF(A163=WORLDCUP!$BI$112,1,0)</f>
        <v>0</v>
      </c>
      <c r="C163" s="10" t="str">
        <f ca="1">+WORLDCUP!BD60</f>
        <v>Escocia</v>
      </c>
      <c r="D163" s="10" t="str">
        <f ca="1">+WORLDCUP!BD64</f>
        <v>Egipto</v>
      </c>
      <c r="E163" s="10" t="str">
        <f ca="1">+WORLDCUP!BD59</f>
        <v>Catar</v>
      </c>
      <c r="F163" s="10" t="str">
        <f ca="1">+WORLDCUP!BD61</f>
        <v>Australia</v>
      </c>
      <c r="G163" s="10" t="str">
        <f ca="1">+WORLDCUP!BD65</f>
        <v>Arabia Saudita</v>
      </c>
      <c r="H163" s="10" t="str">
        <f ca="1">+WORLDCUP!BD63</f>
        <v>Japón</v>
      </c>
      <c r="I163" s="10" t="str">
        <f ca="1">+WORLDCUP!BD69</f>
        <v>Ghana</v>
      </c>
      <c r="J163" s="10" t="str">
        <f ca="1">+WORLDCUP!BD62</f>
        <v>Curazao</v>
      </c>
      <c r="N163" s="19" t="s">
        <v>480</v>
      </c>
      <c r="O163" s="19">
        <v>162</v>
      </c>
      <c r="P163" s="19" t="s">
        <v>93</v>
      </c>
      <c r="Q163" s="19" t="s">
        <v>452</v>
      </c>
      <c r="R163" s="19" t="s">
        <v>92</v>
      </c>
      <c r="S163" s="19" t="s">
        <v>94</v>
      </c>
      <c r="T163" s="19" t="s">
        <v>453</v>
      </c>
      <c r="U163" s="19" t="s">
        <v>96</v>
      </c>
      <c r="V163" s="19" t="s">
        <v>460</v>
      </c>
      <c r="W163" s="19" t="s">
        <v>95</v>
      </c>
    </row>
    <row r="164" spans="1:23">
      <c r="A164" s="10" t="s">
        <v>479</v>
      </c>
      <c r="B164" s="10">
        <f ca="1">+IF(A164=WORLDCUP!$BI$112,1,0)</f>
        <v>0</v>
      </c>
      <c r="C164" s="10" t="str">
        <f ca="1">+WORLDCUP!BD60</f>
        <v>Escocia</v>
      </c>
      <c r="D164" s="10" t="str">
        <f ca="1">+WORLDCUP!BD64</f>
        <v>Egipto</v>
      </c>
      <c r="E164" s="10" t="str">
        <f ca="1">+WORLDCUP!BD59</f>
        <v>Catar</v>
      </c>
      <c r="F164" s="10" t="str">
        <f ca="1">+WORLDCUP!BD61</f>
        <v>Australia</v>
      </c>
      <c r="G164" s="10" t="str">
        <f ca="1">+WORLDCUP!BD65</f>
        <v>Arabia Saudita</v>
      </c>
      <c r="H164" s="10" t="str">
        <f ca="1">+WORLDCUP!BD63</f>
        <v>Japón</v>
      </c>
      <c r="I164" s="10" t="str">
        <f ca="1">+WORLDCUP!BD62</f>
        <v>Curazao</v>
      </c>
      <c r="J164" s="10" t="str">
        <f ca="1">+WORLDCUP!BD68</f>
        <v>PO 1: COD/JAM/NCL</v>
      </c>
      <c r="N164" s="19" t="s">
        <v>479</v>
      </c>
      <c r="O164" s="19">
        <v>163</v>
      </c>
      <c r="P164" s="19" t="s">
        <v>93</v>
      </c>
      <c r="Q164" s="19" t="s">
        <v>452</v>
      </c>
      <c r="R164" s="19" t="s">
        <v>92</v>
      </c>
      <c r="S164" s="19" t="s">
        <v>94</v>
      </c>
      <c r="T164" s="19" t="s">
        <v>453</v>
      </c>
      <c r="U164" s="19" t="s">
        <v>96</v>
      </c>
      <c r="V164" s="19" t="s">
        <v>95</v>
      </c>
      <c r="W164" s="19" t="s">
        <v>459</v>
      </c>
    </row>
    <row r="165" spans="1:23">
      <c r="A165" s="10" t="s">
        <v>478</v>
      </c>
      <c r="B165" s="10">
        <f ca="1">+IF(A165=WORLDCUP!$BI$112,1,0)</f>
        <v>0</v>
      </c>
      <c r="C165" s="10" t="str">
        <f ca="1">+WORLDCUP!BD65</f>
        <v>Arabia Saudita</v>
      </c>
      <c r="D165" s="10" t="str">
        <f ca="1">+WORLDCUP!BD64</f>
        <v>Egipto</v>
      </c>
      <c r="E165" s="10" t="str">
        <f ca="1">+WORLDCUP!BD59</f>
        <v>Catar</v>
      </c>
      <c r="F165" s="10" t="str">
        <f ca="1">+WORLDCUP!BD60</f>
        <v>Escocia</v>
      </c>
      <c r="G165" s="10" t="str">
        <f ca="1">+WORLDCUP!BD67</f>
        <v>Argelia</v>
      </c>
      <c r="H165" s="10" t="str">
        <f ca="1">+WORLDCUP!BD63</f>
        <v>Japón</v>
      </c>
      <c r="I165" s="10" t="str">
        <f ca="1">+WORLDCUP!BD61</f>
        <v>Australia</v>
      </c>
      <c r="J165" s="10" t="str">
        <f ca="1">+WORLDCUP!BD62</f>
        <v>Curazao</v>
      </c>
      <c r="N165" s="19" t="s">
        <v>478</v>
      </c>
      <c r="O165" s="19">
        <v>164</v>
      </c>
      <c r="P165" s="19" t="s">
        <v>453</v>
      </c>
      <c r="Q165" s="19" t="s">
        <v>452</v>
      </c>
      <c r="R165" s="19" t="s">
        <v>92</v>
      </c>
      <c r="S165" s="19" t="s">
        <v>93</v>
      </c>
      <c r="T165" s="19" t="s">
        <v>458</v>
      </c>
      <c r="U165" s="19" t="s">
        <v>96</v>
      </c>
      <c r="V165" s="19" t="s">
        <v>94</v>
      </c>
      <c r="W165" s="19" t="s">
        <v>95</v>
      </c>
    </row>
    <row r="166" spans="1:23">
      <c r="A166" s="10" t="s">
        <v>477</v>
      </c>
      <c r="B166" s="10">
        <f ca="1">+IF(A166=WORLDCUP!$BI$112,1,0)</f>
        <v>0</v>
      </c>
      <c r="C166" s="10" t="str">
        <f ca="1">+WORLDCUP!BD60</f>
        <v>Escocia</v>
      </c>
      <c r="D166" s="10" t="str">
        <f ca="1">+WORLDCUP!BD64</f>
        <v>Egipto</v>
      </c>
      <c r="E166" s="10" t="str">
        <f ca="1">+WORLDCUP!BD59</f>
        <v>Catar</v>
      </c>
      <c r="F166" s="10" t="str">
        <f ca="1">+WORLDCUP!BD61</f>
        <v>Australia</v>
      </c>
      <c r="G166" s="10" t="str">
        <f ca="1">+WORLDCUP!BD65</f>
        <v>Arabia Saudita</v>
      </c>
      <c r="H166" s="10" t="str">
        <f ca="1">+WORLDCUP!BD63</f>
        <v>Japón</v>
      </c>
      <c r="I166" s="10" t="str">
        <f ca="1">+WORLDCUP!BD62</f>
        <v>Curazao</v>
      </c>
      <c r="J166" s="10" t="str">
        <f ca="1">+WORLDCUP!BD66</f>
        <v>Noruega</v>
      </c>
      <c r="N166" s="19" t="s">
        <v>477</v>
      </c>
      <c r="O166" s="19">
        <v>165</v>
      </c>
      <c r="P166" s="19" t="s">
        <v>93</v>
      </c>
      <c r="Q166" s="19" t="s">
        <v>452</v>
      </c>
      <c r="R166" s="19" t="s">
        <v>92</v>
      </c>
      <c r="S166" s="19" t="s">
        <v>94</v>
      </c>
      <c r="T166" s="19" t="s">
        <v>453</v>
      </c>
      <c r="U166" s="19" t="s">
        <v>96</v>
      </c>
      <c r="V166" s="19" t="s">
        <v>95</v>
      </c>
      <c r="W166" s="19" t="s">
        <v>457</v>
      </c>
    </row>
    <row r="167" spans="1:23">
      <c r="A167" s="10" t="s">
        <v>615</v>
      </c>
      <c r="B167" s="10">
        <f ca="1">+IF(A167=WORLDCUP!$BI$112,1,0)</f>
        <v>0</v>
      </c>
      <c r="C167" s="10" t="str">
        <f ca="1">+WORLDCUP!BD65</f>
        <v>Arabia Saudita</v>
      </c>
      <c r="D167" s="10" t="str">
        <f ca="1">+WORLDCUP!BD67</f>
        <v>Argelia</v>
      </c>
      <c r="E167" s="10" t="str">
        <f ca="1">+WORLDCUP!BD66</f>
        <v>Noruega</v>
      </c>
      <c r="F167" s="10" t="str">
        <f ca="1">+WORLDCUP!BD63</f>
        <v>Japón</v>
      </c>
      <c r="G167" s="10" t="str">
        <f ca="1">+WORLDCUP!BD58</f>
        <v>PO D: DEN/MKD/CZE/IRL</v>
      </c>
      <c r="H167" s="10" t="str">
        <f ca="1">+WORLDCUP!BD64</f>
        <v>Egipto</v>
      </c>
      <c r="I167" s="10" t="str">
        <f ca="1">+WORLDCUP!BD69</f>
        <v>Ghana</v>
      </c>
      <c r="J167" s="10" t="str">
        <f ca="1">+WORLDCUP!BD68</f>
        <v>PO 1: COD/JAM/NCL</v>
      </c>
      <c r="N167" s="19" t="s">
        <v>615</v>
      </c>
      <c r="O167" s="19">
        <v>166</v>
      </c>
      <c r="P167" s="19" t="s">
        <v>453</v>
      </c>
      <c r="Q167" s="19" t="s">
        <v>458</v>
      </c>
      <c r="R167" s="19" t="s">
        <v>457</v>
      </c>
      <c r="S167" s="19" t="s">
        <v>96</v>
      </c>
      <c r="T167" s="19" t="s">
        <v>91</v>
      </c>
      <c r="U167" s="19" t="s">
        <v>452</v>
      </c>
      <c r="V167" s="19" t="s">
        <v>460</v>
      </c>
      <c r="W167" s="19" t="s">
        <v>459</v>
      </c>
    </row>
    <row r="168" spans="1:23">
      <c r="A168" s="10" t="s">
        <v>1079</v>
      </c>
      <c r="B168" s="10">
        <f ca="1">+IF(A168=WORLDCUP!$BI$112,1,0)</f>
        <v>0</v>
      </c>
      <c r="C168" s="10" t="str">
        <f ca="1">+WORLDCUP!BD62</f>
        <v>Curazao</v>
      </c>
      <c r="D168" s="10" t="str">
        <f ca="1">+WORLDCUP!BD67</f>
        <v>Argelia</v>
      </c>
      <c r="E168" s="10" t="str">
        <f ca="1">+WORLDCUP!BD66</f>
        <v>Noruega</v>
      </c>
      <c r="F168" s="10" t="str">
        <f ca="1">+WORLDCUP!BD58</f>
        <v>PO D: DEN/MKD/CZE/IRL</v>
      </c>
      <c r="G168" s="10" t="str">
        <f ca="1">+WORLDCUP!BD65</f>
        <v>Arabia Saudita</v>
      </c>
      <c r="H168" s="10" t="str">
        <f ca="1">+WORLDCUP!BD64</f>
        <v>Egipto</v>
      </c>
      <c r="I168" s="10" t="str">
        <f ca="1">+WORLDCUP!BD69</f>
        <v>Ghana</v>
      </c>
      <c r="J168" s="10" t="str">
        <f ca="1">+WORLDCUP!BD68</f>
        <v>PO 1: COD/JAM/NCL</v>
      </c>
      <c r="N168" s="19" t="s">
        <v>1079</v>
      </c>
      <c r="O168" s="19">
        <v>167</v>
      </c>
      <c r="P168" s="19" t="s">
        <v>95</v>
      </c>
      <c r="Q168" s="19" t="s">
        <v>458</v>
      </c>
      <c r="R168" s="19" t="s">
        <v>457</v>
      </c>
      <c r="S168" s="19" t="s">
        <v>91</v>
      </c>
      <c r="T168" s="19" t="s">
        <v>453</v>
      </c>
      <c r="U168" s="19" t="s">
        <v>452</v>
      </c>
      <c r="V168" s="19" t="s">
        <v>460</v>
      </c>
      <c r="W168" s="19" t="s">
        <v>459</v>
      </c>
    </row>
    <row r="169" spans="1:23">
      <c r="A169" s="10" t="s">
        <v>1078</v>
      </c>
      <c r="B169" s="10">
        <f ca="1">+IF(A169=WORLDCUP!$BI$112,1,0)</f>
        <v>0</v>
      </c>
      <c r="C169" s="10" t="str">
        <f ca="1">+WORLDCUP!BD62</f>
        <v>Curazao</v>
      </c>
      <c r="D169" s="10" t="str">
        <f ca="1">+WORLDCUP!BD67</f>
        <v>Argelia</v>
      </c>
      <c r="E169" s="10" t="str">
        <f ca="1">+WORLDCUP!BD66</f>
        <v>Noruega</v>
      </c>
      <c r="F169" s="10" t="str">
        <f ca="1">+WORLDCUP!BD63</f>
        <v>Japón</v>
      </c>
      <c r="G169" s="10" t="str">
        <f ca="1">+WORLDCUP!BD58</f>
        <v>PO D: DEN/MKD/CZE/IRL</v>
      </c>
      <c r="H169" s="10" t="str">
        <f ca="1">+WORLDCUP!BD65</f>
        <v>Arabia Saudita</v>
      </c>
      <c r="I169" s="10" t="str">
        <f ca="1">+WORLDCUP!BD69</f>
        <v>Ghana</v>
      </c>
      <c r="J169" s="10" t="str">
        <f ca="1">+WORLDCUP!BD68</f>
        <v>PO 1: COD/JAM/NCL</v>
      </c>
      <c r="N169" s="19" t="s">
        <v>1078</v>
      </c>
      <c r="O169" s="19">
        <v>168</v>
      </c>
      <c r="P169" s="19" t="s">
        <v>95</v>
      </c>
      <c r="Q169" s="19" t="s">
        <v>458</v>
      </c>
      <c r="R169" s="19" t="s">
        <v>457</v>
      </c>
      <c r="S169" s="19" t="s">
        <v>96</v>
      </c>
      <c r="T169" s="19" t="s">
        <v>91</v>
      </c>
      <c r="U169" s="19" t="s">
        <v>453</v>
      </c>
      <c r="V169" s="19" t="s">
        <v>460</v>
      </c>
      <c r="W169" s="19" t="s">
        <v>459</v>
      </c>
    </row>
    <row r="170" spans="1:23">
      <c r="A170" s="10" t="s">
        <v>1077</v>
      </c>
      <c r="B170" s="10">
        <f ca="1">+IF(A170=WORLDCUP!$BI$112,1,0)</f>
        <v>0</v>
      </c>
      <c r="C170" s="10" t="str">
        <f ca="1">+WORLDCUP!BD62</f>
        <v>Curazao</v>
      </c>
      <c r="D170" s="10" t="str">
        <f ca="1">+WORLDCUP!BD67</f>
        <v>Argelia</v>
      </c>
      <c r="E170" s="10" t="str">
        <f ca="1">+WORLDCUP!BD66</f>
        <v>Noruega</v>
      </c>
      <c r="F170" s="10" t="str">
        <f ca="1">+WORLDCUP!BD63</f>
        <v>Japón</v>
      </c>
      <c r="G170" s="10" t="str">
        <f ca="1">+WORLDCUP!BD58</f>
        <v>PO D: DEN/MKD/CZE/IRL</v>
      </c>
      <c r="H170" s="10" t="str">
        <f ca="1">+WORLDCUP!BD64</f>
        <v>Egipto</v>
      </c>
      <c r="I170" s="10" t="str">
        <f ca="1">+WORLDCUP!BD69</f>
        <v>Ghana</v>
      </c>
      <c r="J170" s="10" t="str">
        <f ca="1">+WORLDCUP!BD68</f>
        <v>PO 1: COD/JAM/NCL</v>
      </c>
      <c r="N170" s="19" t="s">
        <v>1077</v>
      </c>
      <c r="O170" s="19">
        <v>169</v>
      </c>
      <c r="P170" s="19" t="s">
        <v>95</v>
      </c>
      <c r="Q170" s="19" t="s">
        <v>458</v>
      </c>
      <c r="R170" s="19" t="s">
        <v>457</v>
      </c>
      <c r="S170" s="19" t="s">
        <v>96</v>
      </c>
      <c r="T170" s="19" t="s">
        <v>91</v>
      </c>
      <c r="U170" s="19" t="s">
        <v>452</v>
      </c>
      <c r="V170" s="19" t="s">
        <v>460</v>
      </c>
      <c r="W170" s="19" t="s">
        <v>459</v>
      </c>
    </row>
    <row r="171" spans="1:23">
      <c r="A171" s="10" t="s">
        <v>1076</v>
      </c>
      <c r="B171" s="10">
        <f ca="1">+IF(A171=WORLDCUP!$BI$112,1,0)</f>
        <v>0</v>
      </c>
      <c r="C171" s="10" t="str">
        <f ca="1">+WORLDCUP!BD62</f>
        <v>Curazao</v>
      </c>
      <c r="D171" s="10" t="str">
        <f ca="1">+WORLDCUP!BD64</f>
        <v>Egipto</v>
      </c>
      <c r="E171" s="10" t="str">
        <f ca="1">+WORLDCUP!BD67</f>
        <v>Argelia</v>
      </c>
      <c r="F171" s="10" t="str">
        <f ca="1">+WORLDCUP!BD63</f>
        <v>Japón</v>
      </c>
      <c r="G171" s="10" t="str">
        <f ca="1">+WORLDCUP!BD58</f>
        <v>PO D: DEN/MKD/CZE/IRL</v>
      </c>
      <c r="H171" s="10" t="str">
        <f ca="1">+WORLDCUP!BD65</f>
        <v>Arabia Saudita</v>
      </c>
      <c r="I171" s="10" t="str">
        <f ca="1">+WORLDCUP!BD69</f>
        <v>Ghana</v>
      </c>
      <c r="J171" s="10" t="str">
        <f ca="1">+WORLDCUP!BD68</f>
        <v>PO 1: COD/JAM/NCL</v>
      </c>
      <c r="N171" s="19" t="s">
        <v>1076</v>
      </c>
      <c r="O171" s="19">
        <v>170</v>
      </c>
      <c r="P171" s="19" t="s">
        <v>95</v>
      </c>
      <c r="Q171" s="19" t="s">
        <v>452</v>
      </c>
      <c r="R171" s="19" t="s">
        <v>458</v>
      </c>
      <c r="S171" s="19" t="s">
        <v>96</v>
      </c>
      <c r="T171" s="19" t="s">
        <v>91</v>
      </c>
      <c r="U171" s="19" t="s">
        <v>453</v>
      </c>
      <c r="V171" s="19" t="s">
        <v>460</v>
      </c>
      <c r="W171" s="19" t="s">
        <v>459</v>
      </c>
    </row>
    <row r="172" spans="1:23">
      <c r="A172" s="10" t="s">
        <v>612</v>
      </c>
      <c r="B172" s="10">
        <f ca="1">+IF(A172=WORLDCUP!$BI$112,1,0)</f>
        <v>0</v>
      </c>
      <c r="C172" s="10" t="str">
        <f ca="1">+WORLDCUP!BD62</f>
        <v>Curazao</v>
      </c>
      <c r="D172" s="10" t="str">
        <f ca="1">+WORLDCUP!BD64</f>
        <v>Egipto</v>
      </c>
      <c r="E172" s="10" t="str">
        <f ca="1">+WORLDCUP!BD66</f>
        <v>Noruega</v>
      </c>
      <c r="F172" s="10" t="str">
        <f ca="1">+WORLDCUP!BD63</f>
        <v>Japón</v>
      </c>
      <c r="G172" s="10" t="str">
        <f ca="1">+WORLDCUP!BD58</f>
        <v>PO D: DEN/MKD/CZE/IRL</v>
      </c>
      <c r="H172" s="10" t="str">
        <f ca="1">+WORLDCUP!BD65</f>
        <v>Arabia Saudita</v>
      </c>
      <c r="I172" s="10" t="str">
        <f ca="1">+WORLDCUP!BD69</f>
        <v>Ghana</v>
      </c>
      <c r="J172" s="10" t="str">
        <f ca="1">+WORLDCUP!BD68</f>
        <v>PO 1: COD/JAM/NCL</v>
      </c>
      <c r="N172" s="19" t="s">
        <v>612</v>
      </c>
      <c r="O172" s="19">
        <v>171</v>
      </c>
      <c r="P172" s="19" t="s">
        <v>95</v>
      </c>
      <c r="Q172" s="19" t="s">
        <v>452</v>
      </c>
      <c r="R172" s="19" t="s">
        <v>457</v>
      </c>
      <c r="S172" s="19" t="s">
        <v>96</v>
      </c>
      <c r="T172" s="19" t="s">
        <v>91</v>
      </c>
      <c r="U172" s="19" t="s">
        <v>453</v>
      </c>
      <c r="V172" s="19" t="s">
        <v>460</v>
      </c>
      <c r="W172" s="19" t="s">
        <v>459</v>
      </c>
    </row>
    <row r="173" spans="1:23">
      <c r="A173" s="10" t="s">
        <v>614</v>
      </c>
      <c r="B173" s="10">
        <f ca="1">+IF(A173=WORLDCUP!$BI$112,1,0)</f>
        <v>0</v>
      </c>
      <c r="C173" s="10" t="str">
        <f ca="1">+WORLDCUP!BD62</f>
        <v>Curazao</v>
      </c>
      <c r="D173" s="10" t="str">
        <f ca="1">+WORLDCUP!BD64</f>
        <v>Egipto</v>
      </c>
      <c r="E173" s="10" t="str">
        <f ca="1">+WORLDCUP!BD67</f>
        <v>Argelia</v>
      </c>
      <c r="F173" s="10" t="str">
        <f ca="1">+WORLDCUP!BD63</f>
        <v>Japón</v>
      </c>
      <c r="G173" s="10" t="str">
        <f ca="1">+WORLDCUP!BD58</f>
        <v>PO D: DEN/MKD/CZE/IRL</v>
      </c>
      <c r="H173" s="10" t="str">
        <f ca="1">+WORLDCUP!BD65</f>
        <v>Arabia Saudita</v>
      </c>
      <c r="I173" s="10" t="str">
        <f ca="1">+WORLDCUP!BD69</f>
        <v>Ghana</v>
      </c>
      <c r="J173" s="10" t="str">
        <f ca="1">+WORLDCUP!BD66</f>
        <v>Noruega</v>
      </c>
      <c r="N173" s="19" t="s">
        <v>614</v>
      </c>
      <c r="O173" s="19">
        <v>172</v>
      </c>
      <c r="P173" s="19" t="s">
        <v>95</v>
      </c>
      <c r="Q173" s="19" t="s">
        <v>452</v>
      </c>
      <c r="R173" s="19" t="s">
        <v>458</v>
      </c>
      <c r="S173" s="19" t="s">
        <v>96</v>
      </c>
      <c r="T173" s="19" t="s">
        <v>91</v>
      </c>
      <c r="U173" s="19" t="s">
        <v>453</v>
      </c>
      <c r="V173" s="19" t="s">
        <v>460</v>
      </c>
      <c r="W173" s="19" t="s">
        <v>457</v>
      </c>
    </row>
    <row r="174" spans="1:23">
      <c r="A174" s="10" t="s">
        <v>613</v>
      </c>
      <c r="B174" s="10">
        <f ca="1">+IF(A174=WORLDCUP!$BI$112,1,0)</f>
        <v>0</v>
      </c>
      <c r="C174" s="10" t="str">
        <f ca="1">+WORLDCUP!BD62</f>
        <v>Curazao</v>
      </c>
      <c r="D174" s="10" t="str">
        <f ca="1">+WORLDCUP!BD64</f>
        <v>Egipto</v>
      </c>
      <c r="E174" s="10" t="str">
        <f ca="1">+WORLDCUP!BD67</f>
        <v>Argelia</v>
      </c>
      <c r="F174" s="10" t="str">
        <f ca="1">+WORLDCUP!BD63</f>
        <v>Japón</v>
      </c>
      <c r="G174" s="10" t="str">
        <f ca="1">+WORLDCUP!BD58</f>
        <v>PO D: DEN/MKD/CZE/IRL</v>
      </c>
      <c r="H174" s="10" t="str">
        <f ca="1">+WORLDCUP!BD65</f>
        <v>Arabia Saudita</v>
      </c>
      <c r="I174" s="10" t="str">
        <f ca="1">+WORLDCUP!BD66</f>
        <v>Noruega</v>
      </c>
      <c r="J174" s="10" t="str">
        <f ca="1">+WORLDCUP!BD68</f>
        <v>PO 1: COD/JAM/NCL</v>
      </c>
      <c r="N174" s="19" t="s">
        <v>613</v>
      </c>
      <c r="O174" s="19">
        <v>173</v>
      </c>
      <c r="P174" s="19" t="s">
        <v>95</v>
      </c>
      <c r="Q174" s="19" t="s">
        <v>452</v>
      </c>
      <c r="R174" s="19" t="s">
        <v>458</v>
      </c>
      <c r="S174" s="19" t="s">
        <v>96</v>
      </c>
      <c r="T174" s="19" t="s">
        <v>91</v>
      </c>
      <c r="U174" s="19" t="s">
        <v>453</v>
      </c>
      <c r="V174" s="19" t="s">
        <v>457</v>
      </c>
      <c r="W174" s="19" t="s">
        <v>459</v>
      </c>
    </row>
    <row r="175" spans="1:23">
      <c r="A175" s="10" t="s">
        <v>1075</v>
      </c>
      <c r="B175" s="10">
        <f ca="1">+IF(A175=WORLDCUP!$BI$112,1,0)</f>
        <v>0</v>
      </c>
      <c r="C175" s="10" t="str">
        <f ca="1">+WORLDCUP!BD65</f>
        <v>Arabia Saudita</v>
      </c>
      <c r="D175" s="10" t="str">
        <f ca="1">+WORLDCUP!BD67</f>
        <v>Argelia</v>
      </c>
      <c r="E175" s="10" t="str">
        <f ca="1">+WORLDCUP!BD66</f>
        <v>Noruega</v>
      </c>
      <c r="F175" s="10" t="str">
        <f ca="1">+WORLDCUP!BD61</f>
        <v>Australia</v>
      </c>
      <c r="G175" s="10" t="str">
        <f ca="1">+WORLDCUP!BD58</f>
        <v>PO D: DEN/MKD/CZE/IRL</v>
      </c>
      <c r="H175" s="10" t="str">
        <f ca="1">+WORLDCUP!BD64</f>
        <v>Egipto</v>
      </c>
      <c r="I175" s="10" t="str">
        <f ca="1">+WORLDCUP!BD69</f>
        <v>Ghana</v>
      </c>
      <c r="J175" s="10" t="str">
        <f ca="1">+WORLDCUP!BD68</f>
        <v>PO 1: COD/JAM/NCL</v>
      </c>
      <c r="N175" s="19" t="s">
        <v>1075</v>
      </c>
      <c r="O175" s="19">
        <v>174</v>
      </c>
      <c r="P175" s="19" t="s">
        <v>453</v>
      </c>
      <c r="Q175" s="19" t="s">
        <v>458</v>
      </c>
      <c r="R175" s="19" t="s">
        <v>457</v>
      </c>
      <c r="S175" s="19" t="s">
        <v>94</v>
      </c>
      <c r="T175" s="19" t="s">
        <v>91</v>
      </c>
      <c r="U175" s="19" t="s">
        <v>452</v>
      </c>
      <c r="V175" s="19" t="s">
        <v>460</v>
      </c>
      <c r="W175" s="19" t="s">
        <v>459</v>
      </c>
    </row>
    <row r="176" spans="1:23">
      <c r="A176" s="10" t="s">
        <v>1074</v>
      </c>
      <c r="B176" s="10">
        <f ca="1">+IF(A176=WORLDCUP!$BI$112,1,0)</f>
        <v>0</v>
      </c>
      <c r="C176" s="10" t="str">
        <f ca="1">+WORLDCUP!BD65</f>
        <v>Arabia Saudita</v>
      </c>
      <c r="D176" s="10" t="str">
        <f ca="1">+WORLDCUP!BD67</f>
        <v>Argelia</v>
      </c>
      <c r="E176" s="10" t="str">
        <f ca="1">+WORLDCUP!BD66</f>
        <v>Noruega</v>
      </c>
      <c r="F176" s="10" t="str">
        <f ca="1">+WORLDCUP!BD61</f>
        <v>Australia</v>
      </c>
      <c r="G176" s="10" t="str">
        <f ca="1">+WORLDCUP!BD58</f>
        <v>PO D: DEN/MKD/CZE/IRL</v>
      </c>
      <c r="H176" s="10" t="str">
        <f ca="1">+WORLDCUP!BD63</f>
        <v>Japón</v>
      </c>
      <c r="I176" s="10" t="str">
        <f ca="1">+WORLDCUP!BD69</f>
        <v>Ghana</v>
      </c>
      <c r="J176" s="10" t="str">
        <f ca="1">+WORLDCUP!BD68</f>
        <v>PO 1: COD/JAM/NCL</v>
      </c>
      <c r="N176" s="19" t="s">
        <v>1074</v>
      </c>
      <c r="O176" s="19">
        <v>175</v>
      </c>
      <c r="P176" s="19" t="s">
        <v>453</v>
      </c>
      <c r="Q176" s="19" t="s">
        <v>458</v>
      </c>
      <c r="R176" s="19" t="s">
        <v>457</v>
      </c>
      <c r="S176" s="19" t="s">
        <v>94</v>
      </c>
      <c r="T176" s="19" t="s">
        <v>91</v>
      </c>
      <c r="U176" s="19" t="s">
        <v>96</v>
      </c>
      <c r="V176" s="19" t="s">
        <v>460</v>
      </c>
      <c r="W176" s="19" t="s">
        <v>459</v>
      </c>
    </row>
    <row r="177" spans="1:23">
      <c r="A177" s="10" t="s">
        <v>1073</v>
      </c>
      <c r="B177" s="10">
        <f ca="1">+IF(A177=WORLDCUP!$BI$112,1,0)</f>
        <v>0</v>
      </c>
      <c r="C177" s="10" t="str">
        <f ca="1">+WORLDCUP!BD66</f>
        <v>Noruega</v>
      </c>
      <c r="D177" s="10" t="str">
        <f ca="1">+WORLDCUP!BD64</f>
        <v>Egipto</v>
      </c>
      <c r="E177" s="10" t="str">
        <f ca="1">+WORLDCUP!BD67</f>
        <v>Argelia</v>
      </c>
      <c r="F177" s="10" t="str">
        <f ca="1">+WORLDCUP!BD61</f>
        <v>Australia</v>
      </c>
      <c r="G177" s="10" t="str">
        <f ca="1">+WORLDCUP!BD58</f>
        <v>PO D: DEN/MKD/CZE/IRL</v>
      </c>
      <c r="H177" s="10" t="str">
        <f ca="1">+WORLDCUP!BD63</f>
        <v>Japón</v>
      </c>
      <c r="I177" s="10" t="str">
        <f ca="1">+WORLDCUP!BD69</f>
        <v>Ghana</v>
      </c>
      <c r="J177" s="10" t="str">
        <f ca="1">+WORLDCUP!BD68</f>
        <v>PO 1: COD/JAM/NCL</v>
      </c>
      <c r="N177" s="19" t="s">
        <v>1073</v>
      </c>
      <c r="O177" s="19">
        <v>176</v>
      </c>
      <c r="P177" s="19" t="s">
        <v>457</v>
      </c>
      <c r="Q177" s="19" t="s">
        <v>452</v>
      </c>
      <c r="R177" s="19" t="s">
        <v>458</v>
      </c>
      <c r="S177" s="19" t="s">
        <v>94</v>
      </c>
      <c r="T177" s="19" t="s">
        <v>91</v>
      </c>
      <c r="U177" s="19" t="s">
        <v>96</v>
      </c>
      <c r="V177" s="19" t="s">
        <v>460</v>
      </c>
      <c r="W177" s="19" t="s">
        <v>459</v>
      </c>
    </row>
    <row r="178" spans="1:23">
      <c r="A178" s="10" t="s">
        <v>1072</v>
      </c>
      <c r="B178" s="10">
        <f ca="1">+IF(A178=WORLDCUP!$BI$112,1,0)</f>
        <v>0</v>
      </c>
      <c r="C178" s="10" t="str">
        <f ca="1">+WORLDCUP!BD65</f>
        <v>Arabia Saudita</v>
      </c>
      <c r="D178" s="10" t="str">
        <f ca="1">+WORLDCUP!BD64</f>
        <v>Egipto</v>
      </c>
      <c r="E178" s="10" t="str">
        <f ca="1">+WORLDCUP!BD67</f>
        <v>Argelia</v>
      </c>
      <c r="F178" s="10" t="str">
        <f ca="1">+WORLDCUP!BD61</f>
        <v>Australia</v>
      </c>
      <c r="G178" s="10" t="str">
        <f ca="1">+WORLDCUP!BD58</f>
        <v>PO D: DEN/MKD/CZE/IRL</v>
      </c>
      <c r="H178" s="10" t="str">
        <f ca="1">+WORLDCUP!BD63</f>
        <v>Japón</v>
      </c>
      <c r="I178" s="10" t="str">
        <f ca="1">+WORLDCUP!BD69</f>
        <v>Ghana</v>
      </c>
      <c r="J178" s="10" t="str">
        <f ca="1">+WORLDCUP!BD68</f>
        <v>PO 1: COD/JAM/NCL</v>
      </c>
      <c r="N178" s="19" t="s">
        <v>1072</v>
      </c>
      <c r="O178" s="19">
        <v>177</v>
      </c>
      <c r="P178" s="19" t="s">
        <v>453</v>
      </c>
      <c r="Q178" s="19" t="s">
        <v>452</v>
      </c>
      <c r="R178" s="19" t="s">
        <v>458</v>
      </c>
      <c r="S178" s="19" t="s">
        <v>94</v>
      </c>
      <c r="T178" s="19" t="s">
        <v>91</v>
      </c>
      <c r="U178" s="19" t="s">
        <v>96</v>
      </c>
      <c r="V178" s="19" t="s">
        <v>460</v>
      </c>
      <c r="W178" s="19" t="s">
        <v>459</v>
      </c>
    </row>
    <row r="179" spans="1:23">
      <c r="A179" s="10" t="s">
        <v>1071</v>
      </c>
      <c r="B179" s="10">
        <f ca="1">+IF(A179=WORLDCUP!$BI$112,1,0)</f>
        <v>0</v>
      </c>
      <c r="C179" s="10" t="str">
        <f ca="1">+WORLDCUP!BD65</f>
        <v>Arabia Saudita</v>
      </c>
      <c r="D179" s="10" t="str">
        <f ca="1">+WORLDCUP!BD64</f>
        <v>Egipto</v>
      </c>
      <c r="E179" s="10" t="str">
        <f ca="1">+WORLDCUP!BD66</f>
        <v>Noruega</v>
      </c>
      <c r="F179" s="10" t="str">
        <f ca="1">+WORLDCUP!BD61</f>
        <v>Australia</v>
      </c>
      <c r="G179" s="10" t="str">
        <f ca="1">+WORLDCUP!BD58</f>
        <v>PO D: DEN/MKD/CZE/IRL</v>
      </c>
      <c r="H179" s="10" t="str">
        <f ca="1">+WORLDCUP!BD63</f>
        <v>Japón</v>
      </c>
      <c r="I179" s="10" t="str">
        <f ca="1">+WORLDCUP!BD69</f>
        <v>Ghana</v>
      </c>
      <c r="J179" s="10" t="str">
        <f ca="1">+WORLDCUP!BD68</f>
        <v>PO 1: COD/JAM/NCL</v>
      </c>
      <c r="N179" s="19" t="s">
        <v>1071</v>
      </c>
      <c r="O179" s="19">
        <v>178</v>
      </c>
      <c r="P179" s="19" t="s">
        <v>453</v>
      </c>
      <c r="Q179" s="19" t="s">
        <v>452</v>
      </c>
      <c r="R179" s="19" t="s">
        <v>457</v>
      </c>
      <c r="S179" s="19" t="s">
        <v>94</v>
      </c>
      <c r="T179" s="19" t="s">
        <v>91</v>
      </c>
      <c r="U179" s="19" t="s">
        <v>96</v>
      </c>
      <c r="V179" s="19" t="s">
        <v>460</v>
      </c>
      <c r="W179" s="19" t="s">
        <v>459</v>
      </c>
    </row>
    <row r="180" spans="1:23">
      <c r="A180" s="10" t="s">
        <v>1070</v>
      </c>
      <c r="B180" s="10">
        <f ca="1">+IF(A180=WORLDCUP!$BI$112,1,0)</f>
        <v>0</v>
      </c>
      <c r="C180" s="10" t="str">
        <f ca="1">+WORLDCUP!BD65</f>
        <v>Arabia Saudita</v>
      </c>
      <c r="D180" s="10" t="str">
        <f ca="1">+WORLDCUP!BD64</f>
        <v>Egipto</v>
      </c>
      <c r="E180" s="10" t="str">
        <f ca="1">+WORLDCUP!BD67</f>
        <v>Argelia</v>
      </c>
      <c r="F180" s="10" t="str">
        <f ca="1">+WORLDCUP!BD61</f>
        <v>Australia</v>
      </c>
      <c r="G180" s="10" t="str">
        <f ca="1">+WORLDCUP!BD58</f>
        <v>PO D: DEN/MKD/CZE/IRL</v>
      </c>
      <c r="H180" s="10" t="str">
        <f ca="1">+WORLDCUP!BD63</f>
        <v>Japón</v>
      </c>
      <c r="I180" s="10" t="str">
        <f ca="1">+WORLDCUP!BD69</f>
        <v>Ghana</v>
      </c>
      <c r="J180" s="10" t="str">
        <f ca="1">+WORLDCUP!BD66</f>
        <v>Noruega</v>
      </c>
      <c r="N180" s="19" t="s">
        <v>1070</v>
      </c>
      <c r="O180" s="19">
        <v>179</v>
      </c>
      <c r="P180" s="19" t="s">
        <v>453</v>
      </c>
      <c r="Q180" s="19" t="s">
        <v>452</v>
      </c>
      <c r="R180" s="19" t="s">
        <v>458</v>
      </c>
      <c r="S180" s="19" t="s">
        <v>94</v>
      </c>
      <c r="T180" s="19" t="s">
        <v>91</v>
      </c>
      <c r="U180" s="19" t="s">
        <v>96</v>
      </c>
      <c r="V180" s="19" t="s">
        <v>460</v>
      </c>
      <c r="W180" s="19" t="s">
        <v>457</v>
      </c>
    </row>
    <row r="181" spans="1:23">
      <c r="A181" s="10" t="s">
        <v>1069</v>
      </c>
      <c r="B181" s="10">
        <f ca="1">+IF(A181=WORLDCUP!$BI$112,1,0)</f>
        <v>0</v>
      </c>
      <c r="C181" s="10" t="str">
        <f ca="1">+WORLDCUP!BD65</f>
        <v>Arabia Saudita</v>
      </c>
      <c r="D181" s="10" t="str">
        <f ca="1">+WORLDCUP!BD64</f>
        <v>Egipto</v>
      </c>
      <c r="E181" s="10" t="str">
        <f ca="1">+WORLDCUP!BD67</f>
        <v>Argelia</v>
      </c>
      <c r="F181" s="10" t="str">
        <f ca="1">+WORLDCUP!BD61</f>
        <v>Australia</v>
      </c>
      <c r="G181" s="10" t="str">
        <f ca="1">+WORLDCUP!BD58</f>
        <v>PO D: DEN/MKD/CZE/IRL</v>
      </c>
      <c r="H181" s="10" t="str">
        <f ca="1">+WORLDCUP!BD63</f>
        <v>Japón</v>
      </c>
      <c r="I181" s="10" t="str">
        <f ca="1">+WORLDCUP!BD66</f>
        <v>Noruega</v>
      </c>
      <c r="J181" s="10" t="str">
        <f ca="1">+WORLDCUP!BD68</f>
        <v>PO 1: COD/JAM/NCL</v>
      </c>
      <c r="N181" s="19" t="s">
        <v>1069</v>
      </c>
      <c r="O181" s="19">
        <v>180</v>
      </c>
      <c r="P181" s="19" t="s">
        <v>453</v>
      </c>
      <c r="Q181" s="19" t="s">
        <v>452</v>
      </c>
      <c r="R181" s="19" t="s">
        <v>458</v>
      </c>
      <c r="S181" s="19" t="s">
        <v>94</v>
      </c>
      <c r="T181" s="19" t="s">
        <v>91</v>
      </c>
      <c r="U181" s="19" t="s">
        <v>96</v>
      </c>
      <c r="V181" s="19" t="s">
        <v>457</v>
      </c>
      <c r="W181" s="19" t="s">
        <v>459</v>
      </c>
    </row>
    <row r="182" spans="1:23">
      <c r="A182" s="10" t="s">
        <v>1068</v>
      </c>
      <c r="B182" s="10">
        <f ca="1">+IF(A182=WORLDCUP!$BI$112,1,0)</f>
        <v>0</v>
      </c>
      <c r="C182" s="10" t="str">
        <f ca="1">+WORLDCUP!BD62</f>
        <v>Curazao</v>
      </c>
      <c r="D182" s="10" t="str">
        <f ca="1">+WORLDCUP!BD67</f>
        <v>Argelia</v>
      </c>
      <c r="E182" s="10" t="str">
        <f ca="1">+WORLDCUP!BD66</f>
        <v>Noruega</v>
      </c>
      <c r="F182" s="10" t="str">
        <f ca="1">+WORLDCUP!BD61</f>
        <v>Australia</v>
      </c>
      <c r="G182" s="10" t="str">
        <f ca="1">+WORLDCUP!BD58</f>
        <v>PO D: DEN/MKD/CZE/IRL</v>
      </c>
      <c r="H182" s="10" t="str">
        <f ca="1">+WORLDCUP!BD65</f>
        <v>Arabia Saudita</v>
      </c>
      <c r="I182" s="10" t="str">
        <f ca="1">+WORLDCUP!BD69</f>
        <v>Ghana</v>
      </c>
      <c r="J182" s="10" t="str">
        <f ca="1">+WORLDCUP!BD68</f>
        <v>PO 1: COD/JAM/NCL</v>
      </c>
      <c r="N182" s="19" t="s">
        <v>1068</v>
      </c>
      <c r="O182" s="19">
        <v>181</v>
      </c>
      <c r="P182" s="19" t="s">
        <v>95</v>
      </c>
      <c r="Q182" s="19" t="s">
        <v>458</v>
      </c>
      <c r="R182" s="19" t="s">
        <v>457</v>
      </c>
      <c r="S182" s="19" t="s">
        <v>94</v>
      </c>
      <c r="T182" s="19" t="s">
        <v>91</v>
      </c>
      <c r="U182" s="19" t="s">
        <v>453</v>
      </c>
      <c r="V182" s="19" t="s">
        <v>460</v>
      </c>
      <c r="W182" s="19" t="s">
        <v>459</v>
      </c>
    </row>
    <row r="183" spans="1:23">
      <c r="A183" s="10" t="s">
        <v>1067</v>
      </c>
      <c r="B183" s="10">
        <f ca="1">+IF(A183=WORLDCUP!$BI$112,1,0)</f>
        <v>0</v>
      </c>
      <c r="C183" s="10" t="str">
        <f ca="1">+WORLDCUP!BD62</f>
        <v>Curazao</v>
      </c>
      <c r="D183" s="10" t="str">
        <f ca="1">+WORLDCUP!BD67</f>
        <v>Argelia</v>
      </c>
      <c r="E183" s="10" t="str">
        <f ca="1">+WORLDCUP!BD66</f>
        <v>Noruega</v>
      </c>
      <c r="F183" s="10" t="str">
        <f ca="1">+WORLDCUP!BD61</f>
        <v>Australia</v>
      </c>
      <c r="G183" s="10" t="str">
        <f ca="1">+WORLDCUP!BD58</f>
        <v>PO D: DEN/MKD/CZE/IRL</v>
      </c>
      <c r="H183" s="10" t="str">
        <f ca="1">+WORLDCUP!BD64</f>
        <v>Egipto</v>
      </c>
      <c r="I183" s="10" t="str">
        <f ca="1">+WORLDCUP!BD69</f>
        <v>Ghana</v>
      </c>
      <c r="J183" s="10" t="str">
        <f ca="1">+WORLDCUP!BD68</f>
        <v>PO 1: COD/JAM/NCL</v>
      </c>
      <c r="N183" s="19" t="s">
        <v>1067</v>
      </c>
      <c r="O183" s="19">
        <v>182</v>
      </c>
      <c r="P183" s="19" t="s">
        <v>95</v>
      </c>
      <c r="Q183" s="19" t="s">
        <v>458</v>
      </c>
      <c r="R183" s="19" t="s">
        <v>457</v>
      </c>
      <c r="S183" s="19" t="s">
        <v>94</v>
      </c>
      <c r="T183" s="19" t="s">
        <v>91</v>
      </c>
      <c r="U183" s="19" t="s">
        <v>452</v>
      </c>
      <c r="V183" s="19" t="s">
        <v>460</v>
      </c>
      <c r="W183" s="19" t="s">
        <v>459</v>
      </c>
    </row>
    <row r="184" spans="1:23">
      <c r="A184" s="10" t="s">
        <v>1066</v>
      </c>
      <c r="B184" s="10">
        <f ca="1">+IF(A184=WORLDCUP!$BI$112,1,0)</f>
        <v>0</v>
      </c>
      <c r="C184" s="10" t="str">
        <f ca="1">+WORLDCUP!BD62</f>
        <v>Curazao</v>
      </c>
      <c r="D184" s="10" t="str">
        <f ca="1">+WORLDCUP!BD64</f>
        <v>Egipto</v>
      </c>
      <c r="E184" s="10" t="str">
        <f ca="1">+WORLDCUP!BD67</f>
        <v>Argelia</v>
      </c>
      <c r="F184" s="10" t="str">
        <f ca="1">+WORLDCUP!BD61</f>
        <v>Australia</v>
      </c>
      <c r="G184" s="10" t="str">
        <f ca="1">+WORLDCUP!BD58</f>
        <v>PO D: DEN/MKD/CZE/IRL</v>
      </c>
      <c r="H184" s="10" t="str">
        <f ca="1">+WORLDCUP!BD65</f>
        <v>Arabia Saudita</v>
      </c>
      <c r="I184" s="10" t="str">
        <f ca="1">+WORLDCUP!BD69</f>
        <v>Ghana</v>
      </c>
      <c r="J184" s="10" t="str">
        <f ca="1">+WORLDCUP!BD68</f>
        <v>PO 1: COD/JAM/NCL</v>
      </c>
      <c r="N184" s="19" t="s">
        <v>1066</v>
      </c>
      <c r="O184" s="19">
        <v>183</v>
      </c>
      <c r="P184" s="19" t="s">
        <v>95</v>
      </c>
      <c r="Q184" s="19" t="s">
        <v>452</v>
      </c>
      <c r="R184" s="19" t="s">
        <v>458</v>
      </c>
      <c r="S184" s="19" t="s">
        <v>94</v>
      </c>
      <c r="T184" s="19" t="s">
        <v>91</v>
      </c>
      <c r="U184" s="19" t="s">
        <v>453</v>
      </c>
      <c r="V184" s="19" t="s">
        <v>460</v>
      </c>
      <c r="W184" s="19" t="s">
        <v>459</v>
      </c>
    </row>
    <row r="185" spans="1:23">
      <c r="A185" s="10" t="s">
        <v>1065</v>
      </c>
      <c r="B185" s="10">
        <f ca="1">+IF(A185=WORLDCUP!$BI$112,1,0)</f>
        <v>0</v>
      </c>
      <c r="C185" s="10" t="str">
        <f ca="1">+WORLDCUP!BD62</f>
        <v>Curazao</v>
      </c>
      <c r="D185" s="10" t="str">
        <f ca="1">+WORLDCUP!BD64</f>
        <v>Egipto</v>
      </c>
      <c r="E185" s="10" t="str">
        <f ca="1">+WORLDCUP!BD66</f>
        <v>Noruega</v>
      </c>
      <c r="F185" s="10" t="str">
        <f ca="1">+WORLDCUP!BD61</f>
        <v>Australia</v>
      </c>
      <c r="G185" s="10" t="str">
        <f ca="1">+WORLDCUP!BD58</f>
        <v>PO D: DEN/MKD/CZE/IRL</v>
      </c>
      <c r="H185" s="10" t="str">
        <f ca="1">+WORLDCUP!BD65</f>
        <v>Arabia Saudita</v>
      </c>
      <c r="I185" s="10" t="str">
        <f ca="1">+WORLDCUP!BD69</f>
        <v>Ghana</v>
      </c>
      <c r="J185" s="10" t="str">
        <f ca="1">+WORLDCUP!BD68</f>
        <v>PO 1: COD/JAM/NCL</v>
      </c>
      <c r="N185" s="19" t="s">
        <v>1065</v>
      </c>
      <c r="O185" s="19">
        <v>184</v>
      </c>
      <c r="P185" s="19" t="s">
        <v>95</v>
      </c>
      <c r="Q185" s="19" t="s">
        <v>452</v>
      </c>
      <c r="R185" s="19" t="s">
        <v>457</v>
      </c>
      <c r="S185" s="19" t="s">
        <v>94</v>
      </c>
      <c r="T185" s="19" t="s">
        <v>91</v>
      </c>
      <c r="U185" s="19" t="s">
        <v>453</v>
      </c>
      <c r="V185" s="19" t="s">
        <v>460</v>
      </c>
      <c r="W185" s="19" t="s">
        <v>459</v>
      </c>
    </row>
    <row r="186" spans="1:23">
      <c r="A186" s="10" t="s">
        <v>1064</v>
      </c>
      <c r="B186" s="10">
        <f ca="1">+IF(A186=WORLDCUP!$BI$112,1,0)</f>
        <v>0</v>
      </c>
      <c r="C186" s="10" t="str">
        <f ca="1">+WORLDCUP!BD62</f>
        <v>Curazao</v>
      </c>
      <c r="D186" s="10" t="str">
        <f ca="1">+WORLDCUP!BD64</f>
        <v>Egipto</v>
      </c>
      <c r="E186" s="10" t="str">
        <f ca="1">+WORLDCUP!BD67</f>
        <v>Argelia</v>
      </c>
      <c r="F186" s="10" t="str">
        <f ca="1">+WORLDCUP!BD61</f>
        <v>Australia</v>
      </c>
      <c r="G186" s="10" t="str">
        <f ca="1">+WORLDCUP!BD58</f>
        <v>PO D: DEN/MKD/CZE/IRL</v>
      </c>
      <c r="H186" s="10" t="str">
        <f ca="1">+WORLDCUP!BD65</f>
        <v>Arabia Saudita</v>
      </c>
      <c r="I186" s="10" t="str">
        <f ca="1">+WORLDCUP!BD69</f>
        <v>Ghana</v>
      </c>
      <c r="J186" s="10" t="str">
        <f ca="1">+WORLDCUP!BD66</f>
        <v>Noruega</v>
      </c>
      <c r="N186" s="19" t="s">
        <v>1064</v>
      </c>
      <c r="O186" s="19">
        <v>185</v>
      </c>
      <c r="P186" s="19" t="s">
        <v>95</v>
      </c>
      <c r="Q186" s="19" t="s">
        <v>452</v>
      </c>
      <c r="R186" s="19" t="s">
        <v>458</v>
      </c>
      <c r="S186" s="19" t="s">
        <v>94</v>
      </c>
      <c r="T186" s="19" t="s">
        <v>91</v>
      </c>
      <c r="U186" s="19" t="s">
        <v>453</v>
      </c>
      <c r="V186" s="19" t="s">
        <v>460</v>
      </c>
      <c r="W186" s="19" t="s">
        <v>457</v>
      </c>
    </row>
    <row r="187" spans="1:23">
      <c r="A187" s="10" t="s">
        <v>1063</v>
      </c>
      <c r="B187" s="10">
        <f ca="1">+IF(A187=WORLDCUP!$BI$112,1,0)</f>
        <v>0</v>
      </c>
      <c r="C187" s="10" t="str">
        <f ca="1">+WORLDCUP!BD62</f>
        <v>Curazao</v>
      </c>
      <c r="D187" s="10" t="str">
        <f ca="1">+WORLDCUP!BD64</f>
        <v>Egipto</v>
      </c>
      <c r="E187" s="10" t="str">
        <f ca="1">+WORLDCUP!BD67</f>
        <v>Argelia</v>
      </c>
      <c r="F187" s="10" t="str">
        <f ca="1">+WORLDCUP!BD61</f>
        <v>Australia</v>
      </c>
      <c r="G187" s="10" t="str">
        <f ca="1">+WORLDCUP!BD58</f>
        <v>PO D: DEN/MKD/CZE/IRL</v>
      </c>
      <c r="H187" s="10" t="str">
        <f ca="1">+WORLDCUP!BD65</f>
        <v>Arabia Saudita</v>
      </c>
      <c r="I187" s="10" t="str">
        <f ca="1">+WORLDCUP!BD66</f>
        <v>Noruega</v>
      </c>
      <c r="J187" s="10" t="str">
        <f ca="1">+WORLDCUP!BD68</f>
        <v>PO 1: COD/JAM/NCL</v>
      </c>
      <c r="N187" s="19" t="s">
        <v>1063</v>
      </c>
      <c r="O187" s="19">
        <v>186</v>
      </c>
      <c r="P187" s="19" t="s">
        <v>95</v>
      </c>
      <c r="Q187" s="19" t="s">
        <v>452</v>
      </c>
      <c r="R187" s="19" t="s">
        <v>458</v>
      </c>
      <c r="S187" s="19" t="s">
        <v>94</v>
      </c>
      <c r="T187" s="19" t="s">
        <v>91</v>
      </c>
      <c r="U187" s="19" t="s">
        <v>453</v>
      </c>
      <c r="V187" s="19" t="s">
        <v>457</v>
      </c>
      <c r="W187" s="19" t="s">
        <v>459</v>
      </c>
    </row>
    <row r="188" spans="1:23">
      <c r="A188" s="10" t="s">
        <v>1062</v>
      </c>
      <c r="B188" s="10">
        <f ca="1">+IF(A188=WORLDCUP!$BI$112,1,0)</f>
        <v>0</v>
      </c>
      <c r="C188" s="10" t="str">
        <f ca="1">+WORLDCUP!BD62</f>
        <v>Curazao</v>
      </c>
      <c r="D188" s="10" t="str">
        <f ca="1">+WORLDCUP!BD67</f>
        <v>Argelia</v>
      </c>
      <c r="E188" s="10" t="str">
        <f ca="1">+WORLDCUP!BD66</f>
        <v>Noruega</v>
      </c>
      <c r="F188" s="10" t="str">
        <f ca="1">+WORLDCUP!BD61</f>
        <v>Australia</v>
      </c>
      <c r="G188" s="10" t="str">
        <f ca="1">+WORLDCUP!BD58</f>
        <v>PO D: DEN/MKD/CZE/IRL</v>
      </c>
      <c r="H188" s="10" t="str">
        <f ca="1">+WORLDCUP!BD63</f>
        <v>Japón</v>
      </c>
      <c r="I188" s="10" t="str">
        <f ca="1">+WORLDCUP!BD69</f>
        <v>Ghana</v>
      </c>
      <c r="J188" s="10" t="str">
        <f ca="1">+WORLDCUP!BD68</f>
        <v>PO 1: COD/JAM/NCL</v>
      </c>
      <c r="N188" s="19" t="s">
        <v>1062</v>
      </c>
      <c r="O188" s="19">
        <v>187</v>
      </c>
      <c r="P188" s="19" t="s">
        <v>95</v>
      </c>
      <c r="Q188" s="19" t="s">
        <v>458</v>
      </c>
      <c r="R188" s="19" t="s">
        <v>457</v>
      </c>
      <c r="S188" s="19" t="s">
        <v>94</v>
      </c>
      <c r="T188" s="19" t="s">
        <v>91</v>
      </c>
      <c r="U188" s="19" t="s">
        <v>96</v>
      </c>
      <c r="V188" s="19" t="s">
        <v>460</v>
      </c>
      <c r="W188" s="19" t="s">
        <v>459</v>
      </c>
    </row>
    <row r="189" spans="1:23">
      <c r="A189" s="10" t="s">
        <v>1061</v>
      </c>
      <c r="B189" s="10">
        <f ca="1">+IF(A189=WORLDCUP!$BI$112,1,0)</f>
        <v>0</v>
      </c>
      <c r="C189" s="10" t="str">
        <f ca="1">+WORLDCUP!BD65</f>
        <v>Arabia Saudita</v>
      </c>
      <c r="D189" s="10" t="str">
        <f ca="1">+WORLDCUP!BD67</f>
        <v>Argelia</v>
      </c>
      <c r="E189" s="10" t="str">
        <f ca="1">+WORLDCUP!BD62</f>
        <v>Curazao</v>
      </c>
      <c r="F189" s="10" t="str">
        <f ca="1">+WORLDCUP!BD61</f>
        <v>Australia</v>
      </c>
      <c r="G189" s="10" t="str">
        <f ca="1">+WORLDCUP!BD58</f>
        <v>PO D: DEN/MKD/CZE/IRL</v>
      </c>
      <c r="H189" s="10" t="str">
        <f ca="1">+WORLDCUP!BD63</f>
        <v>Japón</v>
      </c>
      <c r="I189" s="10" t="str">
        <f ca="1">+WORLDCUP!BD69</f>
        <v>Ghana</v>
      </c>
      <c r="J189" s="10" t="str">
        <f ca="1">+WORLDCUP!BD68</f>
        <v>PO 1: COD/JAM/NCL</v>
      </c>
      <c r="N189" s="19" t="s">
        <v>1061</v>
      </c>
      <c r="O189" s="19">
        <v>188</v>
      </c>
      <c r="P189" s="19" t="s">
        <v>453</v>
      </c>
      <c r="Q189" s="19" t="s">
        <v>458</v>
      </c>
      <c r="R189" s="19" t="s">
        <v>95</v>
      </c>
      <c r="S189" s="19" t="s">
        <v>94</v>
      </c>
      <c r="T189" s="19" t="s">
        <v>91</v>
      </c>
      <c r="U189" s="19" t="s">
        <v>96</v>
      </c>
      <c r="V189" s="19" t="s">
        <v>460</v>
      </c>
      <c r="W189" s="19" t="s">
        <v>459</v>
      </c>
    </row>
    <row r="190" spans="1:23">
      <c r="A190" s="10" t="s">
        <v>1060</v>
      </c>
      <c r="B190" s="10">
        <f ca="1">+IF(A190=WORLDCUP!$BI$112,1,0)</f>
        <v>0</v>
      </c>
      <c r="C190" s="10" t="str">
        <f ca="1">+WORLDCUP!BD65</f>
        <v>Arabia Saudita</v>
      </c>
      <c r="D190" s="10" t="str">
        <f ca="1">+WORLDCUP!BD62</f>
        <v>Curazao</v>
      </c>
      <c r="E190" s="10" t="str">
        <f ca="1">+WORLDCUP!BD66</f>
        <v>Noruega</v>
      </c>
      <c r="F190" s="10" t="str">
        <f ca="1">+WORLDCUP!BD61</f>
        <v>Australia</v>
      </c>
      <c r="G190" s="10" t="str">
        <f ca="1">+WORLDCUP!BD58</f>
        <v>PO D: DEN/MKD/CZE/IRL</v>
      </c>
      <c r="H190" s="10" t="str">
        <f ca="1">+WORLDCUP!BD63</f>
        <v>Japón</v>
      </c>
      <c r="I190" s="10" t="str">
        <f ca="1">+WORLDCUP!BD69</f>
        <v>Ghana</v>
      </c>
      <c r="J190" s="10" t="str">
        <f ca="1">+WORLDCUP!BD68</f>
        <v>PO 1: COD/JAM/NCL</v>
      </c>
      <c r="N190" s="19" t="s">
        <v>1060</v>
      </c>
      <c r="O190" s="19">
        <v>189</v>
      </c>
      <c r="P190" s="19" t="s">
        <v>453</v>
      </c>
      <c r="Q190" s="19" t="s">
        <v>95</v>
      </c>
      <c r="R190" s="19" t="s">
        <v>457</v>
      </c>
      <c r="S190" s="19" t="s">
        <v>94</v>
      </c>
      <c r="T190" s="19" t="s">
        <v>91</v>
      </c>
      <c r="U190" s="19" t="s">
        <v>96</v>
      </c>
      <c r="V190" s="19" t="s">
        <v>460</v>
      </c>
      <c r="W190" s="19" t="s">
        <v>459</v>
      </c>
    </row>
    <row r="191" spans="1:23">
      <c r="A191" s="10" t="s">
        <v>1059</v>
      </c>
      <c r="B191" s="10">
        <f ca="1">+IF(A191=WORLDCUP!$BI$112,1,0)</f>
        <v>0</v>
      </c>
      <c r="C191" s="10" t="str">
        <f ca="1">+WORLDCUP!BD65</f>
        <v>Arabia Saudita</v>
      </c>
      <c r="D191" s="10" t="str">
        <f ca="1">+WORLDCUP!BD67</f>
        <v>Argelia</v>
      </c>
      <c r="E191" s="10" t="str">
        <f ca="1">+WORLDCUP!BD62</f>
        <v>Curazao</v>
      </c>
      <c r="F191" s="10" t="str">
        <f ca="1">+WORLDCUP!BD61</f>
        <v>Australia</v>
      </c>
      <c r="G191" s="10" t="str">
        <f ca="1">+WORLDCUP!BD58</f>
        <v>PO D: DEN/MKD/CZE/IRL</v>
      </c>
      <c r="H191" s="10" t="str">
        <f ca="1">+WORLDCUP!BD63</f>
        <v>Japón</v>
      </c>
      <c r="I191" s="10" t="str">
        <f ca="1">+WORLDCUP!BD69</f>
        <v>Ghana</v>
      </c>
      <c r="J191" s="10" t="str">
        <f ca="1">+WORLDCUP!BD66</f>
        <v>Noruega</v>
      </c>
      <c r="N191" s="19" t="s">
        <v>1059</v>
      </c>
      <c r="O191" s="19">
        <v>190</v>
      </c>
      <c r="P191" s="19" t="s">
        <v>453</v>
      </c>
      <c r="Q191" s="19" t="s">
        <v>458</v>
      </c>
      <c r="R191" s="19" t="s">
        <v>95</v>
      </c>
      <c r="S191" s="19" t="s">
        <v>94</v>
      </c>
      <c r="T191" s="19" t="s">
        <v>91</v>
      </c>
      <c r="U191" s="19" t="s">
        <v>96</v>
      </c>
      <c r="V191" s="19" t="s">
        <v>460</v>
      </c>
      <c r="W191" s="19" t="s">
        <v>457</v>
      </c>
    </row>
    <row r="192" spans="1:23">
      <c r="A192" s="10" t="s">
        <v>1058</v>
      </c>
      <c r="B192" s="10">
        <f ca="1">+IF(A192=WORLDCUP!$BI$112,1,0)</f>
        <v>0</v>
      </c>
      <c r="C192" s="10" t="str">
        <f ca="1">+WORLDCUP!BD65</f>
        <v>Arabia Saudita</v>
      </c>
      <c r="D192" s="10" t="str">
        <f ca="1">+WORLDCUP!BD67</f>
        <v>Argelia</v>
      </c>
      <c r="E192" s="10" t="str">
        <f ca="1">+WORLDCUP!BD62</f>
        <v>Curazao</v>
      </c>
      <c r="F192" s="10" t="str">
        <f ca="1">+WORLDCUP!BD61</f>
        <v>Australia</v>
      </c>
      <c r="G192" s="10" t="str">
        <f ca="1">+WORLDCUP!BD58</f>
        <v>PO D: DEN/MKD/CZE/IRL</v>
      </c>
      <c r="H192" s="10" t="str">
        <f ca="1">+WORLDCUP!BD63</f>
        <v>Japón</v>
      </c>
      <c r="I192" s="10" t="str">
        <f ca="1">+WORLDCUP!BD66</f>
        <v>Noruega</v>
      </c>
      <c r="J192" s="10" t="str">
        <f ca="1">+WORLDCUP!BD68</f>
        <v>PO 1: COD/JAM/NCL</v>
      </c>
      <c r="N192" s="19" t="s">
        <v>1058</v>
      </c>
      <c r="O192" s="19">
        <v>191</v>
      </c>
      <c r="P192" s="19" t="s">
        <v>453</v>
      </c>
      <c r="Q192" s="19" t="s">
        <v>458</v>
      </c>
      <c r="R192" s="19" t="s">
        <v>95</v>
      </c>
      <c r="S192" s="19" t="s">
        <v>94</v>
      </c>
      <c r="T192" s="19" t="s">
        <v>91</v>
      </c>
      <c r="U192" s="19" t="s">
        <v>96</v>
      </c>
      <c r="V192" s="19" t="s">
        <v>457</v>
      </c>
      <c r="W192" s="19" t="s">
        <v>459</v>
      </c>
    </row>
    <row r="193" spans="1:23">
      <c r="A193" s="10" t="s">
        <v>1057</v>
      </c>
      <c r="B193" s="10">
        <f ca="1">+IF(A193=WORLDCUP!$BI$112,1,0)</f>
        <v>0</v>
      </c>
      <c r="C193" s="10" t="str">
        <f ca="1">+WORLDCUP!BD62</f>
        <v>Curazao</v>
      </c>
      <c r="D193" s="10" t="str">
        <f ca="1">+WORLDCUP!BD64</f>
        <v>Egipto</v>
      </c>
      <c r="E193" s="10" t="str">
        <f ca="1">+WORLDCUP!BD67</f>
        <v>Argelia</v>
      </c>
      <c r="F193" s="10" t="str">
        <f ca="1">+WORLDCUP!BD61</f>
        <v>Australia</v>
      </c>
      <c r="G193" s="10" t="str">
        <f ca="1">+WORLDCUP!BD58</f>
        <v>PO D: DEN/MKD/CZE/IRL</v>
      </c>
      <c r="H193" s="10" t="str">
        <f ca="1">+WORLDCUP!BD63</f>
        <v>Japón</v>
      </c>
      <c r="I193" s="10" t="str">
        <f ca="1">+WORLDCUP!BD69</f>
        <v>Ghana</v>
      </c>
      <c r="J193" s="10" t="str">
        <f ca="1">+WORLDCUP!BD68</f>
        <v>PO 1: COD/JAM/NCL</v>
      </c>
      <c r="N193" s="19" t="s">
        <v>1057</v>
      </c>
      <c r="O193" s="19">
        <v>192</v>
      </c>
      <c r="P193" s="19" t="s">
        <v>95</v>
      </c>
      <c r="Q193" s="19" t="s">
        <v>452</v>
      </c>
      <c r="R193" s="19" t="s">
        <v>458</v>
      </c>
      <c r="S193" s="19" t="s">
        <v>94</v>
      </c>
      <c r="T193" s="19" t="s">
        <v>91</v>
      </c>
      <c r="U193" s="19" t="s">
        <v>96</v>
      </c>
      <c r="V193" s="19" t="s">
        <v>460</v>
      </c>
      <c r="W193" s="19" t="s">
        <v>459</v>
      </c>
    </row>
    <row r="194" spans="1:23">
      <c r="A194" s="10" t="s">
        <v>1056</v>
      </c>
      <c r="B194" s="10">
        <f ca="1">+IF(A194=WORLDCUP!$BI$112,1,0)</f>
        <v>0</v>
      </c>
      <c r="C194" s="10" t="str">
        <f ca="1">+WORLDCUP!BD62</f>
        <v>Curazao</v>
      </c>
      <c r="D194" s="10" t="str">
        <f ca="1">+WORLDCUP!BD64</f>
        <v>Egipto</v>
      </c>
      <c r="E194" s="10" t="str">
        <f ca="1">+WORLDCUP!BD66</f>
        <v>Noruega</v>
      </c>
      <c r="F194" s="10" t="str">
        <f ca="1">+WORLDCUP!BD61</f>
        <v>Australia</v>
      </c>
      <c r="G194" s="10" t="str">
        <f ca="1">+WORLDCUP!BD58</f>
        <v>PO D: DEN/MKD/CZE/IRL</v>
      </c>
      <c r="H194" s="10" t="str">
        <f ca="1">+WORLDCUP!BD63</f>
        <v>Japón</v>
      </c>
      <c r="I194" s="10" t="str">
        <f ca="1">+WORLDCUP!BD69</f>
        <v>Ghana</v>
      </c>
      <c r="J194" s="10" t="str">
        <f ca="1">+WORLDCUP!BD68</f>
        <v>PO 1: COD/JAM/NCL</v>
      </c>
      <c r="N194" s="19" t="s">
        <v>1056</v>
      </c>
      <c r="O194" s="19">
        <v>193</v>
      </c>
      <c r="P194" s="19" t="s">
        <v>95</v>
      </c>
      <c r="Q194" s="19" t="s">
        <v>452</v>
      </c>
      <c r="R194" s="19" t="s">
        <v>457</v>
      </c>
      <c r="S194" s="19" t="s">
        <v>94</v>
      </c>
      <c r="T194" s="19" t="s">
        <v>91</v>
      </c>
      <c r="U194" s="19" t="s">
        <v>96</v>
      </c>
      <c r="V194" s="19" t="s">
        <v>460</v>
      </c>
      <c r="W194" s="19" t="s">
        <v>459</v>
      </c>
    </row>
    <row r="195" spans="1:23">
      <c r="A195" s="10" t="s">
        <v>1055</v>
      </c>
      <c r="B195" s="10">
        <f ca="1">+IF(A195=WORLDCUP!$BI$112,1,0)</f>
        <v>0</v>
      </c>
      <c r="C195" s="10" t="str">
        <f ca="1">+WORLDCUP!BD62</f>
        <v>Curazao</v>
      </c>
      <c r="D195" s="10" t="str">
        <f ca="1">+WORLDCUP!BD64</f>
        <v>Egipto</v>
      </c>
      <c r="E195" s="10" t="str">
        <f ca="1">+WORLDCUP!BD67</f>
        <v>Argelia</v>
      </c>
      <c r="F195" s="10" t="str">
        <f ca="1">+WORLDCUP!BD61</f>
        <v>Australia</v>
      </c>
      <c r="G195" s="10" t="str">
        <f ca="1">+WORLDCUP!BD58</f>
        <v>PO D: DEN/MKD/CZE/IRL</v>
      </c>
      <c r="H195" s="10" t="str">
        <f ca="1">+WORLDCUP!BD63</f>
        <v>Japón</v>
      </c>
      <c r="I195" s="10" t="str">
        <f ca="1">+WORLDCUP!BD69</f>
        <v>Ghana</v>
      </c>
      <c r="J195" s="10" t="str">
        <f ca="1">+WORLDCUP!BD66</f>
        <v>Noruega</v>
      </c>
      <c r="N195" s="19" t="s">
        <v>1055</v>
      </c>
      <c r="O195" s="19">
        <v>194</v>
      </c>
      <c r="P195" s="19" t="s">
        <v>95</v>
      </c>
      <c r="Q195" s="19" t="s">
        <v>452</v>
      </c>
      <c r="R195" s="19" t="s">
        <v>458</v>
      </c>
      <c r="S195" s="19" t="s">
        <v>94</v>
      </c>
      <c r="T195" s="19" t="s">
        <v>91</v>
      </c>
      <c r="U195" s="19" t="s">
        <v>96</v>
      </c>
      <c r="V195" s="19" t="s">
        <v>460</v>
      </c>
      <c r="W195" s="19" t="s">
        <v>457</v>
      </c>
    </row>
    <row r="196" spans="1:23">
      <c r="A196" s="10" t="s">
        <v>1054</v>
      </c>
      <c r="B196" s="10">
        <f ca="1">+IF(A196=WORLDCUP!$BI$112,1,0)</f>
        <v>0</v>
      </c>
      <c r="C196" s="10" t="str">
        <f ca="1">+WORLDCUP!BD62</f>
        <v>Curazao</v>
      </c>
      <c r="D196" s="10" t="str">
        <f ca="1">+WORLDCUP!BD64</f>
        <v>Egipto</v>
      </c>
      <c r="E196" s="10" t="str">
        <f ca="1">+WORLDCUP!BD67</f>
        <v>Argelia</v>
      </c>
      <c r="F196" s="10" t="str">
        <f ca="1">+WORLDCUP!BD61</f>
        <v>Australia</v>
      </c>
      <c r="G196" s="10" t="str">
        <f ca="1">+WORLDCUP!BD58</f>
        <v>PO D: DEN/MKD/CZE/IRL</v>
      </c>
      <c r="H196" s="10" t="str">
        <f ca="1">+WORLDCUP!BD63</f>
        <v>Japón</v>
      </c>
      <c r="I196" s="10" t="str">
        <f ca="1">+WORLDCUP!BD66</f>
        <v>Noruega</v>
      </c>
      <c r="J196" s="10" t="str">
        <f ca="1">+WORLDCUP!BD68</f>
        <v>PO 1: COD/JAM/NCL</v>
      </c>
      <c r="N196" s="19" t="s">
        <v>1054</v>
      </c>
      <c r="O196" s="19">
        <v>195</v>
      </c>
      <c r="P196" s="19" t="s">
        <v>95</v>
      </c>
      <c r="Q196" s="19" t="s">
        <v>452</v>
      </c>
      <c r="R196" s="19" t="s">
        <v>458</v>
      </c>
      <c r="S196" s="19" t="s">
        <v>94</v>
      </c>
      <c r="T196" s="19" t="s">
        <v>91</v>
      </c>
      <c r="U196" s="19" t="s">
        <v>96</v>
      </c>
      <c r="V196" s="19" t="s">
        <v>457</v>
      </c>
      <c r="W196" s="19" t="s">
        <v>459</v>
      </c>
    </row>
    <row r="197" spans="1:23">
      <c r="A197" s="10" t="s">
        <v>611</v>
      </c>
      <c r="B197" s="10">
        <f ca="1">+IF(A197=WORLDCUP!$BI$112,1,0)</f>
        <v>0</v>
      </c>
      <c r="C197" s="10" t="str">
        <f ca="1">+WORLDCUP!BD65</f>
        <v>Arabia Saudita</v>
      </c>
      <c r="D197" s="10" t="str">
        <f ca="1">+WORLDCUP!BD64</f>
        <v>Egipto</v>
      </c>
      <c r="E197" s="10" t="str">
        <f ca="1">+WORLDCUP!BD62</f>
        <v>Curazao</v>
      </c>
      <c r="F197" s="10" t="str">
        <f ca="1">+WORLDCUP!BD61</f>
        <v>Australia</v>
      </c>
      <c r="G197" s="10" t="str">
        <f ca="1">+WORLDCUP!BD58</f>
        <v>PO D: DEN/MKD/CZE/IRL</v>
      </c>
      <c r="H197" s="10" t="str">
        <f ca="1">+WORLDCUP!BD63</f>
        <v>Japón</v>
      </c>
      <c r="I197" s="10" t="str">
        <f ca="1">+WORLDCUP!BD69</f>
        <v>Ghana</v>
      </c>
      <c r="J197" s="10" t="str">
        <f ca="1">+WORLDCUP!BD68</f>
        <v>PO 1: COD/JAM/NCL</v>
      </c>
      <c r="N197" s="19" t="s">
        <v>611</v>
      </c>
      <c r="O197" s="19">
        <v>196</v>
      </c>
      <c r="P197" s="19" t="s">
        <v>453</v>
      </c>
      <c r="Q197" s="19" t="s">
        <v>452</v>
      </c>
      <c r="R197" s="19" t="s">
        <v>95</v>
      </c>
      <c r="S197" s="19" t="s">
        <v>94</v>
      </c>
      <c r="T197" s="19" t="s">
        <v>91</v>
      </c>
      <c r="U197" s="19" t="s">
        <v>96</v>
      </c>
      <c r="V197" s="19" t="s">
        <v>460</v>
      </c>
      <c r="W197" s="19" t="s">
        <v>459</v>
      </c>
    </row>
    <row r="198" spans="1:23">
      <c r="A198" s="10" t="s">
        <v>610</v>
      </c>
      <c r="B198" s="10">
        <f ca="1">+IF(A198=WORLDCUP!$BI$112,1,0)</f>
        <v>0</v>
      </c>
      <c r="C198" s="10" t="str">
        <f ca="1">+WORLDCUP!BD65</f>
        <v>Arabia Saudita</v>
      </c>
      <c r="D198" s="10" t="str">
        <f ca="1">+WORLDCUP!BD64</f>
        <v>Egipto</v>
      </c>
      <c r="E198" s="10" t="str">
        <f ca="1">+WORLDCUP!BD67</f>
        <v>Argelia</v>
      </c>
      <c r="F198" s="10" t="str">
        <f ca="1">+WORLDCUP!BD61</f>
        <v>Australia</v>
      </c>
      <c r="G198" s="10" t="str">
        <f ca="1">+WORLDCUP!BD58</f>
        <v>PO D: DEN/MKD/CZE/IRL</v>
      </c>
      <c r="H198" s="10" t="str">
        <f ca="1">+WORLDCUP!BD63</f>
        <v>Japón</v>
      </c>
      <c r="I198" s="10" t="str">
        <f ca="1">+WORLDCUP!BD69</f>
        <v>Ghana</v>
      </c>
      <c r="J198" s="10" t="str">
        <f ca="1">+WORLDCUP!BD62</f>
        <v>Curazao</v>
      </c>
      <c r="N198" s="19" t="s">
        <v>610</v>
      </c>
      <c r="O198" s="19">
        <v>197</v>
      </c>
      <c r="P198" s="19" t="s">
        <v>453</v>
      </c>
      <c r="Q198" s="19" t="s">
        <v>452</v>
      </c>
      <c r="R198" s="19" t="s">
        <v>458</v>
      </c>
      <c r="S198" s="19" t="s">
        <v>94</v>
      </c>
      <c r="T198" s="19" t="s">
        <v>91</v>
      </c>
      <c r="U198" s="19" t="s">
        <v>96</v>
      </c>
      <c r="V198" s="19" t="s">
        <v>460</v>
      </c>
      <c r="W198" s="19" t="s">
        <v>95</v>
      </c>
    </row>
    <row r="199" spans="1:23">
      <c r="A199" s="10" t="s">
        <v>609</v>
      </c>
      <c r="B199" s="10">
        <f ca="1">+IF(A199=WORLDCUP!$BI$112,1,0)</f>
        <v>0</v>
      </c>
      <c r="C199" s="10" t="str">
        <f ca="1">+WORLDCUP!BD65</f>
        <v>Arabia Saudita</v>
      </c>
      <c r="D199" s="10" t="str">
        <f ca="1">+WORLDCUP!BD64</f>
        <v>Egipto</v>
      </c>
      <c r="E199" s="10" t="str">
        <f ca="1">+WORLDCUP!BD67</f>
        <v>Argelia</v>
      </c>
      <c r="F199" s="10" t="str">
        <f ca="1">+WORLDCUP!BD61</f>
        <v>Australia</v>
      </c>
      <c r="G199" s="10" t="str">
        <f ca="1">+WORLDCUP!BD58</f>
        <v>PO D: DEN/MKD/CZE/IRL</v>
      </c>
      <c r="H199" s="10" t="str">
        <f ca="1">+WORLDCUP!BD63</f>
        <v>Japón</v>
      </c>
      <c r="I199" s="10" t="str">
        <f ca="1">+WORLDCUP!BD62</f>
        <v>Curazao</v>
      </c>
      <c r="J199" s="10" t="str">
        <f ca="1">+WORLDCUP!BD68</f>
        <v>PO 1: COD/JAM/NCL</v>
      </c>
      <c r="N199" s="19" t="s">
        <v>609</v>
      </c>
      <c r="O199" s="19">
        <v>198</v>
      </c>
      <c r="P199" s="19" t="s">
        <v>453</v>
      </c>
      <c r="Q199" s="19" t="s">
        <v>452</v>
      </c>
      <c r="R199" s="19" t="s">
        <v>458</v>
      </c>
      <c r="S199" s="19" t="s">
        <v>94</v>
      </c>
      <c r="T199" s="19" t="s">
        <v>91</v>
      </c>
      <c r="U199" s="19" t="s">
        <v>96</v>
      </c>
      <c r="V199" s="19" t="s">
        <v>95</v>
      </c>
      <c r="W199" s="19" t="s">
        <v>459</v>
      </c>
    </row>
    <row r="200" spans="1:23">
      <c r="A200" s="10" t="s">
        <v>608</v>
      </c>
      <c r="B200" s="10">
        <f ca="1">+IF(A200=WORLDCUP!$BI$112,1,0)</f>
        <v>0</v>
      </c>
      <c r="C200" s="10" t="str">
        <f ca="1">+WORLDCUP!BD65</f>
        <v>Arabia Saudita</v>
      </c>
      <c r="D200" s="10" t="str">
        <f ca="1">+WORLDCUP!BD64</f>
        <v>Egipto</v>
      </c>
      <c r="E200" s="10" t="str">
        <f ca="1">+WORLDCUP!BD62</f>
        <v>Curazao</v>
      </c>
      <c r="F200" s="10" t="str">
        <f ca="1">+WORLDCUP!BD61</f>
        <v>Australia</v>
      </c>
      <c r="G200" s="10" t="str">
        <f ca="1">+WORLDCUP!BD58</f>
        <v>PO D: DEN/MKD/CZE/IRL</v>
      </c>
      <c r="H200" s="10" t="str">
        <f ca="1">+WORLDCUP!BD63</f>
        <v>Japón</v>
      </c>
      <c r="I200" s="10" t="str">
        <f ca="1">+WORLDCUP!BD69</f>
        <v>Ghana</v>
      </c>
      <c r="J200" s="10" t="str">
        <f ca="1">+WORLDCUP!BD66</f>
        <v>Noruega</v>
      </c>
      <c r="N200" s="19" t="s">
        <v>608</v>
      </c>
      <c r="O200" s="19">
        <v>199</v>
      </c>
      <c r="P200" s="19" t="s">
        <v>453</v>
      </c>
      <c r="Q200" s="19" t="s">
        <v>452</v>
      </c>
      <c r="R200" s="19" t="s">
        <v>95</v>
      </c>
      <c r="S200" s="19" t="s">
        <v>94</v>
      </c>
      <c r="T200" s="19" t="s">
        <v>91</v>
      </c>
      <c r="U200" s="19" t="s">
        <v>96</v>
      </c>
      <c r="V200" s="19" t="s">
        <v>460</v>
      </c>
      <c r="W200" s="19" t="s">
        <v>457</v>
      </c>
    </row>
    <row r="201" spans="1:23">
      <c r="A201" s="10" t="s">
        <v>607</v>
      </c>
      <c r="B201" s="10">
        <f ca="1">+IF(A201=WORLDCUP!$BI$112,1,0)</f>
        <v>0</v>
      </c>
      <c r="C201" s="10" t="str">
        <f ca="1">+WORLDCUP!BD65</f>
        <v>Arabia Saudita</v>
      </c>
      <c r="D201" s="10" t="str">
        <f ca="1">+WORLDCUP!BD64</f>
        <v>Egipto</v>
      </c>
      <c r="E201" s="10" t="str">
        <f ca="1">+WORLDCUP!BD62</f>
        <v>Curazao</v>
      </c>
      <c r="F201" s="10" t="str">
        <f ca="1">+WORLDCUP!BD61</f>
        <v>Australia</v>
      </c>
      <c r="G201" s="10" t="str">
        <f ca="1">+WORLDCUP!BD58</f>
        <v>PO D: DEN/MKD/CZE/IRL</v>
      </c>
      <c r="H201" s="10" t="str">
        <f ca="1">+WORLDCUP!BD63</f>
        <v>Japón</v>
      </c>
      <c r="I201" s="10" t="str">
        <f ca="1">+WORLDCUP!BD66</f>
        <v>Noruega</v>
      </c>
      <c r="J201" s="10" t="str">
        <f ca="1">+WORLDCUP!BD68</f>
        <v>PO 1: COD/JAM/NCL</v>
      </c>
      <c r="N201" s="19" t="s">
        <v>607</v>
      </c>
      <c r="O201" s="19">
        <v>200</v>
      </c>
      <c r="P201" s="19" t="s">
        <v>453</v>
      </c>
      <c r="Q201" s="19" t="s">
        <v>452</v>
      </c>
      <c r="R201" s="19" t="s">
        <v>95</v>
      </c>
      <c r="S201" s="19" t="s">
        <v>94</v>
      </c>
      <c r="T201" s="19" t="s">
        <v>91</v>
      </c>
      <c r="U201" s="19" t="s">
        <v>96</v>
      </c>
      <c r="V201" s="19" t="s">
        <v>457</v>
      </c>
      <c r="W201" s="19" t="s">
        <v>459</v>
      </c>
    </row>
    <row r="202" spans="1:23">
      <c r="A202" s="10" t="s">
        <v>606</v>
      </c>
      <c r="B202" s="10">
        <f ca="1">+IF(A202=WORLDCUP!$BI$112,1,0)</f>
        <v>0</v>
      </c>
      <c r="C202" s="10" t="str">
        <f ca="1">+WORLDCUP!BD65</f>
        <v>Arabia Saudita</v>
      </c>
      <c r="D202" s="10" t="str">
        <f ca="1">+WORLDCUP!BD64</f>
        <v>Egipto</v>
      </c>
      <c r="E202" s="10" t="str">
        <f ca="1">+WORLDCUP!BD67</f>
        <v>Argelia</v>
      </c>
      <c r="F202" s="10" t="str">
        <f ca="1">+WORLDCUP!BD61</f>
        <v>Australia</v>
      </c>
      <c r="G202" s="10" t="str">
        <f ca="1">+WORLDCUP!BD58</f>
        <v>PO D: DEN/MKD/CZE/IRL</v>
      </c>
      <c r="H202" s="10" t="str">
        <f ca="1">+WORLDCUP!BD63</f>
        <v>Japón</v>
      </c>
      <c r="I202" s="10" t="str">
        <f ca="1">+WORLDCUP!BD62</f>
        <v>Curazao</v>
      </c>
      <c r="J202" s="10" t="str">
        <f ca="1">+WORLDCUP!BD66</f>
        <v>Noruega</v>
      </c>
      <c r="N202" s="19" t="s">
        <v>606</v>
      </c>
      <c r="O202" s="19">
        <v>201</v>
      </c>
      <c r="P202" s="19" t="s">
        <v>453</v>
      </c>
      <c r="Q202" s="19" t="s">
        <v>452</v>
      </c>
      <c r="R202" s="19" t="s">
        <v>458</v>
      </c>
      <c r="S202" s="19" t="s">
        <v>94</v>
      </c>
      <c r="T202" s="19" t="s">
        <v>91</v>
      </c>
      <c r="U202" s="19" t="s">
        <v>96</v>
      </c>
      <c r="V202" s="19" t="s">
        <v>95</v>
      </c>
      <c r="W202" s="19" t="s">
        <v>457</v>
      </c>
    </row>
    <row r="203" spans="1:23">
      <c r="A203" s="10" t="s">
        <v>1053</v>
      </c>
      <c r="B203" s="10">
        <f ca="1">+IF(A203=WORLDCUP!$BI$112,1,0)</f>
        <v>0</v>
      </c>
      <c r="C203" s="10" t="str">
        <f ca="1">+WORLDCUP!BD65</f>
        <v>Arabia Saudita</v>
      </c>
      <c r="D203" s="10" t="str">
        <f ca="1">+WORLDCUP!BD67</f>
        <v>Argelia</v>
      </c>
      <c r="E203" s="10" t="str">
        <f ca="1">+WORLDCUP!BD66</f>
        <v>Noruega</v>
      </c>
      <c r="F203" s="10" t="str">
        <f ca="1">+WORLDCUP!BD60</f>
        <v>Escocia</v>
      </c>
      <c r="G203" s="10" t="str">
        <f ca="1">+WORLDCUP!BD58</f>
        <v>PO D: DEN/MKD/CZE/IRL</v>
      </c>
      <c r="H203" s="10" t="str">
        <f ca="1">+WORLDCUP!BD64</f>
        <v>Egipto</v>
      </c>
      <c r="I203" s="10" t="str">
        <f ca="1">+WORLDCUP!BD69</f>
        <v>Ghana</v>
      </c>
      <c r="J203" s="10" t="str">
        <f ca="1">+WORLDCUP!BD68</f>
        <v>PO 1: COD/JAM/NCL</v>
      </c>
      <c r="N203" s="19" t="s">
        <v>1053</v>
      </c>
      <c r="O203" s="19">
        <v>202</v>
      </c>
      <c r="P203" s="19" t="s">
        <v>453</v>
      </c>
      <c r="Q203" s="19" t="s">
        <v>458</v>
      </c>
      <c r="R203" s="19" t="s">
        <v>457</v>
      </c>
      <c r="S203" s="19" t="s">
        <v>93</v>
      </c>
      <c r="T203" s="19" t="s">
        <v>91</v>
      </c>
      <c r="U203" s="19" t="s">
        <v>452</v>
      </c>
      <c r="V203" s="19" t="s">
        <v>460</v>
      </c>
      <c r="W203" s="19" t="s">
        <v>459</v>
      </c>
    </row>
    <row r="204" spans="1:23">
      <c r="A204" s="10" t="s">
        <v>1052</v>
      </c>
      <c r="B204" s="10">
        <f ca="1">+IF(A204=WORLDCUP!$BI$112,1,0)</f>
        <v>0</v>
      </c>
      <c r="C204" s="10" t="str">
        <f ca="1">+WORLDCUP!BD65</f>
        <v>Arabia Saudita</v>
      </c>
      <c r="D204" s="10" t="str">
        <f ca="1">+WORLDCUP!BD67</f>
        <v>Argelia</v>
      </c>
      <c r="E204" s="10" t="str">
        <f ca="1">+WORLDCUP!BD66</f>
        <v>Noruega</v>
      </c>
      <c r="F204" s="10" t="str">
        <f ca="1">+WORLDCUP!BD60</f>
        <v>Escocia</v>
      </c>
      <c r="G204" s="10" t="str">
        <f ca="1">+WORLDCUP!BD58</f>
        <v>PO D: DEN/MKD/CZE/IRL</v>
      </c>
      <c r="H204" s="10" t="str">
        <f ca="1">+WORLDCUP!BD63</f>
        <v>Japón</v>
      </c>
      <c r="I204" s="10" t="str">
        <f ca="1">+WORLDCUP!BD69</f>
        <v>Ghana</v>
      </c>
      <c r="J204" s="10" t="str">
        <f ca="1">+WORLDCUP!BD68</f>
        <v>PO 1: COD/JAM/NCL</v>
      </c>
      <c r="N204" s="19" t="s">
        <v>1052</v>
      </c>
      <c r="O204" s="19">
        <v>203</v>
      </c>
      <c r="P204" s="19" t="s">
        <v>453</v>
      </c>
      <c r="Q204" s="19" t="s">
        <v>458</v>
      </c>
      <c r="R204" s="19" t="s">
        <v>457</v>
      </c>
      <c r="S204" s="19" t="s">
        <v>93</v>
      </c>
      <c r="T204" s="19" t="s">
        <v>91</v>
      </c>
      <c r="U204" s="19" t="s">
        <v>96</v>
      </c>
      <c r="V204" s="19" t="s">
        <v>460</v>
      </c>
      <c r="W204" s="19" t="s">
        <v>459</v>
      </c>
    </row>
    <row r="205" spans="1:23">
      <c r="A205" s="10" t="s">
        <v>1051</v>
      </c>
      <c r="B205" s="10">
        <f ca="1">+IF(A205=WORLDCUP!$BI$112,1,0)</f>
        <v>0</v>
      </c>
      <c r="C205" s="10" t="str">
        <f ca="1">+WORLDCUP!BD66</f>
        <v>Noruega</v>
      </c>
      <c r="D205" s="10" t="str">
        <f ca="1">+WORLDCUP!BD64</f>
        <v>Egipto</v>
      </c>
      <c r="E205" s="10" t="str">
        <f ca="1">+WORLDCUP!BD67</f>
        <v>Argelia</v>
      </c>
      <c r="F205" s="10" t="str">
        <f ca="1">+WORLDCUP!BD60</f>
        <v>Escocia</v>
      </c>
      <c r="G205" s="10" t="str">
        <f ca="1">+WORLDCUP!BD58</f>
        <v>PO D: DEN/MKD/CZE/IRL</v>
      </c>
      <c r="H205" s="10" t="str">
        <f ca="1">+WORLDCUP!BD63</f>
        <v>Japón</v>
      </c>
      <c r="I205" s="10" t="str">
        <f ca="1">+WORLDCUP!BD69</f>
        <v>Ghana</v>
      </c>
      <c r="J205" s="10" t="str">
        <f ca="1">+WORLDCUP!BD68</f>
        <v>PO 1: COD/JAM/NCL</v>
      </c>
      <c r="N205" s="19" t="s">
        <v>1051</v>
      </c>
      <c r="O205" s="19">
        <v>204</v>
      </c>
      <c r="P205" s="19" t="s">
        <v>457</v>
      </c>
      <c r="Q205" s="19" t="s">
        <v>452</v>
      </c>
      <c r="R205" s="19" t="s">
        <v>458</v>
      </c>
      <c r="S205" s="19" t="s">
        <v>93</v>
      </c>
      <c r="T205" s="19" t="s">
        <v>91</v>
      </c>
      <c r="U205" s="19" t="s">
        <v>96</v>
      </c>
      <c r="V205" s="19" t="s">
        <v>460</v>
      </c>
      <c r="W205" s="19" t="s">
        <v>459</v>
      </c>
    </row>
    <row r="206" spans="1:23">
      <c r="A206" s="10" t="s">
        <v>1050</v>
      </c>
      <c r="B206" s="10">
        <f ca="1">+IF(A206=WORLDCUP!$BI$112,1,0)</f>
        <v>0</v>
      </c>
      <c r="C206" s="10" t="str">
        <f ca="1">+WORLDCUP!BD65</f>
        <v>Arabia Saudita</v>
      </c>
      <c r="D206" s="10" t="str">
        <f ca="1">+WORLDCUP!BD64</f>
        <v>Egipto</v>
      </c>
      <c r="E206" s="10" t="str">
        <f ca="1">+WORLDCUP!BD67</f>
        <v>Argelia</v>
      </c>
      <c r="F206" s="10" t="str">
        <f ca="1">+WORLDCUP!BD60</f>
        <v>Escocia</v>
      </c>
      <c r="G206" s="10" t="str">
        <f ca="1">+WORLDCUP!BD58</f>
        <v>PO D: DEN/MKD/CZE/IRL</v>
      </c>
      <c r="H206" s="10" t="str">
        <f ca="1">+WORLDCUP!BD63</f>
        <v>Japón</v>
      </c>
      <c r="I206" s="10" t="str">
        <f ca="1">+WORLDCUP!BD69</f>
        <v>Ghana</v>
      </c>
      <c r="J206" s="10" t="str">
        <f ca="1">+WORLDCUP!BD68</f>
        <v>PO 1: COD/JAM/NCL</v>
      </c>
      <c r="N206" s="19" t="s">
        <v>1050</v>
      </c>
      <c r="O206" s="19">
        <v>205</v>
      </c>
      <c r="P206" s="19" t="s">
        <v>453</v>
      </c>
      <c r="Q206" s="19" t="s">
        <v>452</v>
      </c>
      <c r="R206" s="19" t="s">
        <v>458</v>
      </c>
      <c r="S206" s="19" t="s">
        <v>93</v>
      </c>
      <c r="T206" s="19" t="s">
        <v>91</v>
      </c>
      <c r="U206" s="19" t="s">
        <v>96</v>
      </c>
      <c r="V206" s="19" t="s">
        <v>460</v>
      </c>
      <c r="W206" s="19" t="s">
        <v>459</v>
      </c>
    </row>
    <row r="207" spans="1:23">
      <c r="A207" s="10" t="s">
        <v>1049</v>
      </c>
      <c r="B207" s="10">
        <f ca="1">+IF(A207=WORLDCUP!$BI$112,1,0)</f>
        <v>0</v>
      </c>
      <c r="C207" s="10" t="str">
        <f ca="1">+WORLDCUP!BD65</f>
        <v>Arabia Saudita</v>
      </c>
      <c r="D207" s="10" t="str">
        <f ca="1">+WORLDCUP!BD64</f>
        <v>Egipto</v>
      </c>
      <c r="E207" s="10" t="str">
        <f ca="1">+WORLDCUP!BD66</f>
        <v>Noruega</v>
      </c>
      <c r="F207" s="10" t="str">
        <f ca="1">+WORLDCUP!BD60</f>
        <v>Escocia</v>
      </c>
      <c r="G207" s="10" t="str">
        <f ca="1">+WORLDCUP!BD58</f>
        <v>PO D: DEN/MKD/CZE/IRL</v>
      </c>
      <c r="H207" s="10" t="str">
        <f ca="1">+WORLDCUP!BD63</f>
        <v>Japón</v>
      </c>
      <c r="I207" s="10" t="str">
        <f ca="1">+WORLDCUP!BD69</f>
        <v>Ghana</v>
      </c>
      <c r="J207" s="10" t="str">
        <f ca="1">+WORLDCUP!BD68</f>
        <v>PO 1: COD/JAM/NCL</v>
      </c>
      <c r="N207" s="19" t="s">
        <v>1049</v>
      </c>
      <c r="O207" s="19">
        <v>206</v>
      </c>
      <c r="P207" s="19" t="s">
        <v>453</v>
      </c>
      <c r="Q207" s="19" t="s">
        <v>452</v>
      </c>
      <c r="R207" s="19" t="s">
        <v>457</v>
      </c>
      <c r="S207" s="19" t="s">
        <v>93</v>
      </c>
      <c r="T207" s="19" t="s">
        <v>91</v>
      </c>
      <c r="U207" s="19" t="s">
        <v>96</v>
      </c>
      <c r="V207" s="19" t="s">
        <v>460</v>
      </c>
      <c r="W207" s="19" t="s">
        <v>459</v>
      </c>
    </row>
    <row r="208" spans="1:23">
      <c r="A208" s="10" t="s">
        <v>1048</v>
      </c>
      <c r="B208" s="10">
        <f ca="1">+IF(A208=WORLDCUP!$BI$112,1,0)</f>
        <v>0</v>
      </c>
      <c r="C208" s="10" t="str">
        <f ca="1">+WORLDCUP!BD65</f>
        <v>Arabia Saudita</v>
      </c>
      <c r="D208" s="10" t="str">
        <f ca="1">+WORLDCUP!BD64</f>
        <v>Egipto</v>
      </c>
      <c r="E208" s="10" t="str">
        <f ca="1">+WORLDCUP!BD67</f>
        <v>Argelia</v>
      </c>
      <c r="F208" s="10" t="str">
        <f ca="1">+WORLDCUP!BD60</f>
        <v>Escocia</v>
      </c>
      <c r="G208" s="10" t="str">
        <f ca="1">+WORLDCUP!BD58</f>
        <v>PO D: DEN/MKD/CZE/IRL</v>
      </c>
      <c r="H208" s="10" t="str">
        <f ca="1">+WORLDCUP!BD63</f>
        <v>Japón</v>
      </c>
      <c r="I208" s="10" t="str">
        <f ca="1">+WORLDCUP!BD69</f>
        <v>Ghana</v>
      </c>
      <c r="J208" s="10" t="str">
        <f ca="1">+WORLDCUP!BD66</f>
        <v>Noruega</v>
      </c>
      <c r="N208" s="19" t="s">
        <v>1048</v>
      </c>
      <c r="O208" s="19">
        <v>207</v>
      </c>
      <c r="P208" s="19" t="s">
        <v>453</v>
      </c>
      <c r="Q208" s="19" t="s">
        <v>452</v>
      </c>
      <c r="R208" s="19" t="s">
        <v>458</v>
      </c>
      <c r="S208" s="19" t="s">
        <v>93</v>
      </c>
      <c r="T208" s="19" t="s">
        <v>91</v>
      </c>
      <c r="U208" s="19" t="s">
        <v>96</v>
      </c>
      <c r="V208" s="19" t="s">
        <v>460</v>
      </c>
      <c r="W208" s="19" t="s">
        <v>457</v>
      </c>
    </row>
    <row r="209" spans="1:23">
      <c r="A209" s="10" t="s">
        <v>1047</v>
      </c>
      <c r="B209" s="10">
        <f ca="1">+IF(A209=WORLDCUP!$BI$112,1,0)</f>
        <v>0</v>
      </c>
      <c r="C209" s="10" t="str">
        <f ca="1">+WORLDCUP!BD65</f>
        <v>Arabia Saudita</v>
      </c>
      <c r="D209" s="10" t="str">
        <f ca="1">+WORLDCUP!BD64</f>
        <v>Egipto</v>
      </c>
      <c r="E209" s="10" t="str">
        <f ca="1">+WORLDCUP!BD67</f>
        <v>Argelia</v>
      </c>
      <c r="F209" s="10" t="str">
        <f ca="1">+WORLDCUP!BD60</f>
        <v>Escocia</v>
      </c>
      <c r="G209" s="10" t="str">
        <f ca="1">+WORLDCUP!BD58</f>
        <v>PO D: DEN/MKD/CZE/IRL</v>
      </c>
      <c r="H209" s="10" t="str">
        <f ca="1">+WORLDCUP!BD63</f>
        <v>Japón</v>
      </c>
      <c r="I209" s="10" t="str">
        <f ca="1">+WORLDCUP!BD66</f>
        <v>Noruega</v>
      </c>
      <c r="J209" s="10" t="str">
        <f ca="1">+WORLDCUP!BD68</f>
        <v>PO 1: COD/JAM/NCL</v>
      </c>
      <c r="N209" s="19" t="s">
        <v>1047</v>
      </c>
      <c r="O209" s="19">
        <v>208</v>
      </c>
      <c r="P209" s="19" t="s">
        <v>453</v>
      </c>
      <c r="Q209" s="19" t="s">
        <v>452</v>
      </c>
      <c r="R209" s="19" t="s">
        <v>458</v>
      </c>
      <c r="S209" s="19" t="s">
        <v>93</v>
      </c>
      <c r="T209" s="19" t="s">
        <v>91</v>
      </c>
      <c r="U209" s="19" t="s">
        <v>96</v>
      </c>
      <c r="V209" s="19" t="s">
        <v>457</v>
      </c>
      <c r="W209" s="19" t="s">
        <v>459</v>
      </c>
    </row>
    <row r="210" spans="1:23">
      <c r="A210" s="10" t="s">
        <v>1046</v>
      </c>
      <c r="B210" s="10">
        <f ca="1">+IF(A210=WORLDCUP!$BI$112,1,0)</f>
        <v>0</v>
      </c>
      <c r="C210" s="10" t="str">
        <f ca="1">+WORLDCUP!BD62</f>
        <v>Curazao</v>
      </c>
      <c r="D210" s="10" t="str">
        <f ca="1">+WORLDCUP!BD67</f>
        <v>Argelia</v>
      </c>
      <c r="E210" s="10" t="str">
        <f ca="1">+WORLDCUP!BD66</f>
        <v>Noruega</v>
      </c>
      <c r="F210" s="10" t="str">
        <f ca="1">+WORLDCUP!BD60</f>
        <v>Escocia</v>
      </c>
      <c r="G210" s="10" t="str">
        <f ca="1">+WORLDCUP!BD58</f>
        <v>PO D: DEN/MKD/CZE/IRL</v>
      </c>
      <c r="H210" s="10" t="str">
        <f ca="1">+WORLDCUP!BD65</f>
        <v>Arabia Saudita</v>
      </c>
      <c r="I210" s="10" t="str">
        <f ca="1">+WORLDCUP!BD69</f>
        <v>Ghana</v>
      </c>
      <c r="J210" s="10" t="str">
        <f ca="1">+WORLDCUP!BD68</f>
        <v>PO 1: COD/JAM/NCL</v>
      </c>
      <c r="N210" s="19" t="s">
        <v>1046</v>
      </c>
      <c r="O210" s="19">
        <v>209</v>
      </c>
      <c r="P210" s="19" t="s">
        <v>95</v>
      </c>
      <c r="Q210" s="19" t="s">
        <v>458</v>
      </c>
      <c r="R210" s="19" t="s">
        <v>457</v>
      </c>
      <c r="S210" s="19" t="s">
        <v>93</v>
      </c>
      <c r="T210" s="19" t="s">
        <v>91</v>
      </c>
      <c r="U210" s="19" t="s">
        <v>453</v>
      </c>
      <c r="V210" s="19" t="s">
        <v>460</v>
      </c>
      <c r="W210" s="19" t="s">
        <v>459</v>
      </c>
    </row>
    <row r="211" spans="1:23">
      <c r="A211" s="10" t="s">
        <v>1045</v>
      </c>
      <c r="B211" s="10">
        <f ca="1">+IF(A211=WORLDCUP!$BI$112,1,0)</f>
        <v>0</v>
      </c>
      <c r="C211" s="10" t="str">
        <f ca="1">+WORLDCUP!BD62</f>
        <v>Curazao</v>
      </c>
      <c r="D211" s="10" t="str">
        <f ca="1">+WORLDCUP!BD67</f>
        <v>Argelia</v>
      </c>
      <c r="E211" s="10" t="str">
        <f ca="1">+WORLDCUP!BD66</f>
        <v>Noruega</v>
      </c>
      <c r="F211" s="10" t="str">
        <f ca="1">+WORLDCUP!BD60</f>
        <v>Escocia</v>
      </c>
      <c r="G211" s="10" t="str">
        <f ca="1">+WORLDCUP!BD58</f>
        <v>PO D: DEN/MKD/CZE/IRL</v>
      </c>
      <c r="H211" s="10" t="str">
        <f ca="1">+WORLDCUP!BD64</f>
        <v>Egipto</v>
      </c>
      <c r="I211" s="10" t="str">
        <f ca="1">+WORLDCUP!BD69</f>
        <v>Ghana</v>
      </c>
      <c r="J211" s="10" t="str">
        <f ca="1">+WORLDCUP!BD68</f>
        <v>PO 1: COD/JAM/NCL</v>
      </c>
      <c r="N211" s="19" t="s">
        <v>1045</v>
      </c>
      <c r="O211" s="19">
        <v>210</v>
      </c>
      <c r="P211" s="19" t="s">
        <v>95</v>
      </c>
      <c r="Q211" s="19" t="s">
        <v>458</v>
      </c>
      <c r="R211" s="19" t="s">
        <v>457</v>
      </c>
      <c r="S211" s="19" t="s">
        <v>93</v>
      </c>
      <c r="T211" s="19" t="s">
        <v>91</v>
      </c>
      <c r="U211" s="19" t="s">
        <v>452</v>
      </c>
      <c r="V211" s="19" t="s">
        <v>460</v>
      </c>
      <c r="W211" s="19" t="s">
        <v>459</v>
      </c>
    </row>
    <row r="212" spans="1:23">
      <c r="A212" s="10" t="s">
        <v>1044</v>
      </c>
      <c r="B212" s="10">
        <f ca="1">+IF(A212=WORLDCUP!$BI$112,1,0)</f>
        <v>0</v>
      </c>
      <c r="C212" s="10" t="str">
        <f ca="1">+WORLDCUP!BD62</f>
        <v>Curazao</v>
      </c>
      <c r="D212" s="10" t="str">
        <f ca="1">+WORLDCUP!BD64</f>
        <v>Egipto</v>
      </c>
      <c r="E212" s="10" t="str">
        <f ca="1">+WORLDCUP!BD67</f>
        <v>Argelia</v>
      </c>
      <c r="F212" s="10" t="str">
        <f ca="1">+WORLDCUP!BD60</f>
        <v>Escocia</v>
      </c>
      <c r="G212" s="10" t="str">
        <f ca="1">+WORLDCUP!BD58</f>
        <v>PO D: DEN/MKD/CZE/IRL</v>
      </c>
      <c r="H212" s="10" t="str">
        <f ca="1">+WORLDCUP!BD65</f>
        <v>Arabia Saudita</v>
      </c>
      <c r="I212" s="10" t="str">
        <f ca="1">+WORLDCUP!BD69</f>
        <v>Ghana</v>
      </c>
      <c r="J212" s="10" t="str">
        <f ca="1">+WORLDCUP!BD68</f>
        <v>PO 1: COD/JAM/NCL</v>
      </c>
      <c r="N212" s="19" t="s">
        <v>1044</v>
      </c>
      <c r="O212" s="19">
        <v>211</v>
      </c>
      <c r="P212" s="19" t="s">
        <v>95</v>
      </c>
      <c r="Q212" s="19" t="s">
        <v>452</v>
      </c>
      <c r="R212" s="19" t="s">
        <v>458</v>
      </c>
      <c r="S212" s="19" t="s">
        <v>93</v>
      </c>
      <c r="T212" s="19" t="s">
        <v>91</v>
      </c>
      <c r="U212" s="19" t="s">
        <v>453</v>
      </c>
      <c r="V212" s="19" t="s">
        <v>460</v>
      </c>
      <c r="W212" s="19" t="s">
        <v>459</v>
      </c>
    </row>
    <row r="213" spans="1:23">
      <c r="A213" s="10" t="s">
        <v>1043</v>
      </c>
      <c r="B213" s="10">
        <f ca="1">+IF(A213=WORLDCUP!$BI$112,1,0)</f>
        <v>0</v>
      </c>
      <c r="C213" s="10" t="str">
        <f ca="1">+WORLDCUP!BD62</f>
        <v>Curazao</v>
      </c>
      <c r="D213" s="10" t="str">
        <f ca="1">+WORLDCUP!BD64</f>
        <v>Egipto</v>
      </c>
      <c r="E213" s="10" t="str">
        <f ca="1">+WORLDCUP!BD66</f>
        <v>Noruega</v>
      </c>
      <c r="F213" s="10" t="str">
        <f ca="1">+WORLDCUP!BD60</f>
        <v>Escocia</v>
      </c>
      <c r="G213" s="10" t="str">
        <f ca="1">+WORLDCUP!BD58</f>
        <v>PO D: DEN/MKD/CZE/IRL</v>
      </c>
      <c r="H213" s="10" t="str">
        <f ca="1">+WORLDCUP!BD65</f>
        <v>Arabia Saudita</v>
      </c>
      <c r="I213" s="10" t="str">
        <f ca="1">+WORLDCUP!BD69</f>
        <v>Ghana</v>
      </c>
      <c r="J213" s="10" t="str">
        <f ca="1">+WORLDCUP!BD68</f>
        <v>PO 1: COD/JAM/NCL</v>
      </c>
      <c r="N213" s="19" t="s">
        <v>1043</v>
      </c>
      <c r="O213" s="19">
        <v>212</v>
      </c>
      <c r="P213" s="19" t="s">
        <v>95</v>
      </c>
      <c r="Q213" s="19" t="s">
        <v>452</v>
      </c>
      <c r="R213" s="19" t="s">
        <v>457</v>
      </c>
      <c r="S213" s="19" t="s">
        <v>93</v>
      </c>
      <c r="T213" s="19" t="s">
        <v>91</v>
      </c>
      <c r="U213" s="19" t="s">
        <v>453</v>
      </c>
      <c r="V213" s="19" t="s">
        <v>460</v>
      </c>
      <c r="W213" s="19" t="s">
        <v>459</v>
      </c>
    </row>
    <row r="214" spans="1:23">
      <c r="A214" s="10" t="s">
        <v>1042</v>
      </c>
      <c r="B214" s="10">
        <f ca="1">+IF(A214=WORLDCUP!$BI$112,1,0)</f>
        <v>0</v>
      </c>
      <c r="C214" s="10" t="str">
        <f ca="1">+WORLDCUP!BD62</f>
        <v>Curazao</v>
      </c>
      <c r="D214" s="10" t="str">
        <f ca="1">+WORLDCUP!BD64</f>
        <v>Egipto</v>
      </c>
      <c r="E214" s="10" t="str">
        <f ca="1">+WORLDCUP!BD67</f>
        <v>Argelia</v>
      </c>
      <c r="F214" s="10" t="str">
        <f ca="1">+WORLDCUP!BD60</f>
        <v>Escocia</v>
      </c>
      <c r="G214" s="10" t="str">
        <f ca="1">+WORLDCUP!BD58</f>
        <v>PO D: DEN/MKD/CZE/IRL</v>
      </c>
      <c r="H214" s="10" t="str">
        <f ca="1">+WORLDCUP!BD65</f>
        <v>Arabia Saudita</v>
      </c>
      <c r="I214" s="10" t="str">
        <f ca="1">+WORLDCUP!BD69</f>
        <v>Ghana</v>
      </c>
      <c r="J214" s="10" t="str">
        <f ca="1">+WORLDCUP!BD66</f>
        <v>Noruega</v>
      </c>
      <c r="N214" s="19" t="s">
        <v>1042</v>
      </c>
      <c r="O214" s="19">
        <v>213</v>
      </c>
      <c r="P214" s="19" t="s">
        <v>95</v>
      </c>
      <c r="Q214" s="19" t="s">
        <v>452</v>
      </c>
      <c r="R214" s="19" t="s">
        <v>458</v>
      </c>
      <c r="S214" s="19" t="s">
        <v>93</v>
      </c>
      <c r="T214" s="19" t="s">
        <v>91</v>
      </c>
      <c r="U214" s="19" t="s">
        <v>453</v>
      </c>
      <c r="V214" s="19" t="s">
        <v>460</v>
      </c>
      <c r="W214" s="19" t="s">
        <v>457</v>
      </c>
    </row>
    <row r="215" spans="1:23">
      <c r="A215" s="10" t="s">
        <v>1041</v>
      </c>
      <c r="B215" s="10">
        <f ca="1">+IF(A215=WORLDCUP!$BI$112,1,0)</f>
        <v>0</v>
      </c>
      <c r="C215" s="10" t="str">
        <f ca="1">+WORLDCUP!BD62</f>
        <v>Curazao</v>
      </c>
      <c r="D215" s="10" t="str">
        <f ca="1">+WORLDCUP!BD64</f>
        <v>Egipto</v>
      </c>
      <c r="E215" s="10" t="str">
        <f ca="1">+WORLDCUP!BD67</f>
        <v>Argelia</v>
      </c>
      <c r="F215" s="10" t="str">
        <f ca="1">+WORLDCUP!BD60</f>
        <v>Escocia</v>
      </c>
      <c r="G215" s="10" t="str">
        <f ca="1">+WORLDCUP!BD58</f>
        <v>PO D: DEN/MKD/CZE/IRL</v>
      </c>
      <c r="H215" s="10" t="str">
        <f ca="1">+WORLDCUP!BD65</f>
        <v>Arabia Saudita</v>
      </c>
      <c r="I215" s="10" t="str">
        <f ca="1">+WORLDCUP!BD66</f>
        <v>Noruega</v>
      </c>
      <c r="J215" s="10" t="str">
        <f ca="1">+WORLDCUP!BD68</f>
        <v>PO 1: COD/JAM/NCL</v>
      </c>
      <c r="N215" s="19" t="s">
        <v>1041</v>
      </c>
      <c r="O215" s="19">
        <v>214</v>
      </c>
      <c r="P215" s="19" t="s">
        <v>95</v>
      </c>
      <c r="Q215" s="19" t="s">
        <v>452</v>
      </c>
      <c r="R215" s="19" t="s">
        <v>458</v>
      </c>
      <c r="S215" s="19" t="s">
        <v>93</v>
      </c>
      <c r="T215" s="19" t="s">
        <v>91</v>
      </c>
      <c r="U215" s="19" t="s">
        <v>453</v>
      </c>
      <c r="V215" s="19" t="s">
        <v>457</v>
      </c>
      <c r="W215" s="19" t="s">
        <v>459</v>
      </c>
    </row>
    <row r="216" spans="1:23">
      <c r="A216" s="10" t="s">
        <v>1040</v>
      </c>
      <c r="B216" s="10">
        <f ca="1">+IF(A216=WORLDCUP!$BI$112,1,0)</f>
        <v>0</v>
      </c>
      <c r="C216" s="10" t="str">
        <f ca="1">+WORLDCUP!BD62</f>
        <v>Curazao</v>
      </c>
      <c r="D216" s="10" t="str">
        <f ca="1">+WORLDCUP!BD67</f>
        <v>Argelia</v>
      </c>
      <c r="E216" s="10" t="str">
        <f ca="1">+WORLDCUP!BD66</f>
        <v>Noruega</v>
      </c>
      <c r="F216" s="10" t="str">
        <f ca="1">+WORLDCUP!BD60</f>
        <v>Escocia</v>
      </c>
      <c r="G216" s="10" t="str">
        <f ca="1">+WORLDCUP!BD58</f>
        <v>PO D: DEN/MKD/CZE/IRL</v>
      </c>
      <c r="H216" s="10" t="str">
        <f ca="1">+WORLDCUP!BD63</f>
        <v>Japón</v>
      </c>
      <c r="I216" s="10" t="str">
        <f ca="1">+WORLDCUP!BD69</f>
        <v>Ghana</v>
      </c>
      <c r="J216" s="10" t="str">
        <f ca="1">+WORLDCUP!BD68</f>
        <v>PO 1: COD/JAM/NCL</v>
      </c>
      <c r="N216" s="19" t="s">
        <v>1040</v>
      </c>
      <c r="O216" s="19">
        <v>215</v>
      </c>
      <c r="P216" s="19" t="s">
        <v>95</v>
      </c>
      <c r="Q216" s="19" t="s">
        <v>458</v>
      </c>
      <c r="R216" s="19" t="s">
        <v>457</v>
      </c>
      <c r="S216" s="19" t="s">
        <v>93</v>
      </c>
      <c r="T216" s="19" t="s">
        <v>91</v>
      </c>
      <c r="U216" s="19" t="s">
        <v>96</v>
      </c>
      <c r="V216" s="19" t="s">
        <v>460</v>
      </c>
      <c r="W216" s="19" t="s">
        <v>459</v>
      </c>
    </row>
    <row r="217" spans="1:23">
      <c r="A217" s="10" t="s">
        <v>1039</v>
      </c>
      <c r="B217" s="10">
        <f ca="1">+IF(A217=WORLDCUP!$BI$112,1,0)</f>
        <v>0</v>
      </c>
      <c r="C217" s="10" t="str">
        <f ca="1">+WORLDCUP!BD65</f>
        <v>Arabia Saudita</v>
      </c>
      <c r="D217" s="10" t="str">
        <f ca="1">+WORLDCUP!BD67</f>
        <v>Argelia</v>
      </c>
      <c r="E217" s="10" t="str">
        <f ca="1">+WORLDCUP!BD62</f>
        <v>Curazao</v>
      </c>
      <c r="F217" s="10" t="str">
        <f ca="1">+WORLDCUP!BD60</f>
        <v>Escocia</v>
      </c>
      <c r="G217" s="10" t="str">
        <f ca="1">+WORLDCUP!BD58</f>
        <v>PO D: DEN/MKD/CZE/IRL</v>
      </c>
      <c r="H217" s="10" t="str">
        <f ca="1">+WORLDCUP!BD63</f>
        <v>Japón</v>
      </c>
      <c r="I217" s="10" t="str">
        <f ca="1">+WORLDCUP!BD69</f>
        <v>Ghana</v>
      </c>
      <c r="J217" s="10" t="str">
        <f ca="1">+WORLDCUP!BD68</f>
        <v>PO 1: COD/JAM/NCL</v>
      </c>
      <c r="N217" s="19" t="s">
        <v>1039</v>
      </c>
      <c r="O217" s="19">
        <v>216</v>
      </c>
      <c r="P217" s="19" t="s">
        <v>453</v>
      </c>
      <c r="Q217" s="19" t="s">
        <v>458</v>
      </c>
      <c r="R217" s="19" t="s">
        <v>95</v>
      </c>
      <c r="S217" s="19" t="s">
        <v>93</v>
      </c>
      <c r="T217" s="19" t="s">
        <v>91</v>
      </c>
      <c r="U217" s="19" t="s">
        <v>96</v>
      </c>
      <c r="V217" s="19" t="s">
        <v>460</v>
      </c>
      <c r="W217" s="19" t="s">
        <v>459</v>
      </c>
    </row>
    <row r="218" spans="1:23">
      <c r="A218" s="10" t="s">
        <v>1038</v>
      </c>
      <c r="B218" s="10">
        <f ca="1">+IF(A218=WORLDCUP!$BI$112,1,0)</f>
        <v>0</v>
      </c>
      <c r="C218" s="10" t="str">
        <f ca="1">+WORLDCUP!BD65</f>
        <v>Arabia Saudita</v>
      </c>
      <c r="D218" s="10" t="str">
        <f ca="1">+WORLDCUP!BD62</f>
        <v>Curazao</v>
      </c>
      <c r="E218" s="10" t="str">
        <f ca="1">+WORLDCUP!BD66</f>
        <v>Noruega</v>
      </c>
      <c r="F218" s="10" t="str">
        <f ca="1">+WORLDCUP!BD60</f>
        <v>Escocia</v>
      </c>
      <c r="G218" s="10" t="str">
        <f ca="1">+WORLDCUP!BD58</f>
        <v>PO D: DEN/MKD/CZE/IRL</v>
      </c>
      <c r="H218" s="10" t="str">
        <f ca="1">+WORLDCUP!BD63</f>
        <v>Japón</v>
      </c>
      <c r="I218" s="10" t="str">
        <f ca="1">+WORLDCUP!BD69</f>
        <v>Ghana</v>
      </c>
      <c r="J218" s="10" t="str">
        <f ca="1">+WORLDCUP!BD68</f>
        <v>PO 1: COD/JAM/NCL</v>
      </c>
      <c r="N218" s="19" t="s">
        <v>1038</v>
      </c>
      <c r="O218" s="19">
        <v>217</v>
      </c>
      <c r="P218" s="19" t="s">
        <v>453</v>
      </c>
      <c r="Q218" s="19" t="s">
        <v>95</v>
      </c>
      <c r="R218" s="19" t="s">
        <v>457</v>
      </c>
      <c r="S218" s="19" t="s">
        <v>93</v>
      </c>
      <c r="T218" s="19" t="s">
        <v>91</v>
      </c>
      <c r="U218" s="19" t="s">
        <v>96</v>
      </c>
      <c r="V218" s="19" t="s">
        <v>460</v>
      </c>
      <c r="W218" s="19" t="s">
        <v>459</v>
      </c>
    </row>
    <row r="219" spans="1:23">
      <c r="A219" s="10" t="s">
        <v>1037</v>
      </c>
      <c r="B219" s="10">
        <f ca="1">+IF(A219=WORLDCUP!$BI$112,1,0)</f>
        <v>0</v>
      </c>
      <c r="C219" s="10" t="str">
        <f ca="1">+WORLDCUP!BD65</f>
        <v>Arabia Saudita</v>
      </c>
      <c r="D219" s="10" t="str">
        <f ca="1">+WORLDCUP!BD67</f>
        <v>Argelia</v>
      </c>
      <c r="E219" s="10" t="str">
        <f ca="1">+WORLDCUP!BD62</f>
        <v>Curazao</v>
      </c>
      <c r="F219" s="10" t="str">
        <f ca="1">+WORLDCUP!BD60</f>
        <v>Escocia</v>
      </c>
      <c r="G219" s="10" t="str">
        <f ca="1">+WORLDCUP!BD58</f>
        <v>PO D: DEN/MKD/CZE/IRL</v>
      </c>
      <c r="H219" s="10" t="str">
        <f ca="1">+WORLDCUP!BD63</f>
        <v>Japón</v>
      </c>
      <c r="I219" s="10" t="str">
        <f ca="1">+WORLDCUP!BD69</f>
        <v>Ghana</v>
      </c>
      <c r="J219" s="10" t="str">
        <f ca="1">+WORLDCUP!BD66</f>
        <v>Noruega</v>
      </c>
      <c r="N219" s="19" t="s">
        <v>1037</v>
      </c>
      <c r="O219" s="19">
        <v>218</v>
      </c>
      <c r="P219" s="19" t="s">
        <v>453</v>
      </c>
      <c r="Q219" s="19" t="s">
        <v>458</v>
      </c>
      <c r="R219" s="19" t="s">
        <v>95</v>
      </c>
      <c r="S219" s="19" t="s">
        <v>93</v>
      </c>
      <c r="T219" s="19" t="s">
        <v>91</v>
      </c>
      <c r="U219" s="19" t="s">
        <v>96</v>
      </c>
      <c r="V219" s="19" t="s">
        <v>460</v>
      </c>
      <c r="W219" s="19" t="s">
        <v>457</v>
      </c>
    </row>
    <row r="220" spans="1:23">
      <c r="A220" s="10" t="s">
        <v>1036</v>
      </c>
      <c r="B220" s="10">
        <f ca="1">+IF(A220=WORLDCUP!$BI$112,1,0)</f>
        <v>0</v>
      </c>
      <c r="C220" s="10" t="str">
        <f ca="1">+WORLDCUP!BD65</f>
        <v>Arabia Saudita</v>
      </c>
      <c r="D220" s="10" t="str">
        <f ca="1">+WORLDCUP!BD67</f>
        <v>Argelia</v>
      </c>
      <c r="E220" s="10" t="str">
        <f ca="1">+WORLDCUP!BD62</f>
        <v>Curazao</v>
      </c>
      <c r="F220" s="10" t="str">
        <f ca="1">+WORLDCUP!BD60</f>
        <v>Escocia</v>
      </c>
      <c r="G220" s="10" t="str">
        <f ca="1">+WORLDCUP!BD58</f>
        <v>PO D: DEN/MKD/CZE/IRL</v>
      </c>
      <c r="H220" s="10" t="str">
        <f ca="1">+WORLDCUP!BD63</f>
        <v>Japón</v>
      </c>
      <c r="I220" s="10" t="str">
        <f ca="1">+WORLDCUP!BD66</f>
        <v>Noruega</v>
      </c>
      <c r="J220" s="10" t="str">
        <f ca="1">+WORLDCUP!BD68</f>
        <v>PO 1: COD/JAM/NCL</v>
      </c>
      <c r="N220" s="19" t="s">
        <v>1036</v>
      </c>
      <c r="O220" s="19">
        <v>219</v>
      </c>
      <c r="P220" s="19" t="s">
        <v>453</v>
      </c>
      <c r="Q220" s="19" t="s">
        <v>458</v>
      </c>
      <c r="R220" s="19" t="s">
        <v>95</v>
      </c>
      <c r="S220" s="19" t="s">
        <v>93</v>
      </c>
      <c r="T220" s="19" t="s">
        <v>91</v>
      </c>
      <c r="U220" s="19" t="s">
        <v>96</v>
      </c>
      <c r="V220" s="19" t="s">
        <v>457</v>
      </c>
      <c r="W220" s="19" t="s">
        <v>459</v>
      </c>
    </row>
    <row r="221" spans="1:23">
      <c r="A221" s="10" t="s">
        <v>1035</v>
      </c>
      <c r="B221" s="10">
        <f ca="1">+IF(A221=WORLDCUP!$BI$112,1,0)</f>
        <v>0</v>
      </c>
      <c r="C221" s="10" t="str">
        <f ca="1">+WORLDCUP!BD62</f>
        <v>Curazao</v>
      </c>
      <c r="D221" s="10" t="str">
        <f ca="1">+WORLDCUP!BD64</f>
        <v>Egipto</v>
      </c>
      <c r="E221" s="10" t="str">
        <f ca="1">+WORLDCUP!BD67</f>
        <v>Argelia</v>
      </c>
      <c r="F221" s="10" t="str">
        <f ca="1">+WORLDCUP!BD60</f>
        <v>Escocia</v>
      </c>
      <c r="G221" s="10" t="str">
        <f ca="1">+WORLDCUP!BD58</f>
        <v>PO D: DEN/MKD/CZE/IRL</v>
      </c>
      <c r="H221" s="10" t="str">
        <f ca="1">+WORLDCUP!BD63</f>
        <v>Japón</v>
      </c>
      <c r="I221" s="10" t="str">
        <f ca="1">+WORLDCUP!BD69</f>
        <v>Ghana</v>
      </c>
      <c r="J221" s="10" t="str">
        <f ca="1">+WORLDCUP!BD68</f>
        <v>PO 1: COD/JAM/NCL</v>
      </c>
      <c r="N221" s="19" t="s">
        <v>1035</v>
      </c>
      <c r="O221" s="19">
        <v>220</v>
      </c>
      <c r="P221" s="19" t="s">
        <v>95</v>
      </c>
      <c r="Q221" s="19" t="s">
        <v>452</v>
      </c>
      <c r="R221" s="19" t="s">
        <v>458</v>
      </c>
      <c r="S221" s="19" t="s">
        <v>93</v>
      </c>
      <c r="T221" s="19" t="s">
        <v>91</v>
      </c>
      <c r="U221" s="19" t="s">
        <v>96</v>
      </c>
      <c r="V221" s="19" t="s">
        <v>460</v>
      </c>
      <c r="W221" s="19" t="s">
        <v>459</v>
      </c>
    </row>
    <row r="222" spans="1:23">
      <c r="A222" s="10" t="s">
        <v>1034</v>
      </c>
      <c r="B222" s="10">
        <f ca="1">+IF(A222=WORLDCUP!$BI$112,1,0)</f>
        <v>0</v>
      </c>
      <c r="C222" s="10" t="str">
        <f ca="1">+WORLDCUP!BD62</f>
        <v>Curazao</v>
      </c>
      <c r="D222" s="10" t="str">
        <f ca="1">+WORLDCUP!BD64</f>
        <v>Egipto</v>
      </c>
      <c r="E222" s="10" t="str">
        <f ca="1">+WORLDCUP!BD66</f>
        <v>Noruega</v>
      </c>
      <c r="F222" s="10" t="str">
        <f ca="1">+WORLDCUP!BD60</f>
        <v>Escocia</v>
      </c>
      <c r="G222" s="10" t="str">
        <f ca="1">+WORLDCUP!BD58</f>
        <v>PO D: DEN/MKD/CZE/IRL</v>
      </c>
      <c r="H222" s="10" t="str">
        <f ca="1">+WORLDCUP!BD63</f>
        <v>Japón</v>
      </c>
      <c r="I222" s="10" t="str">
        <f ca="1">+WORLDCUP!BD69</f>
        <v>Ghana</v>
      </c>
      <c r="J222" s="10" t="str">
        <f ca="1">+WORLDCUP!BD68</f>
        <v>PO 1: COD/JAM/NCL</v>
      </c>
      <c r="N222" s="19" t="s">
        <v>1034</v>
      </c>
      <c r="O222" s="19">
        <v>221</v>
      </c>
      <c r="P222" s="19" t="s">
        <v>95</v>
      </c>
      <c r="Q222" s="19" t="s">
        <v>452</v>
      </c>
      <c r="R222" s="19" t="s">
        <v>457</v>
      </c>
      <c r="S222" s="19" t="s">
        <v>93</v>
      </c>
      <c r="T222" s="19" t="s">
        <v>91</v>
      </c>
      <c r="U222" s="19" t="s">
        <v>96</v>
      </c>
      <c r="V222" s="19" t="s">
        <v>460</v>
      </c>
      <c r="W222" s="19" t="s">
        <v>459</v>
      </c>
    </row>
    <row r="223" spans="1:23">
      <c r="A223" s="10" t="s">
        <v>1033</v>
      </c>
      <c r="B223" s="10">
        <f ca="1">+IF(A223=WORLDCUP!$BI$112,1,0)</f>
        <v>0</v>
      </c>
      <c r="C223" s="10" t="str">
        <f ca="1">+WORLDCUP!BD62</f>
        <v>Curazao</v>
      </c>
      <c r="D223" s="10" t="str">
        <f ca="1">+WORLDCUP!BD64</f>
        <v>Egipto</v>
      </c>
      <c r="E223" s="10" t="str">
        <f ca="1">+WORLDCUP!BD67</f>
        <v>Argelia</v>
      </c>
      <c r="F223" s="10" t="str">
        <f ca="1">+WORLDCUP!BD60</f>
        <v>Escocia</v>
      </c>
      <c r="G223" s="10" t="str">
        <f ca="1">+WORLDCUP!BD58</f>
        <v>PO D: DEN/MKD/CZE/IRL</v>
      </c>
      <c r="H223" s="10" t="str">
        <f ca="1">+WORLDCUP!BD63</f>
        <v>Japón</v>
      </c>
      <c r="I223" s="10" t="str">
        <f ca="1">+WORLDCUP!BD69</f>
        <v>Ghana</v>
      </c>
      <c r="J223" s="10" t="str">
        <f ca="1">+WORLDCUP!BD66</f>
        <v>Noruega</v>
      </c>
      <c r="N223" s="19" t="s">
        <v>1033</v>
      </c>
      <c r="O223" s="19">
        <v>222</v>
      </c>
      <c r="P223" s="19" t="s">
        <v>95</v>
      </c>
      <c r="Q223" s="19" t="s">
        <v>452</v>
      </c>
      <c r="R223" s="19" t="s">
        <v>458</v>
      </c>
      <c r="S223" s="19" t="s">
        <v>93</v>
      </c>
      <c r="T223" s="19" t="s">
        <v>91</v>
      </c>
      <c r="U223" s="19" t="s">
        <v>96</v>
      </c>
      <c r="V223" s="19" t="s">
        <v>460</v>
      </c>
      <c r="W223" s="19" t="s">
        <v>457</v>
      </c>
    </row>
    <row r="224" spans="1:23">
      <c r="A224" s="10" t="s">
        <v>1032</v>
      </c>
      <c r="B224" s="10">
        <f ca="1">+IF(A224=WORLDCUP!$BI$112,1,0)</f>
        <v>0</v>
      </c>
      <c r="C224" s="10" t="str">
        <f ca="1">+WORLDCUP!BD62</f>
        <v>Curazao</v>
      </c>
      <c r="D224" s="10" t="str">
        <f ca="1">+WORLDCUP!BD64</f>
        <v>Egipto</v>
      </c>
      <c r="E224" s="10" t="str">
        <f ca="1">+WORLDCUP!BD67</f>
        <v>Argelia</v>
      </c>
      <c r="F224" s="10" t="str">
        <f ca="1">+WORLDCUP!BD60</f>
        <v>Escocia</v>
      </c>
      <c r="G224" s="10" t="str">
        <f ca="1">+WORLDCUP!BD58</f>
        <v>PO D: DEN/MKD/CZE/IRL</v>
      </c>
      <c r="H224" s="10" t="str">
        <f ca="1">+WORLDCUP!BD63</f>
        <v>Japón</v>
      </c>
      <c r="I224" s="10" t="str">
        <f ca="1">+WORLDCUP!BD66</f>
        <v>Noruega</v>
      </c>
      <c r="J224" s="10" t="str">
        <f ca="1">+WORLDCUP!BD68</f>
        <v>PO 1: COD/JAM/NCL</v>
      </c>
      <c r="N224" s="19" t="s">
        <v>1032</v>
      </c>
      <c r="O224" s="19">
        <v>223</v>
      </c>
      <c r="P224" s="19" t="s">
        <v>95</v>
      </c>
      <c r="Q224" s="19" t="s">
        <v>452</v>
      </c>
      <c r="R224" s="19" t="s">
        <v>458</v>
      </c>
      <c r="S224" s="19" t="s">
        <v>93</v>
      </c>
      <c r="T224" s="19" t="s">
        <v>91</v>
      </c>
      <c r="U224" s="19" t="s">
        <v>96</v>
      </c>
      <c r="V224" s="19" t="s">
        <v>457</v>
      </c>
      <c r="W224" s="19" t="s">
        <v>459</v>
      </c>
    </row>
    <row r="225" spans="1:23">
      <c r="A225" s="10" t="s">
        <v>1031</v>
      </c>
      <c r="B225" s="10">
        <f ca="1">+IF(A225=WORLDCUP!$BI$112,1,0)</f>
        <v>0</v>
      </c>
      <c r="C225" s="10" t="str">
        <f ca="1">+WORLDCUP!BD65</f>
        <v>Arabia Saudita</v>
      </c>
      <c r="D225" s="10" t="str">
        <f ca="1">+WORLDCUP!BD64</f>
        <v>Egipto</v>
      </c>
      <c r="E225" s="10" t="str">
        <f ca="1">+WORLDCUP!BD62</f>
        <v>Curazao</v>
      </c>
      <c r="F225" s="10" t="str">
        <f ca="1">+WORLDCUP!BD60</f>
        <v>Escocia</v>
      </c>
      <c r="G225" s="10" t="str">
        <f ca="1">+WORLDCUP!BD58</f>
        <v>PO D: DEN/MKD/CZE/IRL</v>
      </c>
      <c r="H225" s="10" t="str">
        <f ca="1">+WORLDCUP!BD63</f>
        <v>Japón</v>
      </c>
      <c r="I225" s="10" t="str">
        <f ca="1">+WORLDCUP!BD69</f>
        <v>Ghana</v>
      </c>
      <c r="J225" s="10" t="str">
        <f ca="1">+WORLDCUP!BD68</f>
        <v>PO 1: COD/JAM/NCL</v>
      </c>
      <c r="N225" s="19" t="s">
        <v>1031</v>
      </c>
      <c r="O225" s="19">
        <v>224</v>
      </c>
      <c r="P225" s="19" t="s">
        <v>453</v>
      </c>
      <c r="Q225" s="19" t="s">
        <v>452</v>
      </c>
      <c r="R225" s="19" t="s">
        <v>95</v>
      </c>
      <c r="S225" s="19" t="s">
        <v>93</v>
      </c>
      <c r="T225" s="19" t="s">
        <v>91</v>
      </c>
      <c r="U225" s="19" t="s">
        <v>96</v>
      </c>
      <c r="V225" s="19" t="s">
        <v>460</v>
      </c>
      <c r="W225" s="19" t="s">
        <v>459</v>
      </c>
    </row>
    <row r="226" spans="1:23">
      <c r="A226" s="10" t="s">
        <v>1030</v>
      </c>
      <c r="B226" s="10">
        <f ca="1">+IF(A226=WORLDCUP!$BI$112,1,0)</f>
        <v>0</v>
      </c>
      <c r="C226" s="10" t="str">
        <f ca="1">+WORLDCUP!BD65</f>
        <v>Arabia Saudita</v>
      </c>
      <c r="D226" s="10" t="str">
        <f ca="1">+WORLDCUP!BD64</f>
        <v>Egipto</v>
      </c>
      <c r="E226" s="10" t="str">
        <f ca="1">+WORLDCUP!BD67</f>
        <v>Argelia</v>
      </c>
      <c r="F226" s="10" t="str">
        <f ca="1">+WORLDCUP!BD60</f>
        <v>Escocia</v>
      </c>
      <c r="G226" s="10" t="str">
        <f ca="1">+WORLDCUP!BD58</f>
        <v>PO D: DEN/MKD/CZE/IRL</v>
      </c>
      <c r="H226" s="10" t="str">
        <f ca="1">+WORLDCUP!BD63</f>
        <v>Japón</v>
      </c>
      <c r="I226" s="10" t="str">
        <f ca="1">+WORLDCUP!BD69</f>
        <v>Ghana</v>
      </c>
      <c r="J226" s="10" t="str">
        <f ca="1">+WORLDCUP!BD62</f>
        <v>Curazao</v>
      </c>
      <c r="N226" s="19" t="s">
        <v>1030</v>
      </c>
      <c r="O226" s="19">
        <v>225</v>
      </c>
      <c r="P226" s="19" t="s">
        <v>453</v>
      </c>
      <c r="Q226" s="19" t="s">
        <v>452</v>
      </c>
      <c r="R226" s="19" t="s">
        <v>458</v>
      </c>
      <c r="S226" s="19" t="s">
        <v>93</v>
      </c>
      <c r="T226" s="19" t="s">
        <v>91</v>
      </c>
      <c r="U226" s="19" t="s">
        <v>96</v>
      </c>
      <c r="V226" s="19" t="s">
        <v>460</v>
      </c>
      <c r="W226" s="19" t="s">
        <v>95</v>
      </c>
    </row>
    <row r="227" spans="1:23">
      <c r="A227" s="10" t="s">
        <v>1029</v>
      </c>
      <c r="B227" s="10">
        <f ca="1">+IF(A227=WORLDCUP!$BI$112,1,0)</f>
        <v>0</v>
      </c>
      <c r="C227" s="10" t="str">
        <f ca="1">+WORLDCUP!BD65</f>
        <v>Arabia Saudita</v>
      </c>
      <c r="D227" s="10" t="str">
        <f ca="1">+WORLDCUP!BD64</f>
        <v>Egipto</v>
      </c>
      <c r="E227" s="10" t="str">
        <f ca="1">+WORLDCUP!BD67</f>
        <v>Argelia</v>
      </c>
      <c r="F227" s="10" t="str">
        <f ca="1">+WORLDCUP!BD60</f>
        <v>Escocia</v>
      </c>
      <c r="G227" s="10" t="str">
        <f ca="1">+WORLDCUP!BD58</f>
        <v>PO D: DEN/MKD/CZE/IRL</v>
      </c>
      <c r="H227" s="10" t="str">
        <f ca="1">+WORLDCUP!BD63</f>
        <v>Japón</v>
      </c>
      <c r="I227" s="10" t="str">
        <f ca="1">+WORLDCUP!BD62</f>
        <v>Curazao</v>
      </c>
      <c r="J227" s="10" t="str">
        <f ca="1">+WORLDCUP!BD68</f>
        <v>PO 1: COD/JAM/NCL</v>
      </c>
      <c r="N227" s="19" t="s">
        <v>1029</v>
      </c>
      <c r="O227" s="19">
        <v>226</v>
      </c>
      <c r="P227" s="19" t="s">
        <v>453</v>
      </c>
      <c r="Q227" s="19" t="s">
        <v>452</v>
      </c>
      <c r="R227" s="19" t="s">
        <v>458</v>
      </c>
      <c r="S227" s="19" t="s">
        <v>93</v>
      </c>
      <c r="T227" s="19" t="s">
        <v>91</v>
      </c>
      <c r="U227" s="19" t="s">
        <v>96</v>
      </c>
      <c r="V227" s="19" t="s">
        <v>95</v>
      </c>
      <c r="W227" s="19" t="s">
        <v>459</v>
      </c>
    </row>
    <row r="228" spans="1:23">
      <c r="A228" s="10" t="s">
        <v>1028</v>
      </c>
      <c r="B228" s="10">
        <f ca="1">+IF(A228=WORLDCUP!$BI$112,1,0)</f>
        <v>0</v>
      </c>
      <c r="C228" s="10" t="str">
        <f ca="1">+WORLDCUP!BD65</f>
        <v>Arabia Saudita</v>
      </c>
      <c r="D228" s="10" t="str">
        <f ca="1">+WORLDCUP!BD64</f>
        <v>Egipto</v>
      </c>
      <c r="E228" s="10" t="str">
        <f ca="1">+WORLDCUP!BD62</f>
        <v>Curazao</v>
      </c>
      <c r="F228" s="10" t="str">
        <f ca="1">+WORLDCUP!BD60</f>
        <v>Escocia</v>
      </c>
      <c r="G228" s="10" t="str">
        <f ca="1">+WORLDCUP!BD58</f>
        <v>PO D: DEN/MKD/CZE/IRL</v>
      </c>
      <c r="H228" s="10" t="str">
        <f ca="1">+WORLDCUP!BD63</f>
        <v>Japón</v>
      </c>
      <c r="I228" s="10" t="str">
        <f ca="1">+WORLDCUP!BD69</f>
        <v>Ghana</v>
      </c>
      <c r="J228" s="10" t="str">
        <f ca="1">+WORLDCUP!BD66</f>
        <v>Noruega</v>
      </c>
      <c r="N228" s="19" t="s">
        <v>1028</v>
      </c>
      <c r="O228" s="19">
        <v>227</v>
      </c>
      <c r="P228" s="19" t="s">
        <v>453</v>
      </c>
      <c r="Q228" s="19" t="s">
        <v>452</v>
      </c>
      <c r="R228" s="19" t="s">
        <v>95</v>
      </c>
      <c r="S228" s="19" t="s">
        <v>93</v>
      </c>
      <c r="T228" s="19" t="s">
        <v>91</v>
      </c>
      <c r="U228" s="19" t="s">
        <v>96</v>
      </c>
      <c r="V228" s="19" t="s">
        <v>460</v>
      </c>
      <c r="W228" s="19" t="s">
        <v>457</v>
      </c>
    </row>
    <row r="229" spans="1:23">
      <c r="A229" s="10" t="s">
        <v>1027</v>
      </c>
      <c r="B229" s="10">
        <f ca="1">+IF(A229=WORLDCUP!$BI$112,1,0)</f>
        <v>0</v>
      </c>
      <c r="C229" s="10" t="str">
        <f ca="1">+WORLDCUP!BD65</f>
        <v>Arabia Saudita</v>
      </c>
      <c r="D229" s="10" t="str">
        <f ca="1">+WORLDCUP!BD64</f>
        <v>Egipto</v>
      </c>
      <c r="E229" s="10" t="str">
        <f ca="1">+WORLDCUP!BD62</f>
        <v>Curazao</v>
      </c>
      <c r="F229" s="10" t="str">
        <f ca="1">+WORLDCUP!BD60</f>
        <v>Escocia</v>
      </c>
      <c r="G229" s="10" t="str">
        <f ca="1">+WORLDCUP!BD58</f>
        <v>PO D: DEN/MKD/CZE/IRL</v>
      </c>
      <c r="H229" s="10" t="str">
        <f ca="1">+WORLDCUP!BD63</f>
        <v>Japón</v>
      </c>
      <c r="I229" s="10" t="str">
        <f ca="1">+WORLDCUP!BD66</f>
        <v>Noruega</v>
      </c>
      <c r="J229" s="10" t="str">
        <f ca="1">+WORLDCUP!BD68</f>
        <v>PO 1: COD/JAM/NCL</v>
      </c>
      <c r="N229" s="19" t="s">
        <v>1027</v>
      </c>
      <c r="O229" s="19">
        <v>228</v>
      </c>
      <c r="P229" s="19" t="s">
        <v>453</v>
      </c>
      <c r="Q229" s="19" t="s">
        <v>452</v>
      </c>
      <c r="R229" s="19" t="s">
        <v>95</v>
      </c>
      <c r="S229" s="19" t="s">
        <v>93</v>
      </c>
      <c r="T229" s="19" t="s">
        <v>91</v>
      </c>
      <c r="U229" s="19" t="s">
        <v>96</v>
      </c>
      <c r="V229" s="19" t="s">
        <v>457</v>
      </c>
      <c r="W229" s="19" t="s">
        <v>459</v>
      </c>
    </row>
    <row r="230" spans="1:23">
      <c r="A230" s="10" t="s">
        <v>1026</v>
      </c>
      <c r="B230" s="10">
        <f ca="1">+IF(A230=WORLDCUP!$BI$112,1,0)</f>
        <v>0</v>
      </c>
      <c r="C230" s="10" t="str">
        <f ca="1">+WORLDCUP!BD65</f>
        <v>Arabia Saudita</v>
      </c>
      <c r="D230" s="10" t="str">
        <f ca="1">+WORLDCUP!BD64</f>
        <v>Egipto</v>
      </c>
      <c r="E230" s="10" t="str">
        <f ca="1">+WORLDCUP!BD67</f>
        <v>Argelia</v>
      </c>
      <c r="F230" s="10" t="str">
        <f ca="1">+WORLDCUP!BD60</f>
        <v>Escocia</v>
      </c>
      <c r="G230" s="10" t="str">
        <f ca="1">+WORLDCUP!BD58</f>
        <v>PO D: DEN/MKD/CZE/IRL</v>
      </c>
      <c r="H230" s="10" t="str">
        <f ca="1">+WORLDCUP!BD63</f>
        <v>Japón</v>
      </c>
      <c r="I230" s="10" t="str">
        <f ca="1">+WORLDCUP!BD62</f>
        <v>Curazao</v>
      </c>
      <c r="J230" s="10" t="str">
        <f ca="1">+WORLDCUP!BD66</f>
        <v>Noruega</v>
      </c>
      <c r="N230" s="19" t="s">
        <v>1026</v>
      </c>
      <c r="O230" s="19">
        <v>229</v>
      </c>
      <c r="P230" s="19" t="s">
        <v>453</v>
      </c>
      <c r="Q230" s="19" t="s">
        <v>452</v>
      </c>
      <c r="R230" s="19" t="s">
        <v>458</v>
      </c>
      <c r="S230" s="19" t="s">
        <v>93</v>
      </c>
      <c r="T230" s="19" t="s">
        <v>91</v>
      </c>
      <c r="U230" s="19" t="s">
        <v>96</v>
      </c>
      <c r="V230" s="19" t="s">
        <v>95</v>
      </c>
      <c r="W230" s="19" t="s">
        <v>457</v>
      </c>
    </row>
    <row r="231" spans="1:23">
      <c r="A231" s="10" t="s">
        <v>1025</v>
      </c>
      <c r="B231" s="10">
        <f ca="1">+IF(A231=WORLDCUP!$BI$112,1,0)</f>
        <v>0</v>
      </c>
      <c r="C231" s="10" t="str">
        <f ca="1">+WORLDCUP!BD65</f>
        <v>Arabia Saudita</v>
      </c>
      <c r="D231" s="10" t="str">
        <f ca="1">+WORLDCUP!BD67</f>
        <v>Argelia</v>
      </c>
      <c r="E231" s="10" t="str">
        <f ca="1">+WORLDCUP!BD66</f>
        <v>Noruega</v>
      </c>
      <c r="F231" s="10" t="str">
        <f ca="1">+WORLDCUP!BD60</f>
        <v>Escocia</v>
      </c>
      <c r="G231" s="10" t="str">
        <f ca="1">+WORLDCUP!BD58</f>
        <v>PO D: DEN/MKD/CZE/IRL</v>
      </c>
      <c r="H231" s="10" t="str">
        <f ca="1">+WORLDCUP!BD61</f>
        <v>Australia</v>
      </c>
      <c r="I231" s="10" t="str">
        <f ca="1">+WORLDCUP!BD69</f>
        <v>Ghana</v>
      </c>
      <c r="J231" s="10" t="str">
        <f ca="1">+WORLDCUP!BD68</f>
        <v>PO 1: COD/JAM/NCL</v>
      </c>
      <c r="N231" s="19" t="s">
        <v>1025</v>
      </c>
      <c r="O231" s="19">
        <v>230</v>
      </c>
      <c r="P231" s="19" t="s">
        <v>453</v>
      </c>
      <c r="Q231" s="19" t="s">
        <v>458</v>
      </c>
      <c r="R231" s="19" t="s">
        <v>457</v>
      </c>
      <c r="S231" s="19" t="s">
        <v>93</v>
      </c>
      <c r="T231" s="19" t="s">
        <v>91</v>
      </c>
      <c r="U231" s="19" t="s">
        <v>94</v>
      </c>
      <c r="V231" s="19" t="s">
        <v>460</v>
      </c>
      <c r="W231" s="19" t="s">
        <v>459</v>
      </c>
    </row>
    <row r="232" spans="1:23">
      <c r="A232" s="10" t="s">
        <v>1024</v>
      </c>
      <c r="B232" s="10">
        <f ca="1">+IF(A232=WORLDCUP!$BI$112,1,0)</f>
        <v>0</v>
      </c>
      <c r="C232" s="10" t="str">
        <f ca="1">+WORLDCUP!BD66</f>
        <v>Noruega</v>
      </c>
      <c r="D232" s="10" t="str">
        <f ca="1">+WORLDCUP!BD64</f>
        <v>Egipto</v>
      </c>
      <c r="E232" s="10" t="str">
        <f ca="1">+WORLDCUP!BD67</f>
        <v>Argelia</v>
      </c>
      <c r="F232" s="10" t="str">
        <f ca="1">+WORLDCUP!BD60</f>
        <v>Escocia</v>
      </c>
      <c r="G232" s="10" t="str">
        <f ca="1">+WORLDCUP!BD58</f>
        <v>PO D: DEN/MKD/CZE/IRL</v>
      </c>
      <c r="H232" s="10" t="str">
        <f ca="1">+WORLDCUP!BD61</f>
        <v>Australia</v>
      </c>
      <c r="I232" s="10" t="str">
        <f ca="1">+WORLDCUP!BD69</f>
        <v>Ghana</v>
      </c>
      <c r="J232" s="10" t="str">
        <f ca="1">+WORLDCUP!BD68</f>
        <v>PO 1: COD/JAM/NCL</v>
      </c>
      <c r="N232" s="19" t="s">
        <v>1024</v>
      </c>
      <c r="O232" s="19">
        <v>231</v>
      </c>
      <c r="P232" s="19" t="s">
        <v>457</v>
      </c>
      <c r="Q232" s="19" t="s">
        <v>452</v>
      </c>
      <c r="R232" s="19" t="s">
        <v>458</v>
      </c>
      <c r="S232" s="19" t="s">
        <v>93</v>
      </c>
      <c r="T232" s="19" t="s">
        <v>91</v>
      </c>
      <c r="U232" s="19" t="s">
        <v>94</v>
      </c>
      <c r="V232" s="19" t="s">
        <v>460</v>
      </c>
      <c r="W232" s="19" t="s">
        <v>459</v>
      </c>
    </row>
    <row r="233" spans="1:23">
      <c r="A233" s="10" t="s">
        <v>1023</v>
      </c>
      <c r="B233" s="10">
        <f ca="1">+IF(A233=WORLDCUP!$BI$112,1,0)</f>
        <v>0</v>
      </c>
      <c r="C233" s="10" t="str">
        <f ca="1">+WORLDCUP!BD65</f>
        <v>Arabia Saudita</v>
      </c>
      <c r="D233" s="10" t="str">
        <f ca="1">+WORLDCUP!BD64</f>
        <v>Egipto</v>
      </c>
      <c r="E233" s="10" t="str">
        <f ca="1">+WORLDCUP!BD67</f>
        <v>Argelia</v>
      </c>
      <c r="F233" s="10" t="str">
        <f ca="1">+WORLDCUP!BD60</f>
        <v>Escocia</v>
      </c>
      <c r="G233" s="10" t="str">
        <f ca="1">+WORLDCUP!BD58</f>
        <v>PO D: DEN/MKD/CZE/IRL</v>
      </c>
      <c r="H233" s="10" t="str">
        <f ca="1">+WORLDCUP!BD61</f>
        <v>Australia</v>
      </c>
      <c r="I233" s="10" t="str">
        <f ca="1">+WORLDCUP!BD69</f>
        <v>Ghana</v>
      </c>
      <c r="J233" s="10" t="str">
        <f ca="1">+WORLDCUP!BD68</f>
        <v>PO 1: COD/JAM/NCL</v>
      </c>
      <c r="N233" s="19" t="s">
        <v>1023</v>
      </c>
      <c r="O233" s="19">
        <v>232</v>
      </c>
      <c r="P233" s="19" t="s">
        <v>453</v>
      </c>
      <c r="Q233" s="19" t="s">
        <v>452</v>
      </c>
      <c r="R233" s="19" t="s">
        <v>458</v>
      </c>
      <c r="S233" s="19" t="s">
        <v>93</v>
      </c>
      <c r="T233" s="19" t="s">
        <v>91</v>
      </c>
      <c r="U233" s="19" t="s">
        <v>94</v>
      </c>
      <c r="V233" s="19" t="s">
        <v>460</v>
      </c>
      <c r="W233" s="19" t="s">
        <v>459</v>
      </c>
    </row>
    <row r="234" spans="1:23">
      <c r="A234" s="10" t="s">
        <v>1022</v>
      </c>
      <c r="B234" s="10">
        <f ca="1">+IF(A234=WORLDCUP!$BI$112,1,0)</f>
        <v>0</v>
      </c>
      <c r="C234" s="10" t="str">
        <f ca="1">+WORLDCUP!BD65</f>
        <v>Arabia Saudita</v>
      </c>
      <c r="D234" s="10" t="str">
        <f ca="1">+WORLDCUP!BD64</f>
        <v>Egipto</v>
      </c>
      <c r="E234" s="10" t="str">
        <f ca="1">+WORLDCUP!BD66</f>
        <v>Noruega</v>
      </c>
      <c r="F234" s="10" t="str">
        <f ca="1">+WORLDCUP!BD60</f>
        <v>Escocia</v>
      </c>
      <c r="G234" s="10" t="str">
        <f ca="1">+WORLDCUP!BD58</f>
        <v>PO D: DEN/MKD/CZE/IRL</v>
      </c>
      <c r="H234" s="10" t="str">
        <f ca="1">+WORLDCUP!BD61</f>
        <v>Australia</v>
      </c>
      <c r="I234" s="10" t="str">
        <f ca="1">+WORLDCUP!BD69</f>
        <v>Ghana</v>
      </c>
      <c r="J234" s="10" t="str">
        <f ca="1">+WORLDCUP!BD68</f>
        <v>PO 1: COD/JAM/NCL</v>
      </c>
      <c r="N234" s="19" t="s">
        <v>1022</v>
      </c>
      <c r="O234" s="19">
        <v>233</v>
      </c>
      <c r="P234" s="19" t="s">
        <v>453</v>
      </c>
      <c r="Q234" s="19" t="s">
        <v>452</v>
      </c>
      <c r="R234" s="19" t="s">
        <v>457</v>
      </c>
      <c r="S234" s="19" t="s">
        <v>93</v>
      </c>
      <c r="T234" s="19" t="s">
        <v>91</v>
      </c>
      <c r="U234" s="19" t="s">
        <v>94</v>
      </c>
      <c r="V234" s="19" t="s">
        <v>460</v>
      </c>
      <c r="W234" s="19" t="s">
        <v>459</v>
      </c>
    </row>
    <row r="235" spans="1:23">
      <c r="A235" s="10" t="s">
        <v>1021</v>
      </c>
      <c r="B235" s="10">
        <f ca="1">+IF(A235=WORLDCUP!$BI$112,1,0)</f>
        <v>0</v>
      </c>
      <c r="C235" s="10" t="str">
        <f ca="1">+WORLDCUP!BD65</f>
        <v>Arabia Saudita</v>
      </c>
      <c r="D235" s="10" t="str">
        <f ca="1">+WORLDCUP!BD64</f>
        <v>Egipto</v>
      </c>
      <c r="E235" s="10" t="str">
        <f ca="1">+WORLDCUP!BD67</f>
        <v>Argelia</v>
      </c>
      <c r="F235" s="10" t="str">
        <f ca="1">+WORLDCUP!BD60</f>
        <v>Escocia</v>
      </c>
      <c r="G235" s="10" t="str">
        <f ca="1">+WORLDCUP!BD58</f>
        <v>PO D: DEN/MKD/CZE/IRL</v>
      </c>
      <c r="H235" s="10" t="str">
        <f ca="1">+WORLDCUP!BD61</f>
        <v>Australia</v>
      </c>
      <c r="I235" s="10" t="str">
        <f ca="1">+WORLDCUP!BD69</f>
        <v>Ghana</v>
      </c>
      <c r="J235" s="10" t="str">
        <f ca="1">+WORLDCUP!BD66</f>
        <v>Noruega</v>
      </c>
      <c r="N235" s="19" t="s">
        <v>1021</v>
      </c>
      <c r="O235" s="19">
        <v>234</v>
      </c>
      <c r="P235" s="19" t="s">
        <v>453</v>
      </c>
      <c r="Q235" s="19" t="s">
        <v>452</v>
      </c>
      <c r="R235" s="19" t="s">
        <v>458</v>
      </c>
      <c r="S235" s="19" t="s">
        <v>93</v>
      </c>
      <c r="T235" s="19" t="s">
        <v>91</v>
      </c>
      <c r="U235" s="19" t="s">
        <v>94</v>
      </c>
      <c r="V235" s="19" t="s">
        <v>460</v>
      </c>
      <c r="W235" s="19" t="s">
        <v>457</v>
      </c>
    </row>
    <row r="236" spans="1:23">
      <c r="A236" s="10" t="s">
        <v>1020</v>
      </c>
      <c r="B236" s="10">
        <f ca="1">+IF(A236=WORLDCUP!$BI$112,1,0)</f>
        <v>0</v>
      </c>
      <c r="C236" s="10" t="str">
        <f ca="1">+WORLDCUP!BD65</f>
        <v>Arabia Saudita</v>
      </c>
      <c r="D236" s="10" t="str">
        <f ca="1">+WORLDCUP!BD64</f>
        <v>Egipto</v>
      </c>
      <c r="E236" s="10" t="str">
        <f ca="1">+WORLDCUP!BD67</f>
        <v>Argelia</v>
      </c>
      <c r="F236" s="10" t="str">
        <f ca="1">+WORLDCUP!BD60</f>
        <v>Escocia</v>
      </c>
      <c r="G236" s="10" t="str">
        <f ca="1">+WORLDCUP!BD58</f>
        <v>PO D: DEN/MKD/CZE/IRL</v>
      </c>
      <c r="H236" s="10" t="str">
        <f ca="1">+WORLDCUP!BD61</f>
        <v>Australia</v>
      </c>
      <c r="I236" s="10" t="str">
        <f ca="1">+WORLDCUP!BD66</f>
        <v>Noruega</v>
      </c>
      <c r="J236" s="10" t="str">
        <f ca="1">+WORLDCUP!BD68</f>
        <v>PO 1: COD/JAM/NCL</v>
      </c>
      <c r="N236" s="19" t="s">
        <v>1020</v>
      </c>
      <c r="O236" s="19">
        <v>235</v>
      </c>
      <c r="P236" s="19" t="s">
        <v>453</v>
      </c>
      <c r="Q236" s="19" t="s">
        <v>452</v>
      </c>
      <c r="R236" s="19" t="s">
        <v>458</v>
      </c>
      <c r="S236" s="19" t="s">
        <v>93</v>
      </c>
      <c r="T236" s="19" t="s">
        <v>91</v>
      </c>
      <c r="U236" s="19" t="s">
        <v>94</v>
      </c>
      <c r="V236" s="19" t="s">
        <v>457</v>
      </c>
      <c r="W236" s="19" t="s">
        <v>459</v>
      </c>
    </row>
    <row r="237" spans="1:23">
      <c r="A237" s="10" t="s">
        <v>1019</v>
      </c>
      <c r="B237" s="10">
        <f ca="1">+IF(A237=WORLDCUP!$BI$112,1,0)</f>
        <v>0</v>
      </c>
      <c r="C237" s="10" t="str">
        <f ca="1">+WORLDCUP!BD60</f>
        <v>Escocia</v>
      </c>
      <c r="D237" s="10" t="str">
        <f ca="1">+WORLDCUP!BD67</f>
        <v>Argelia</v>
      </c>
      <c r="E237" s="10" t="str">
        <f ca="1">+WORLDCUP!BD66</f>
        <v>Noruega</v>
      </c>
      <c r="F237" s="10" t="str">
        <f ca="1">+WORLDCUP!BD61</f>
        <v>Australia</v>
      </c>
      <c r="G237" s="10" t="str">
        <f ca="1">+WORLDCUP!BD58</f>
        <v>PO D: DEN/MKD/CZE/IRL</v>
      </c>
      <c r="H237" s="10" t="str">
        <f ca="1">+WORLDCUP!BD63</f>
        <v>Japón</v>
      </c>
      <c r="I237" s="10" t="str">
        <f ca="1">+WORLDCUP!BD69</f>
        <v>Ghana</v>
      </c>
      <c r="J237" s="10" t="str">
        <f ca="1">+WORLDCUP!BD68</f>
        <v>PO 1: COD/JAM/NCL</v>
      </c>
      <c r="N237" s="19" t="s">
        <v>1019</v>
      </c>
      <c r="O237" s="19">
        <v>236</v>
      </c>
      <c r="P237" s="19" t="s">
        <v>93</v>
      </c>
      <c r="Q237" s="19" t="s">
        <v>458</v>
      </c>
      <c r="R237" s="19" t="s">
        <v>457</v>
      </c>
      <c r="S237" s="19" t="s">
        <v>94</v>
      </c>
      <c r="T237" s="19" t="s">
        <v>91</v>
      </c>
      <c r="U237" s="19" t="s">
        <v>96</v>
      </c>
      <c r="V237" s="19" t="s">
        <v>460</v>
      </c>
      <c r="W237" s="19" t="s">
        <v>459</v>
      </c>
    </row>
    <row r="238" spans="1:23">
      <c r="A238" s="10" t="s">
        <v>1018</v>
      </c>
      <c r="B238" s="10">
        <f ca="1">+IF(A238=WORLDCUP!$BI$112,1,0)</f>
        <v>0</v>
      </c>
      <c r="C238" s="10" t="str">
        <f ca="1">+WORLDCUP!BD65</f>
        <v>Arabia Saudita</v>
      </c>
      <c r="D238" s="10" t="str">
        <f ca="1">+WORLDCUP!BD67</f>
        <v>Argelia</v>
      </c>
      <c r="E238" s="10" t="str">
        <f ca="1">+WORLDCUP!BD63</f>
        <v>Japón</v>
      </c>
      <c r="F238" s="10" t="str">
        <f ca="1">+WORLDCUP!BD60</f>
        <v>Escocia</v>
      </c>
      <c r="G238" s="10" t="str">
        <f ca="1">+WORLDCUP!BD58</f>
        <v>PO D: DEN/MKD/CZE/IRL</v>
      </c>
      <c r="H238" s="10" t="str">
        <f ca="1">+WORLDCUP!BD61</f>
        <v>Australia</v>
      </c>
      <c r="I238" s="10" t="str">
        <f ca="1">+WORLDCUP!BD69</f>
        <v>Ghana</v>
      </c>
      <c r="J238" s="10" t="str">
        <f ca="1">+WORLDCUP!BD68</f>
        <v>PO 1: COD/JAM/NCL</v>
      </c>
      <c r="N238" s="19" t="s">
        <v>1018</v>
      </c>
      <c r="O238" s="19">
        <v>237</v>
      </c>
      <c r="P238" s="19" t="s">
        <v>453</v>
      </c>
      <c r="Q238" s="19" t="s">
        <v>458</v>
      </c>
      <c r="R238" s="19" t="s">
        <v>96</v>
      </c>
      <c r="S238" s="19" t="s">
        <v>93</v>
      </c>
      <c r="T238" s="19" t="s">
        <v>91</v>
      </c>
      <c r="U238" s="19" t="s">
        <v>94</v>
      </c>
      <c r="V238" s="19" t="s">
        <v>460</v>
      </c>
      <c r="W238" s="19" t="s">
        <v>459</v>
      </c>
    </row>
    <row r="239" spans="1:23">
      <c r="A239" s="10" t="s">
        <v>1017</v>
      </c>
      <c r="B239" s="10">
        <f ca="1">+IF(A239=WORLDCUP!$BI$112,1,0)</f>
        <v>0</v>
      </c>
      <c r="C239" s="10" t="str">
        <f ca="1">+WORLDCUP!BD65</f>
        <v>Arabia Saudita</v>
      </c>
      <c r="D239" s="10" t="str">
        <f ca="1">+WORLDCUP!BD63</f>
        <v>Japón</v>
      </c>
      <c r="E239" s="10" t="str">
        <f ca="1">+WORLDCUP!BD66</f>
        <v>Noruega</v>
      </c>
      <c r="F239" s="10" t="str">
        <f ca="1">+WORLDCUP!BD60</f>
        <v>Escocia</v>
      </c>
      <c r="G239" s="10" t="str">
        <f ca="1">+WORLDCUP!BD58</f>
        <v>PO D: DEN/MKD/CZE/IRL</v>
      </c>
      <c r="H239" s="10" t="str">
        <f ca="1">+WORLDCUP!BD61</f>
        <v>Australia</v>
      </c>
      <c r="I239" s="10" t="str">
        <f ca="1">+WORLDCUP!BD69</f>
        <v>Ghana</v>
      </c>
      <c r="J239" s="10" t="str">
        <f ca="1">+WORLDCUP!BD68</f>
        <v>PO 1: COD/JAM/NCL</v>
      </c>
      <c r="N239" s="19" t="s">
        <v>1017</v>
      </c>
      <c r="O239" s="19">
        <v>238</v>
      </c>
      <c r="P239" s="19" t="s">
        <v>453</v>
      </c>
      <c r="Q239" s="19" t="s">
        <v>96</v>
      </c>
      <c r="R239" s="19" t="s">
        <v>457</v>
      </c>
      <c r="S239" s="19" t="s">
        <v>93</v>
      </c>
      <c r="T239" s="19" t="s">
        <v>91</v>
      </c>
      <c r="U239" s="19" t="s">
        <v>94</v>
      </c>
      <c r="V239" s="19" t="s">
        <v>460</v>
      </c>
      <c r="W239" s="19" t="s">
        <v>459</v>
      </c>
    </row>
    <row r="240" spans="1:23">
      <c r="A240" s="10" t="s">
        <v>1016</v>
      </c>
      <c r="B240" s="10">
        <f ca="1">+IF(A240=WORLDCUP!$BI$112,1,0)</f>
        <v>0</v>
      </c>
      <c r="C240" s="10" t="str">
        <f ca="1">+WORLDCUP!BD65</f>
        <v>Arabia Saudita</v>
      </c>
      <c r="D240" s="10" t="str">
        <f ca="1">+WORLDCUP!BD67</f>
        <v>Argelia</v>
      </c>
      <c r="E240" s="10" t="str">
        <f ca="1">+WORLDCUP!BD63</f>
        <v>Japón</v>
      </c>
      <c r="F240" s="10" t="str">
        <f ca="1">+WORLDCUP!BD60</f>
        <v>Escocia</v>
      </c>
      <c r="G240" s="10" t="str">
        <f ca="1">+WORLDCUP!BD58</f>
        <v>PO D: DEN/MKD/CZE/IRL</v>
      </c>
      <c r="H240" s="10" t="str">
        <f ca="1">+WORLDCUP!BD61</f>
        <v>Australia</v>
      </c>
      <c r="I240" s="10" t="str">
        <f ca="1">+WORLDCUP!BD69</f>
        <v>Ghana</v>
      </c>
      <c r="J240" s="10" t="str">
        <f ca="1">+WORLDCUP!BD66</f>
        <v>Noruega</v>
      </c>
      <c r="N240" s="19" t="s">
        <v>1016</v>
      </c>
      <c r="O240" s="19">
        <v>239</v>
      </c>
      <c r="P240" s="19" t="s">
        <v>453</v>
      </c>
      <c r="Q240" s="19" t="s">
        <v>458</v>
      </c>
      <c r="R240" s="19" t="s">
        <v>96</v>
      </c>
      <c r="S240" s="19" t="s">
        <v>93</v>
      </c>
      <c r="T240" s="19" t="s">
        <v>91</v>
      </c>
      <c r="U240" s="19" t="s">
        <v>94</v>
      </c>
      <c r="V240" s="19" t="s">
        <v>460</v>
      </c>
      <c r="W240" s="19" t="s">
        <v>457</v>
      </c>
    </row>
    <row r="241" spans="1:23">
      <c r="A241" s="10" t="s">
        <v>1015</v>
      </c>
      <c r="B241" s="10">
        <f ca="1">+IF(A241=WORLDCUP!$BI$112,1,0)</f>
        <v>0</v>
      </c>
      <c r="C241" s="10" t="str">
        <f ca="1">+WORLDCUP!BD65</f>
        <v>Arabia Saudita</v>
      </c>
      <c r="D241" s="10" t="str">
        <f ca="1">+WORLDCUP!BD67</f>
        <v>Argelia</v>
      </c>
      <c r="E241" s="10" t="str">
        <f ca="1">+WORLDCUP!BD63</f>
        <v>Japón</v>
      </c>
      <c r="F241" s="10" t="str">
        <f ca="1">+WORLDCUP!BD60</f>
        <v>Escocia</v>
      </c>
      <c r="G241" s="10" t="str">
        <f ca="1">+WORLDCUP!BD58</f>
        <v>PO D: DEN/MKD/CZE/IRL</v>
      </c>
      <c r="H241" s="10" t="str">
        <f ca="1">+WORLDCUP!BD61</f>
        <v>Australia</v>
      </c>
      <c r="I241" s="10" t="str">
        <f ca="1">+WORLDCUP!BD66</f>
        <v>Noruega</v>
      </c>
      <c r="J241" s="10" t="str">
        <f ca="1">+WORLDCUP!BD68</f>
        <v>PO 1: COD/JAM/NCL</v>
      </c>
      <c r="N241" s="19" t="s">
        <v>1015</v>
      </c>
      <c r="O241" s="19">
        <v>240</v>
      </c>
      <c r="P241" s="19" t="s">
        <v>453</v>
      </c>
      <c r="Q241" s="19" t="s">
        <v>458</v>
      </c>
      <c r="R241" s="19" t="s">
        <v>96</v>
      </c>
      <c r="S241" s="19" t="s">
        <v>93</v>
      </c>
      <c r="T241" s="19" t="s">
        <v>91</v>
      </c>
      <c r="U241" s="19" t="s">
        <v>94</v>
      </c>
      <c r="V241" s="19" t="s">
        <v>457</v>
      </c>
      <c r="W241" s="19" t="s">
        <v>459</v>
      </c>
    </row>
    <row r="242" spans="1:23">
      <c r="A242" s="10" t="s">
        <v>1014</v>
      </c>
      <c r="B242" s="10">
        <f ca="1">+IF(A242=WORLDCUP!$BI$112,1,0)</f>
        <v>0</v>
      </c>
      <c r="C242" s="10" t="str">
        <f ca="1">+WORLDCUP!BD60</f>
        <v>Escocia</v>
      </c>
      <c r="D242" s="10" t="str">
        <f ca="1">+WORLDCUP!BD64</f>
        <v>Egipto</v>
      </c>
      <c r="E242" s="10" t="str">
        <f ca="1">+WORLDCUP!BD67</f>
        <v>Argelia</v>
      </c>
      <c r="F242" s="10" t="str">
        <f ca="1">+WORLDCUP!BD61</f>
        <v>Australia</v>
      </c>
      <c r="G242" s="10" t="str">
        <f ca="1">+WORLDCUP!BD58</f>
        <v>PO D: DEN/MKD/CZE/IRL</v>
      </c>
      <c r="H242" s="10" t="str">
        <f ca="1">+WORLDCUP!BD63</f>
        <v>Japón</v>
      </c>
      <c r="I242" s="10" t="str">
        <f ca="1">+WORLDCUP!BD69</f>
        <v>Ghana</v>
      </c>
      <c r="J242" s="10" t="str">
        <f ca="1">+WORLDCUP!BD68</f>
        <v>PO 1: COD/JAM/NCL</v>
      </c>
      <c r="N242" s="19" t="s">
        <v>1014</v>
      </c>
      <c r="O242" s="19">
        <v>241</v>
      </c>
      <c r="P242" s="19" t="s">
        <v>93</v>
      </c>
      <c r="Q242" s="19" t="s">
        <v>452</v>
      </c>
      <c r="R242" s="19" t="s">
        <v>458</v>
      </c>
      <c r="S242" s="19" t="s">
        <v>94</v>
      </c>
      <c r="T242" s="19" t="s">
        <v>91</v>
      </c>
      <c r="U242" s="19" t="s">
        <v>96</v>
      </c>
      <c r="V242" s="19" t="s">
        <v>460</v>
      </c>
      <c r="W242" s="19" t="s">
        <v>459</v>
      </c>
    </row>
    <row r="243" spans="1:23">
      <c r="A243" s="10" t="s">
        <v>1013</v>
      </c>
      <c r="B243" s="10">
        <f ca="1">+IF(A243=WORLDCUP!$BI$112,1,0)</f>
        <v>0</v>
      </c>
      <c r="C243" s="10" t="str">
        <f ca="1">+WORLDCUP!BD60</f>
        <v>Escocia</v>
      </c>
      <c r="D243" s="10" t="str">
        <f ca="1">+WORLDCUP!BD64</f>
        <v>Egipto</v>
      </c>
      <c r="E243" s="10" t="str">
        <f ca="1">+WORLDCUP!BD66</f>
        <v>Noruega</v>
      </c>
      <c r="F243" s="10" t="str">
        <f ca="1">+WORLDCUP!BD61</f>
        <v>Australia</v>
      </c>
      <c r="G243" s="10" t="str">
        <f ca="1">+WORLDCUP!BD58</f>
        <v>PO D: DEN/MKD/CZE/IRL</v>
      </c>
      <c r="H243" s="10" t="str">
        <f ca="1">+WORLDCUP!BD63</f>
        <v>Japón</v>
      </c>
      <c r="I243" s="10" t="str">
        <f ca="1">+WORLDCUP!BD69</f>
        <v>Ghana</v>
      </c>
      <c r="J243" s="10" t="str">
        <f ca="1">+WORLDCUP!BD68</f>
        <v>PO 1: COD/JAM/NCL</v>
      </c>
      <c r="N243" s="19" t="s">
        <v>1013</v>
      </c>
      <c r="O243" s="19">
        <v>242</v>
      </c>
      <c r="P243" s="19" t="s">
        <v>93</v>
      </c>
      <c r="Q243" s="19" t="s">
        <v>452</v>
      </c>
      <c r="R243" s="19" t="s">
        <v>457</v>
      </c>
      <c r="S243" s="19" t="s">
        <v>94</v>
      </c>
      <c r="T243" s="19" t="s">
        <v>91</v>
      </c>
      <c r="U243" s="19" t="s">
        <v>96</v>
      </c>
      <c r="V243" s="19" t="s">
        <v>460</v>
      </c>
      <c r="W243" s="19" t="s">
        <v>459</v>
      </c>
    </row>
    <row r="244" spans="1:23">
      <c r="A244" s="10" t="s">
        <v>1012</v>
      </c>
      <c r="B244" s="10">
        <f ca="1">+IF(A244=WORLDCUP!$BI$112,1,0)</f>
        <v>0</v>
      </c>
      <c r="C244" s="10" t="str">
        <f ca="1">+WORLDCUP!BD60</f>
        <v>Escocia</v>
      </c>
      <c r="D244" s="10" t="str">
        <f ca="1">+WORLDCUP!BD64</f>
        <v>Egipto</v>
      </c>
      <c r="E244" s="10" t="str">
        <f ca="1">+WORLDCUP!BD67</f>
        <v>Argelia</v>
      </c>
      <c r="F244" s="10" t="str">
        <f ca="1">+WORLDCUP!BD61</f>
        <v>Australia</v>
      </c>
      <c r="G244" s="10" t="str">
        <f ca="1">+WORLDCUP!BD58</f>
        <v>PO D: DEN/MKD/CZE/IRL</v>
      </c>
      <c r="H244" s="10" t="str">
        <f ca="1">+WORLDCUP!BD63</f>
        <v>Japón</v>
      </c>
      <c r="I244" s="10" t="str">
        <f ca="1">+WORLDCUP!BD69</f>
        <v>Ghana</v>
      </c>
      <c r="J244" s="10" t="str">
        <f ca="1">+WORLDCUP!BD66</f>
        <v>Noruega</v>
      </c>
      <c r="N244" s="19" t="s">
        <v>1012</v>
      </c>
      <c r="O244" s="19">
        <v>243</v>
      </c>
      <c r="P244" s="19" t="s">
        <v>93</v>
      </c>
      <c r="Q244" s="19" t="s">
        <v>452</v>
      </c>
      <c r="R244" s="19" t="s">
        <v>458</v>
      </c>
      <c r="S244" s="19" t="s">
        <v>94</v>
      </c>
      <c r="T244" s="19" t="s">
        <v>91</v>
      </c>
      <c r="U244" s="19" t="s">
        <v>96</v>
      </c>
      <c r="V244" s="19" t="s">
        <v>460</v>
      </c>
      <c r="W244" s="19" t="s">
        <v>457</v>
      </c>
    </row>
    <row r="245" spans="1:23">
      <c r="A245" s="10" t="s">
        <v>1011</v>
      </c>
      <c r="B245" s="10">
        <f ca="1">+IF(A245=WORLDCUP!$BI$112,1,0)</f>
        <v>0</v>
      </c>
      <c r="C245" s="10" t="str">
        <f ca="1">+WORLDCUP!BD60</f>
        <v>Escocia</v>
      </c>
      <c r="D245" s="10" t="str">
        <f ca="1">+WORLDCUP!BD64</f>
        <v>Egipto</v>
      </c>
      <c r="E245" s="10" t="str">
        <f ca="1">+WORLDCUP!BD67</f>
        <v>Argelia</v>
      </c>
      <c r="F245" s="10" t="str">
        <f ca="1">+WORLDCUP!BD61</f>
        <v>Australia</v>
      </c>
      <c r="G245" s="10" t="str">
        <f ca="1">+WORLDCUP!BD58</f>
        <v>PO D: DEN/MKD/CZE/IRL</v>
      </c>
      <c r="H245" s="10" t="str">
        <f ca="1">+WORLDCUP!BD63</f>
        <v>Japón</v>
      </c>
      <c r="I245" s="10" t="str">
        <f ca="1">+WORLDCUP!BD66</f>
        <v>Noruega</v>
      </c>
      <c r="J245" s="10" t="str">
        <f ca="1">+WORLDCUP!BD68</f>
        <v>PO 1: COD/JAM/NCL</v>
      </c>
      <c r="N245" s="19" t="s">
        <v>1011</v>
      </c>
      <c r="O245" s="19">
        <v>244</v>
      </c>
      <c r="P245" s="19" t="s">
        <v>93</v>
      </c>
      <c r="Q245" s="19" t="s">
        <v>452</v>
      </c>
      <c r="R245" s="19" t="s">
        <v>458</v>
      </c>
      <c r="S245" s="19" t="s">
        <v>94</v>
      </c>
      <c r="T245" s="19" t="s">
        <v>91</v>
      </c>
      <c r="U245" s="19" t="s">
        <v>96</v>
      </c>
      <c r="V245" s="19" t="s">
        <v>457</v>
      </c>
      <c r="W245" s="19" t="s">
        <v>459</v>
      </c>
    </row>
    <row r="246" spans="1:23">
      <c r="A246" s="10" t="s">
        <v>1010</v>
      </c>
      <c r="B246" s="10">
        <f ca="1">+IF(A246=WORLDCUP!$BI$112,1,0)</f>
        <v>0</v>
      </c>
      <c r="C246" s="10" t="str">
        <f ca="1">+WORLDCUP!BD65</f>
        <v>Arabia Saudita</v>
      </c>
      <c r="D246" s="10" t="str">
        <f ca="1">+WORLDCUP!BD64</f>
        <v>Egipto</v>
      </c>
      <c r="E246" s="10" t="str">
        <f ca="1">+WORLDCUP!BD63</f>
        <v>Japón</v>
      </c>
      <c r="F246" s="10" t="str">
        <f ca="1">+WORLDCUP!BD60</f>
        <v>Escocia</v>
      </c>
      <c r="G246" s="10" t="str">
        <f ca="1">+WORLDCUP!BD58</f>
        <v>PO D: DEN/MKD/CZE/IRL</v>
      </c>
      <c r="H246" s="10" t="str">
        <f ca="1">+WORLDCUP!BD61</f>
        <v>Australia</v>
      </c>
      <c r="I246" s="10" t="str">
        <f ca="1">+WORLDCUP!BD69</f>
        <v>Ghana</v>
      </c>
      <c r="J246" s="10" t="str">
        <f ca="1">+WORLDCUP!BD68</f>
        <v>PO 1: COD/JAM/NCL</v>
      </c>
      <c r="N246" s="19" t="s">
        <v>1010</v>
      </c>
      <c r="O246" s="19">
        <v>245</v>
      </c>
      <c r="P246" s="19" t="s">
        <v>453</v>
      </c>
      <c r="Q246" s="19" t="s">
        <v>452</v>
      </c>
      <c r="R246" s="19" t="s">
        <v>96</v>
      </c>
      <c r="S246" s="19" t="s">
        <v>93</v>
      </c>
      <c r="T246" s="19" t="s">
        <v>91</v>
      </c>
      <c r="U246" s="19" t="s">
        <v>94</v>
      </c>
      <c r="V246" s="19" t="s">
        <v>460</v>
      </c>
      <c r="W246" s="19" t="s">
        <v>459</v>
      </c>
    </row>
    <row r="247" spans="1:23">
      <c r="A247" s="10" t="s">
        <v>1009</v>
      </c>
      <c r="B247" s="10">
        <f ca="1">+IF(A247=WORLDCUP!$BI$112,1,0)</f>
        <v>0</v>
      </c>
      <c r="C247" s="10" t="str">
        <f ca="1">+WORLDCUP!BD60</f>
        <v>Escocia</v>
      </c>
      <c r="D247" s="10" t="str">
        <f ca="1">+WORLDCUP!BD64</f>
        <v>Egipto</v>
      </c>
      <c r="E247" s="10" t="str">
        <f ca="1">+WORLDCUP!BD67</f>
        <v>Argelia</v>
      </c>
      <c r="F247" s="10" t="str">
        <f ca="1">+WORLDCUP!BD61</f>
        <v>Australia</v>
      </c>
      <c r="G247" s="10" t="str">
        <f ca="1">+WORLDCUP!BD58</f>
        <v>PO D: DEN/MKD/CZE/IRL</v>
      </c>
      <c r="H247" s="10" t="str">
        <f ca="1">+WORLDCUP!BD63</f>
        <v>Japón</v>
      </c>
      <c r="I247" s="10" t="str">
        <f ca="1">+WORLDCUP!BD69</f>
        <v>Ghana</v>
      </c>
      <c r="J247" s="10" t="str">
        <f ca="1">+WORLDCUP!BD65</f>
        <v>Arabia Saudita</v>
      </c>
      <c r="N247" s="19" t="s">
        <v>1009</v>
      </c>
      <c r="O247" s="19">
        <v>246</v>
      </c>
      <c r="P247" s="19" t="s">
        <v>93</v>
      </c>
      <c r="Q247" s="19" t="s">
        <v>452</v>
      </c>
      <c r="R247" s="19" t="s">
        <v>458</v>
      </c>
      <c r="S247" s="19" t="s">
        <v>94</v>
      </c>
      <c r="T247" s="19" t="s">
        <v>91</v>
      </c>
      <c r="U247" s="19" t="s">
        <v>96</v>
      </c>
      <c r="V247" s="19" t="s">
        <v>460</v>
      </c>
      <c r="W247" s="19" t="s">
        <v>453</v>
      </c>
    </row>
    <row r="248" spans="1:23">
      <c r="A248" s="10" t="s">
        <v>1008</v>
      </c>
      <c r="B248" s="10">
        <f ca="1">+IF(A248=WORLDCUP!$BI$112,1,0)</f>
        <v>0</v>
      </c>
      <c r="C248" s="10" t="str">
        <f ca="1">+WORLDCUP!BD65</f>
        <v>Arabia Saudita</v>
      </c>
      <c r="D248" s="10" t="str">
        <f ca="1">+WORLDCUP!BD64</f>
        <v>Egipto</v>
      </c>
      <c r="E248" s="10" t="str">
        <f ca="1">+WORLDCUP!BD67</f>
        <v>Argelia</v>
      </c>
      <c r="F248" s="10" t="str">
        <f ca="1">+WORLDCUP!BD60</f>
        <v>Escocia</v>
      </c>
      <c r="G248" s="10" t="str">
        <f ca="1">+WORLDCUP!BD58</f>
        <v>PO D: DEN/MKD/CZE/IRL</v>
      </c>
      <c r="H248" s="10" t="str">
        <f ca="1">+WORLDCUP!BD63</f>
        <v>Japón</v>
      </c>
      <c r="I248" s="10" t="str">
        <f ca="1">+WORLDCUP!BD61</f>
        <v>Australia</v>
      </c>
      <c r="J248" s="10" t="str">
        <f ca="1">+WORLDCUP!BD68</f>
        <v>PO 1: COD/JAM/NCL</v>
      </c>
      <c r="N248" s="19" t="s">
        <v>1008</v>
      </c>
      <c r="O248" s="19">
        <v>247</v>
      </c>
      <c r="P248" s="19" t="s">
        <v>453</v>
      </c>
      <c r="Q248" s="19" t="s">
        <v>452</v>
      </c>
      <c r="R248" s="19" t="s">
        <v>458</v>
      </c>
      <c r="S248" s="19" t="s">
        <v>93</v>
      </c>
      <c r="T248" s="19" t="s">
        <v>91</v>
      </c>
      <c r="U248" s="19" t="s">
        <v>96</v>
      </c>
      <c r="V248" s="19" t="s">
        <v>94</v>
      </c>
      <c r="W248" s="19" t="s">
        <v>459</v>
      </c>
    </row>
    <row r="249" spans="1:23">
      <c r="A249" s="10" t="s">
        <v>1007</v>
      </c>
      <c r="B249" s="10">
        <f ca="1">+IF(A249=WORLDCUP!$BI$112,1,0)</f>
        <v>0</v>
      </c>
      <c r="C249" s="10" t="str">
        <f ca="1">+WORLDCUP!BD65</f>
        <v>Arabia Saudita</v>
      </c>
      <c r="D249" s="10" t="str">
        <f ca="1">+WORLDCUP!BD64</f>
        <v>Egipto</v>
      </c>
      <c r="E249" s="10" t="str">
        <f ca="1">+WORLDCUP!BD63</f>
        <v>Japón</v>
      </c>
      <c r="F249" s="10" t="str">
        <f ca="1">+WORLDCUP!BD60</f>
        <v>Escocia</v>
      </c>
      <c r="G249" s="10" t="str">
        <f ca="1">+WORLDCUP!BD58</f>
        <v>PO D: DEN/MKD/CZE/IRL</v>
      </c>
      <c r="H249" s="10" t="str">
        <f ca="1">+WORLDCUP!BD61</f>
        <v>Australia</v>
      </c>
      <c r="I249" s="10" t="str">
        <f ca="1">+WORLDCUP!BD69</f>
        <v>Ghana</v>
      </c>
      <c r="J249" s="10" t="str">
        <f ca="1">+WORLDCUP!BD66</f>
        <v>Noruega</v>
      </c>
      <c r="N249" s="19" t="s">
        <v>1007</v>
      </c>
      <c r="O249" s="19">
        <v>248</v>
      </c>
      <c r="P249" s="19" t="s">
        <v>453</v>
      </c>
      <c r="Q249" s="19" t="s">
        <v>452</v>
      </c>
      <c r="R249" s="19" t="s">
        <v>96</v>
      </c>
      <c r="S249" s="19" t="s">
        <v>93</v>
      </c>
      <c r="T249" s="19" t="s">
        <v>91</v>
      </c>
      <c r="U249" s="19" t="s">
        <v>94</v>
      </c>
      <c r="V249" s="19" t="s">
        <v>460</v>
      </c>
      <c r="W249" s="19" t="s">
        <v>457</v>
      </c>
    </row>
    <row r="250" spans="1:23">
      <c r="A250" s="10" t="s">
        <v>1006</v>
      </c>
      <c r="B250" s="10">
        <f ca="1">+IF(A250=WORLDCUP!$BI$112,1,0)</f>
        <v>0</v>
      </c>
      <c r="C250" s="10" t="str">
        <f ca="1">+WORLDCUP!BD65</f>
        <v>Arabia Saudita</v>
      </c>
      <c r="D250" s="10" t="str">
        <f ca="1">+WORLDCUP!BD64</f>
        <v>Egipto</v>
      </c>
      <c r="E250" s="10" t="str">
        <f ca="1">+WORLDCUP!BD63</f>
        <v>Japón</v>
      </c>
      <c r="F250" s="10" t="str">
        <f ca="1">+WORLDCUP!BD60</f>
        <v>Escocia</v>
      </c>
      <c r="G250" s="10" t="str">
        <f ca="1">+WORLDCUP!BD58</f>
        <v>PO D: DEN/MKD/CZE/IRL</v>
      </c>
      <c r="H250" s="10" t="str">
        <f ca="1">+WORLDCUP!BD61</f>
        <v>Australia</v>
      </c>
      <c r="I250" s="10" t="str">
        <f ca="1">+WORLDCUP!BD66</f>
        <v>Noruega</v>
      </c>
      <c r="J250" s="10" t="str">
        <f ca="1">+WORLDCUP!BD68</f>
        <v>PO 1: COD/JAM/NCL</v>
      </c>
      <c r="N250" s="19" t="s">
        <v>1006</v>
      </c>
      <c r="O250" s="19">
        <v>249</v>
      </c>
      <c r="P250" s="19" t="s">
        <v>453</v>
      </c>
      <c r="Q250" s="19" t="s">
        <v>452</v>
      </c>
      <c r="R250" s="19" t="s">
        <v>96</v>
      </c>
      <c r="S250" s="19" t="s">
        <v>93</v>
      </c>
      <c r="T250" s="19" t="s">
        <v>91</v>
      </c>
      <c r="U250" s="19" t="s">
        <v>94</v>
      </c>
      <c r="V250" s="19" t="s">
        <v>457</v>
      </c>
      <c r="W250" s="19" t="s">
        <v>459</v>
      </c>
    </row>
    <row r="251" spans="1:23">
      <c r="A251" s="10" t="s">
        <v>1005</v>
      </c>
      <c r="B251" s="10">
        <f ca="1">+IF(A251=WORLDCUP!$BI$112,1,0)</f>
        <v>0</v>
      </c>
      <c r="C251" s="10" t="str">
        <f ca="1">+WORLDCUP!BD65</f>
        <v>Arabia Saudita</v>
      </c>
      <c r="D251" s="10" t="str">
        <f ca="1">+WORLDCUP!BD64</f>
        <v>Egipto</v>
      </c>
      <c r="E251" s="10" t="str">
        <f ca="1">+WORLDCUP!BD67</f>
        <v>Argelia</v>
      </c>
      <c r="F251" s="10" t="str">
        <f ca="1">+WORLDCUP!BD60</f>
        <v>Escocia</v>
      </c>
      <c r="G251" s="10" t="str">
        <f ca="1">+WORLDCUP!BD58</f>
        <v>PO D: DEN/MKD/CZE/IRL</v>
      </c>
      <c r="H251" s="10" t="str">
        <f ca="1">+WORLDCUP!BD63</f>
        <v>Japón</v>
      </c>
      <c r="I251" s="10" t="str">
        <f ca="1">+WORLDCUP!BD61</f>
        <v>Australia</v>
      </c>
      <c r="J251" s="10" t="str">
        <f ca="1">+WORLDCUP!BD66</f>
        <v>Noruega</v>
      </c>
      <c r="N251" s="19" t="s">
        <v>1005</v>
      </c>
      <c r="O251" s="19">
        <v>250</v>
      </c>
      <c r="P251" s="19" t="s">
        <v>453</v>
      </c>
      <c r="Q251" s="19" t="s">
        <v>452</v>
      </c>
      <c r="R251" s="19" t="s">
        <v>458</v>
      </c>
      <c r="S251" s="19" t="s">
        <v>93</v>
      </c>
      <c r="T251" s="19" t="s">
        <v>91</v>
      </c>
      <c r="U251" s="19" t="s">
        <v>96</v>
      </c>
      <c r="V251" s="19" t="s">
        <v>94</v>
      </c>
      <c r="W251" s="19" t="s">
        <v>457</v>
      </c>
    </row>
    <row r="252" spans="1:23">
      <c r="A252" s="10" t="s">
        <v>1004</v>
      </c>
      <c r="B252" s="10">
        <f ca="1">+IF(A252=WORLDCUP!$BI$112,1,0)</f>
        <v>0</v>
      </c>
      <c r="C252" s="10" t="str">
        <f ca="1">+WORLDCUP!BD62</f>
        <v>Curazao</v>
      </c>
      <c r="D252" s="10" t="str">
        <f ca="1">+WORLDCUP!BD67</f>
        <v>Argelia</v>
      </c>
      <c r="E252" s="10" t="str">
        <f ca="1">+WORLDCUP!BD66</f>
        <v>Noruega</v>
      </c>
      <c r="F252" s="10" t="str">
        <f ca="1">+WORLDCUP!BD60</f>
        <v>Escocia</v>
      </c>
      <c r="G252" s="10" t="str">
        <f ca="1">+WORLDCUP!BD58</f>
        <v>PO D: DEN/MKD/CZE/IRL</v>
      </c>
      <c r="H252" s="10" t="str">
        <f ca="1">+WORLDCUP!BD61</f>
        <v>Australia</v>
      </c>
      <c r="I252" s="10" t="str">
        <f ca="1">+WORLDCUP!BD69</f>
        <v>Ghana</v>
      </c>
      <c r="J252" s="10" t="str">
        <f ca="1">+WORLDCUP!BD68</f>
        <v>PO 1: COD/JAM/NCL</v>
      </c>
      <c r="N252" s="19" t="s">
        <v>1004</v>
      </c>
      <c r="O252" s="19">
        <v>251</v>
      </c>
      <c r="P252" s="19" t="s">
        <v>95</v>
      </c>
      <c r="Q252" s="19" t="s">
        <v>458</v>
      </c>
      <c r="R252" s="19" t="s">
        <v>457</v>
      </c>
      <c r="S252" s="19" t="s">
        <v>93</v>
      </c>
      <c r="T252" s="19" t="s">
        <v>91</v>
      </c>
      <c r="U252" s="19" t="s">
        <v>94</v>
      </c>
      <c r="V252" s="19" t="s">
        <v>460</v>
      </c>
      <c r="W252" s="19" t="s">
        <v>459</v>
      </c>
    </row>
    <row r="253" spans="1:23">
      <c r="A253" s="10" t="s">
        <v>1003</v>
      </c>
      <c r="B253" s="10">
        <f ca="1">+IF(A253=WORLDCUP!$BI$112,1,0)</f>
        <v>0</v>
      </c>
      <c r="C253" s="10" t="str">
        <f ca="1">+WORLDCUP!BD65</f>
        <v>Arabia Saudita</v>
      </c>
      <c r="D253" s="10" t="str">
        <f ca="1">+WORLDCUP!BD67</f>
        <v>Argelia</v>
      </c>
      <c r="E253" s="10" t="str">
        <f ca="1">+WORLDCUP!BD62</f>
        <v>Curazao</v>
      </c>
      <c r="F253" s="10" t="str">
        <f ca="1">+WORLDCUP!BD60</f>
        <v>Escocia</v>
      </c>
      <c r="G253" s="10" t="str">
        <f ca="1">+WORLDCUP!BD58</f>
        <v>PO D: DEN/MKD/CZE/IRL</v>
      </c>
      <c r="H253" s="10" t="str">
        <f ca="1">+WORLDCUP!BD61</f>
        <v>Australia</v>
      </c>
      <c r="I253" s="10" t="str">
        <f ca="1">+WORLDCUP!BD69</f>
        <v>Ghana</v>
      </c>
      <c r="J253" s="10" t="str">
        <f ca="1">+WORLDCUP!BD68</f>
        <v>PO 1: COD/JAM/NCL</v>
      </c>
      <c r="N253" s="19" t="s">
        <v>1003</v>
      </c>
      <c r="O253" s="19">
        <v>252</v>
      </c>
      <c r="P253" s="19" t="s">
        <v>453</v>
      </c>
      <c r="Q253" s="19" t="s">
        <v>458</v>
      </c>
      <c r="R253" s="19" t="s">
        <v>95</v>
      </c>
      <c r="S253" s="19" t="s">
        <v>93</v>
      </c>
      <c r="T253" s="19" t="s">
        <v>91</v>
      </c>
      <c r="U253" s="19" t="s">
        <v>94</v>
      </c>
      <c r="V253" s="19" t="s">
        <v>460</v>
      </c>
      <c r="W253" s="19" t="s">
        <v>459</v>
      </c>
    </row>
    <row r="254" spans="1:23">
      <c r="A254" s="10" t="s">
        <v>1002</v>
      </c>
      <c r="B254" s="10">
        <f ca="1">+IF(A254=WORLDCUP!$BI$112,1,0)</f>
        <v>0</v>
      </c>
      <c r="C254" s="10" t="str">
        <f ca="1">+WORLDCUP!BD65</f>
        <v>Arabia Saudita</v>
      </c>
      <c r="D254" s="10" t="str">
        <f ca="1">+WORLDCUP!BD62</f>
        <v>Curazao</v>
      </c>
      <c r="E254" s="10" t="str">
        <f ca="1">+WORLDCUP!BD66</f>
        <v>Noruega</v>
      </c>
      <c r="F254" s="10" t="str">
        <f ca="1">+WORLDCUP!BD60</f>
        <v>Escocia</v>
      </c>
      <c r="G254" s="10" t="str">
        <f ca="1">+WORLDCUP!BD58</f>
        <v>PO D: DEN/MKD/CZE/IRL</v>
      </c>
      <c r="H254" s="10" t="str">
        <f ca="1">+WORLDCUP!BD61</f>
        <v>Australia</v>
      </c>
      <c r="I254" s="10" t="str">
        <f ca="1">+WORLDCUP!BD69</f>
        <v>Ghana</v>
      </c>
      <c r="J254" s="10" t="str">
        <f ca="1">+WORLDCUP!BD68</f>
        <v>PO 1: COD/JAM/NCL</v>
      </c>
      <c r="N254" s="19" t="s">
        <v>1002</v>
      </c>
      <c r="O254" s="19">
        <v>253</v>
      </c>
      <c r="P254" s="19" t="s">
        <v>453</v>
      </c>
      <c r="Q254" s="19" t="s">
        <v>95</v>
      </c>
      <c r="R254" s="19" t="s">
        <v>457</v>
      </c>
      <c r="S254" s="19" t="s">
        <v>93</v>
      </c>
      <c r="T254" s="19" t="s">
        <v>91</v>
      </c>
      <c r="U254" s="19" t="s">
        <v>94</v>
      </c>
      <c r="V254" s="19" t="s">
        <v>460</v>
      </c>
      <c r="W254" s="19" t="s">
        <v>459</v>
      </c>
    </row>
    <row r="255" spans="1:23">
      <c r="A255" s="10" t="s">
        <v>1001</v>
      </c>
      <c r="B255" s="10">
        <f ca="1">+IF(A255=WORLDCUP!$BI$112,1,0)</f>
        <v>0</v>
      </c>
      <c r="C255" s="10" t="str">
        <f ca="1">+WORLDCUP!BD65</f>
        <v>Arabia Saudita</v>
      </c>
      <c r="D255" s="10" t="str">
        <f ca="1">+WORLDCUP!BD67</f>
        <v>Argelia</v>
      </c>
      <c r="E255" s="10" t="str">
        <f ca="1">+WORLDCUP!BD62</f>
        <v>Curazao</v>
      </c>
      <c r="F255" s="10" t="str">
        <f ca="1">+WORLDCUP!BD60</f>
        <v>Escocia</v>
      </c>
      <c r="G255" s="10" t="str">
        <f ca="1">+WORLDCUP!BD58</f>
        <v>PO D: DEN/MKD/CZE/IRL</v>
      </c>
      <c r="H255" s="10" t="str">
        <f ca="1">+WORLDCUP!BD61</f>
        <v>Australia</v>
      </c>
      <c r="I255" s="10" t="str">
        <f ca="1">+WORLDCUP!BD69</f>
        <v>Ghana</v>
      </c>
      <c r="J255" s="10" t="str">
        <f ca="1">+WORLDCUP!BD66</f>
        <v>Noruega</v>
      </c>
      <c r="N255" s="19" t="s">
        <v>1001</v>
      </c>
      <c r="O255" s="19">
        <v>254</v>
      </c>
      <c r="P255" s="19" t="s">
        <v>453</v>
      </c>
      <c r="Q255" s="19" t="s">
        <v>458</v>
      </c>
      <c r="R255" s="19" t="s">
        <v>95</v>
      </c>
      <c r="S255" s="19" t="s">
        <v>93</v>
      </c>
      <c r="T255" s="19" t="s">
        <v>91</v>
      </c>
      <c r="U255" s="19" t="s">
        <v>94</v>
      </c>
      <c r="V255" s="19" t="s">
        <v>460</v>
      </c>
      <c r="W255" s="19" t="s">
        <v>457</v>
      </c>
    </row>
    <row r="256" spans="1:23">
      <c r="A256" s="10" t="s">
        <v>1000</v>
      </c>
      <c r="B256" s="10">
        <f ca="1">+IF(A256=WORLDCUP!$BI$112,1,0)</f>
        <v>0</v>
      </c>
      <c r="C256" s="10" t="str">
        <f ca="1">+WORLDCUP!BD65</f>
        <v>Arabia Saudita</v>
      </c>
      <c r="D256" s="10" t="str">
        <f ca="1">+WORLDCUP!BD67</f>
        <v>Argelia</v>
      </c>
      <c r="E256" s="10" t="str">
        <f ca="1">+WORLDCUP!BD62</f>
        <v>Curazao</v>
      </c>
      <c r="F256" s="10" t="str">
        <f ca="1">+WORLDCUP!BD60</f>
        <v>Escocia</v>
      </c>
      <c r="G256" s="10" t="str">
        <f ca="1">+WORLDCUP!BD58</f>
        <v>PO D: DEN/MKD/CZE/IRL</v>
      </c>
      <c r="H256" s="10" t="str">
        <f ca="1">+WORLDCUP!BD61</f>
        <v>Australia</v>
      </c>
      <c r="I256" s="10" t="str">
        <f ca="1">+WORLDCUP!BD66</f>
        <v>Noruega</v>
      </c>
      <c r="J256" s="10" t="str">
        <f ca="1">+WORLDCUP!BD68</f>
        <v>PO 1: COD/JAM/NCL</v>
      </c>
      <c r="N256" s="19" t="s">
        <v>1000</v>
      </c>
      <c r="O256" s="19">
        <v>255</v>
      </c>
      <c r="P256" s="19" t="s">
        <v>453</v>
      </c>
      <c r="Q256" s="19" t="s">
        <v>458</v>
      </c>
      <c r="R256" s="19" t="s">
        <v>95</v>
      </c>
      <c r="S256" s="19" t="s">
        <v>93</v>
      </c>
      <c r="T256" s="19" t="s">
        <v>91</v>
      </c>
      <c r="U256" s="19" t="s">
        <v>94</v>
      </c>
      <c r="V256" s="19" t="s">
        <v>457</v>
      </c>
      <c r="W256" s="19" t="s">
        <v>459</v>
      </c>
    </row>
    <row r="257" spans="1:23">
      <c r="A257" s="10" t="s">
        <v>999</v>
      </c>
      <c r="B257" s="10">
        <f ca="1">+IF(A257=WORLDCUP!$BI$112,1,0)</f>
        <v>0</v>
      </c>
      <c r="C257" s="10" t="str">
        <f ca="1">+WORLDCUP!BD62</f>
        <v>Curazao</v>
      </c>
      <c r="D257" s="10" t="str">
        <f ca="1">+WORLDCUP!BD64</f>
        <v>Egipto</v>
      </c>
      <c r="E257" s="10" t="str">
        <f ca="1">+WORLDCUP!BD67</f>
        <v>Argelia</v>
      </c>
      <c r="F257" s="10" t="str">
        <f ca="1">+WORLDCUP!BD60</f>
        <v>Escocia</v>
      </c>
      <c r="G257" s="10" t="str">
        <f ca="1">+WORLDCUP!BD58</f>
        <v>PO D: DEN/MKD/CZE/IRL</v>
      </c>
      <c r="H257" s="10" t="str">
        <f ca="1">+WORLDCUP!BD61</f>
        <v>Australia</v>
      </c>
      <c r="I257" s="10" t="str">
        <f ca="1">+WORLDCUP!BD69</f>
        <v>Ghana</v>
      </c>
      <c r="J257" s="10" t="str">
        <f ca="1">+WORLDCUP!BD68</f>
        <v>PO 1: COD/JAM/NCL</v>
      </c>
      <c r="N257" s="19" t="s">
        <v>999</v>
      </c>
      <c r="O257" s="19">
        <v>256</v>
      </c>
      <c r="P257" s="19" t="s">
        <v>95</v>
      </c>
      <c r="Q257" s="19" t="s">
        <v>452</v>
      </c>
      <c r="R257" s="19" t="s">
        <v>458</v>
      </c>
      <c r="S257" s="19" t="s">
        <v>93</v>
      </c>
      <c r="T257" s="19" t="s">
        <v>91</v>
      </c>
      <c r="U257" s="19" t="s">
        <v>94</v>
      </c>
      <c r="V257" s="19" t="s">
        <v>460</v>
      </c>
      <c r="W257" s="19" t="s">
        <v>459</v>
      </c>
    </row>
    <row r="258" spans="1:23">
      <c r="A258" s="10" t="s">
        <v>998</v>
      </c>
      <c r="B258" s="10">
        <f ca="1">+IF(A258=WORLDCUP!$BI$112,1,0)</f>
        <v>0</v>
      </c>
      <c r="C258" s="10" t="str">
        <f ca="1">+WORLDCUP!BD62</f>
        <v>Curazao</v>
      </c>
      <c r="D258" s="10" t="str">
        <f ca="1">+WORLDCUP!BD64</f>
        <v>Egipto</v>
      </c>
      <c r="E258" s="10" t="str">
        <f ca="1">+WORLDCUP!BD66</f>
        <v>Noruega</v>
      </c>
      <c r="F258" s="10" t="str">
        <f ca="1">+WORLDCUP!BD60</f>
        <v>Escocia</v>
      </c>
      <c r="G258" s="10" t="str">
        <f ca="1">+WORLDCUP!BD58</f>
        <v>PO D: DEN/MKD/CZE/IRL</v>
      </c>
      <c r="H258" s="10" t="str">
        <f ca="1">+WORLDCUP!BD61</f>
        <v>Australia</v>
      </c>
      <c r="I258" s="10" t="str">
        <f ca="1">+WORLDCUP!BD69</f>
        <v>Ghana</v>
      </c>
      <c r="J258" s="10" t="str">
        <f ca="1">+WORLDCUP!BD68</f>
        <v>PO 1: COD/JAM/NCL</v>
      </c>
      <c r="N258" s="19" t="s">
        <v>998</v>
      </c>
      <c r="O258" s="19">
        <v>257</v>
      </c>
      <c r="P258" s="19" t="s">
        <v>95</v>
      </c>
      <c r="Q258" s="19" t="s">
        <v>452</v>
      </c>
      <c r="R258" s="19" t="s">
        <v>457</v>
      </c>
      <c r="S258" s="19" t="s">
        <v>93</v>
      </c>
      <c r="T258" s="19" t="s">
        <v>91</v>
      </c>
      <c r="U258" s="19" t="s">
        <v>94</v>
      </c>
      <c r="V258" s="19" t="s">
        <v>460</v>
      </c>
      <c r="W258" s="19" t="s">
        <v>459</v>
      </c>
    </row>
    <row r="259" spans="1:23">
      <c r="A259" s="10" t="s">
        <v>997</v>
      </c>
      <c r="B259" s="10">
        <f ca="1">+IF(A259=WORLDCUP!$BI$112,1,0)</f>
        <v>0</v>
      </c>
      <c r="C259" s="10" t="str">
        <f ca="1">+WORLDCUP!BD62</f>
        <v>Curazao</v>
      </c>
      <c r="D259" s="10" t="str">
        <f ca="1">+WORLDCUP!BD64</f>
        <v>Egipto</v>
      </c>
      <c r="E259" s="10" t="str">
        <f ca="1">+WORLDCUP!BD67</f>
        <v>Argelia</v>
      </c>
      <c r="F259" s="10" t="str">
        <f ca="1">+WORLDCUP!BD60</f>
        <v>Escocia</v>
      </c>
      <c r="G259" s="10" t="str">
        <f ca="1">+WORLDCUP!BD58</f>
        <v>PO D: DEN/MKD/CZE/IRL</v>
      </c>
      <c r="H259" s="10" t="str">
        <f ca="1">+WORLDCUP!BD61</f>
        <v>Australia</v>
      </c>
      <c r="I259" s="10" t="str">
        <f ca="1">+WORLDCUP!BD69</f>
        <v>Ghana</v>
      </c>
      <c r="J259" s="10" t="str">
        <f ca="1">+WORLDCUP!BD66</f>
        <v>Noruega</v>
      </c>
      <c r="N259" s="19" t="s">
        <v>997</v>
      </c>
      <c r="O259" s="19">
        <v>258</v>
      </c>
      <c r="P259" s="19" t="s">
        <v>95</v>
      </c>
      <c r="Q259" s="19" t="s">
        <v>452</v>
      </c>
      <c r="R259" s="19" t="s">
        <v>458</v>
      </c>
      <c r="S259" s="19" t="s">
        <v>93</v>
      </c>
      <c r="T259" s="19" t="s">
        <v>91</v>
      </c>
      <c r="U259" s="19" t="s">
        <v>94</v>
      </c>
      <c r="V259" s="19" t="s">
        <v>460</v>
      </c>
      <c r="W259" s="19" t="s">
        <v>457</v>
      </c>
    </row>
    <row r="260" spans="1:23">
      <c r="A260" s="10" t="s">
        <v>996</v>
      </c>
      <c r="B260" s="10">
        <f ca="1">+IF(A260=WORLDCUP!$BI$112,1,0)</f>
        <v>0</v>
      </c>
      <c r="C260" s="10" t="str">
        <f ca="1">+WORLDCUP!BD62</f>
        <v>Curazao</v>
      </c>
      <c r="D260" s="10" t="str">
        <f ca="1">+WORLDCUP!BD64</f>
        <v>Egipto</v>
      </c>
      <c r="E260" s="10" t="str">
        <f ca="1">+WORLDCUP!BD67</f>
        <v>Argelia</v>
      </c>
      <c r="F260" s="10" t="str">
        <f ca="1">+WORLDCUP!BD60</f>
        <v>Escocia</v>
      </c>
      <c r="G260" s="10" t="str">
        <f ca="1">+WORLDCUP!BD58</f>
        <v>PO D: DEN/MKD/CZE/IRL</v>
      </c>
      <c r="H260" s="10" t="str">
        <f ca="1">+WORLDCUP!BD61</f>
        <v>Australia</v>
      </c>
      <c r="I260" s="10" t="str">
        <f ca="1">+WORLDCUP!BD66</f>
        <v>Noruega</v>
      </c>
      <c r="J260" s="10" t="str">
        <f ca="1">+WORLDCUP!BD68</f>
        <v>PO 1: COD/JAM/NCL</v>
      </c>
      <c r="N260" s="19" t="s">
        <v>996</v>
      </c>
      <c r="O260" s="19">
        <v>259</v>
      </c>
      <c r="P260" s="19" t="s">
        <v>95</v>
      </c>
      <c r="Q260" s="19" t="s">
        <v>452</v>
      </c>
      <c r="R260" s="19" t="s">
        <v>458</v>
      </c>
      <c r="S260" s="19" t="s">
        <v>93</v>
      </c>
      <c r="T260" s="19" t="s">
        <v>91</v>
      </c>
      <c r="U260" s="19" t="s">
        <v>94</v>
      </c>
      <c r="V260" s="19" t="s">
        <v>457</v>
      </c>
      <c r="W260" s="19" t="s">
        <v>459</v>
      </c>
    </row>
    <row r="261" spans="1:23">
      <c r="A261" s="10" t="s">
        <v>995</v>
      </c>
      <c r="B261" s="10">
        <f ca="1">+IF(A261=WORLDCUP!$BI$112,1,0)</f>
        <v>0</v>
      </c>
      <c r="C261" s="10" t="str">
        <f ca="1">+WORLDCUP!BD65</f>
        <v>Arabia Saudita</v>
      </c>
      <c r="D261" s="10" t="str">
        <f ca="1">+WORLDCUP!BD64</f>
        <v>Egipto</v>
      </c>
      <c r="E261" s="10" t="str">
        <f ca="1">+WORLDCUP!BD62</f>
        <v>Curazao</v>
      </c>
      <c r="F261" s="10" t="str">
        <f ca="1">+WORLDCUP!BD60</f>
        <v>Escocia</v>
      </c>
      <c r="G261" s="10" t="str">
        <f ca="1">+WORLDCUP!BD58</f>
        <v>PO D: DEN/MKD/CZE/IRL</v>
      </c>
      <c r="H261" s="10" t="str">
        <f ca="1">+WORLDCUP!BD61</f>
        <v>Australia</v>
      </c>
      <c r="I261" s="10" t="str">
        <f ca="1">+WORLDCUP!BD69</f>
        <v>Ghana</v>
      </c>
      <c r="J261" s="10" t="str">
        <f ca="1">+WORLDCUP!BD68</f>
        <v>PO 1: COD/JAM/NCL</v>
      </c>
      <c r="N261" s="19" t="s">
        <v>995</v>
      </c>
      <c r="O261" s="19">
        <v>260</v>
      </c>
      <c r="P261" s="19" t="s">
        <v>453</v>
      </c>
      <c r="Q261" s="19" t="s">
        <v>452</v>
      </c>
      <c r="R261" s="19" t="s">
        <v>95</v>
      </c>
      <c r="S261" s="19" t="s">
        <v>93</v>
      </c>
      <c r="T261" s="19" t="s">
        <v>91</v>
      </c>
      <c r="U261" s="19" t="s">
        <v>94</v>
      </c>
      <c r="V261" s="19" t="s">
        <v>460</v>
      </c>
      <c r="W261" s="19" t="s">
        <v>459</v>
      </c>
    </row>
    <row r="262" spans="1:23">
      <c r="A262" s="10" t="s">
        <v>994</v>
      </c>
      <c r="B262" s="10">
        <f ca="1">+IF(A262=WORLDCUP!$BI$112,1,0)</f>
        <v>0</v>
      </c>
      <c r="C262" s="10" t="str">
        <f ca="1">+WORLDCUP!BD65</f>
        <v>Arabia Saudita</v>
      </c>
      <c r="D262" s="10" t="str">
        <f ca="1">+WORLDCUP!BD64</f>
        <v>Egipto</v>
      </c>
      <c r="E262" s="10" t="str">
        <f ca="1">+WORLDCUP!BD67</f>
        <v>Argelia</v>
      </c>
      <c r="F262" s="10" t="str">
        <f ca="1">+WORLDCUP!BD60</f>
        <v>Escocia</v>
      </c>
      <c r="G262" s="10" t="str">
        <f ca="1">+WORLDCUP!BD58</f>
        <v>PO D: DEN/MKD/CZE/IRL</v>
      </c>
      <c r="H262" s="10" t="str">
        <f ca="1">+WORLDCUP!BD61</f>
        <v>Australia</v>
      </c>
      <c r="I262" s="10" t="str">
        <f ca="1">+WORLDCUP!BD69</f>
        <v>Ghana</v>
      </c>
      <c r="J262" s="10" t="str">
        <f ca="1">+WORLDCUP!BD62</f>
        <v>Curazao</v>
      </c>
      <c r="N262" s="19" t="s">
        <v>994</v>
      </c>
      <c r="O262" s="19">
        <v>261</v>
      </c>
      <c r="P262" s="19" t="s">
        <v>453</v>
      </c>
      <c r="Q262" s="19" t="s">
        <v>452</v>
      </c>
      <c r="R262" s="19" t="s">
        <v>458</v>
      </c>
      <c r="S262" s="19" t="s">
        <v>93</v>
      </c>
      <c r="T262" s="19" t="s">
        <v>91</v>
      </c>
      <c r="U262" s="19" t="s">
        <v>94</v>
      </c>
      <c r="V262" s="19" t="s">
        <v>460</v>
      </c>
      <c r="W262" s="19" t="s">
        <v>95</v>
      </c>
    </row>
    <row r="263" spans="1:23">
      <c r="A263" s="10" t="s">
        <v>993</v>
      </c>
      <c r="B263" s="10">
        <f ca="1">+IF(A263=WORLDCUP!$BI$112,1,0)</f>
        <v>0</v>
      </c>
      <c r="C263" s="10" t="str">
        <f ca="1">+WORLDCUP!BD65</f>
        <v>Arabia Saudita</v>
      </c>
      <c r="D263" s="10" t="str">
        <f ca="1">+WORLDCUP!BD64</f>
        <v>Egipto</v>
      </c>
      <c r="E263" s="10" t="str">
        <f ca="1">+WORLDCUP!BD67</f>
        <v>Argelia</v>
      </c>
      <c r="F263" s="10" t="str">
        <f ca="1">+WORLDCUP!BD60</f>
        <v>Escocia</v>
      </c>
      <c r="G263" s="10" t="str">
        <f ca="1">+WORLDCUP!BD58</f>
        <v>PO D: DEN/MKD/CZE/IRL</v>
      </c>
      <c r="H263" s="10" t="str">
        <f ca="1">+WORLDCUP!BD61</f>
        <v>Australia</v>
      </c>
      <c r="I263" s="10" t="str">
        <f ca="1">+WORLDCUP!BD62</f>
        <v>Curazao</v>
      </c>
      <c r="J263" s="10" t="str">
        <f ca="1">+WORLDCUP!BD68</f>
        <v>PO 1: COD/JAM/NCL</v>
      </c>
      <c r="N263" s="19" t="s">
        <v>993</v>
      </c>
      <c r="O263" s="19">
        <v>262</v>
      </c>
      <c r="P263" s="19" t="s">
        <v>453</v>
      </c>
      <c r="Q263" s="19" t="s">
        <v>452</v>
      </c>
      <c r="R263" s="19" t="s">
        <v>458</v>
      </c>
      <c r="S263" s="19" t="s">
        <v>93</v>
      </c>
      <c r="T263" s="19" t="s">
        <v>91</v>
      </c>
      <c r="U263" s="19" t="s">
        <v>94</v>
      </c>
      <c r="V263" s="19" t="s">
        <v>95</v>
      </c>
      <c r="W263" s="19" t="s">
        <v>459</v>
      </c>
    </row>
    <row r="264" spans="1:23">
      <c r="A264" s="10" t="s">
        <v>992</v>
      </c>
      <c r="B264" s="10">
        <f ca="1">+IF(A264=WORLDCUP!$BI$112,1,0)</f>
        <v>0</v>
      </c>
      <c r="C264" s="10" t="str">
        <f ca="1">+WORLDCUP!BD65</f>
        <v>Arabia Saudita</v>
      </c>
      <c r="D264" s="10" t="str">
        <f ca="1">+WORLDCUP!BD64</f>
        <v>Egipto</v>
      </c>
      <c r="E264" s="10" t="str">
        <f ca="1">+WORLDCUP!BD62</f>
        <v>Curazao</v>
      </c>
      <c r="F264" s="10" t="str">
        <f ca="1">+WORLDCUP!BD60</f>
        <v>Escocia</v>
      </c>
      <c r="G264" s="10" t="str">
        <f ca="1">+WORLDCUP!BD58</f>
        <v>PO D: DEN/MKD/CZE/IRL</v>
      </c>
      <c r="H264" s="10" t="str">
        <f ca="1">+WORLDCUP!BD61</f>
        <v>Australia</v>
      </c>
      <c r="I264" s="10" t="str">
        <f ca="1">+WORLDCUP!BD69</f>
        <v>Ghana</v>
      </c>
      <c r="J264" s="10" t="str">
        <f ca="1">+WORLDCUP!BD66</f>
        <v>Noruega</v>
      </c>
      <c r="N264" s="19" t="s">
        <v>992</v>
      </c>
      <c r="O264" s="19">
        <v>263</v>
      </c>
      <c r="P264" s="19" t="s">
        <v>453</v>
      </c>
      <c r="Q264" s="19" t="s">
        <v>452</v>
      </c>
      <c r="R264" s="19" t="s">
        <v>95</v>
      </c>
      <c r="S264" s="19" t="s">
        <v>93</v>
      </c>
      <c r="T264" s="19" t="s">
        <v>91</v>
      </c>
      <c r="U264" s="19" t="s">
        <v>94</v>
      </c>
      <c r="V264" s="19" t="s">
        <v>460</v>
      </c>
      <c r="W264" s="19" t="s">
        <v>457</v>
      </c>
    </row>
    <row r="265" spans="1:23">
      <c r="A265" s="10" t="s">
        <v>991</v>
      </c>
      <c r="B265" s="10">
        <f ca="1">+IF(A265=WORLDCUP!$BI$112,1,0)</f>
        <v>0</v>
      </c>
      <c r="C265" s="10" t="str">
        <f ca="1">+WORLDCUP!BD65</f>
        <v>Arabia Saudita</v>
      </c>
      <c r="D265" s="10" t="str">
        <f ca="1">+WORLDCUP!BD64</f>
        <v>Egipto</v>
      </c>
      <c r="E265" s="10" t="str">
        <f ca="1">+WORLDCUP!BD62</f>
        <v>Curazao</v>
      </c>
      <c r="F265" s="10" t="str">
        <f ca="1">+WORLDCUP!BD60</f>
        <v>Escocia</v>
      </c>
      <c r="G265" s="10" t="str">
        <f ca="1">+WORLDCUP!BD58</f>
        <v>PO D: DEN/MKD/CZE/IRL</v>
      </c>
      <c r="H265" s="10" t="str">
        <f ca="1">+WORLDCUP!BD61</f>
        <v>Australia</v>
      </c>
      <c r="I265" s="10" t="str">
        <f ca="1">+WORLDCUP!BD66</f>
        <v>Noruega</v>
      </c>
      <c r="J265" s="10" t="str">
        <f ca="1">+WORLDCUP!BD68</f>
        <v>PO 1: COD/JAM/NCL</v>
      </c>
      <c r="N265" s="19" t="s">
        <v>991</v>
      </c>
      <c r="O265" s="19">
        <v>264</v>
      </c>
      <c r="P265" s="19" t="s">
        <v>453</v>
      </c>
      <c r="Q265" s="19" t="s">
        <v>452</v>
      </c>
      <c r="R265" s="19" t="s">
        <v>95</v>
      </c>
      <c r="S265" s="19" t="s">
        <v>93</v>
      </c>
      <c r="T265" s="19" t="s">
        <v>91</v>
      </c>
      <c r="U265" s="19" t="s">
        <v>94</v>
      </c>
      <c r="V265" s="19" t="s">
        <v>457</v>
      </c>
      <c r="W265" s="19" t="s">
        <v>459</v>
      </c>
    </row>
    <row r="266" spans="1:23">
      <c r="A266" s="10" t="s">
        <v>990</v>
      </c>
      <c r="B266" s="10">
        <f ca="1">+IF(A266=WORLDCUP!$BI$112,1,0)</f>
        <v>0</v>
      </c>
      <c r="C266" s="10" t="str">
        <f ca="1">+WORLDCUP!BD65</f>
        <v>Arabia Saudita</v>
      </c>
      <c r="D266" s="10" t="str">
        <f ca="1">+WORLDCUP!BD64</f>
        <v>Egipto</v>
      </c>
      <c r="E266" s="10" t="str">
        <f ca="1">+WORLDCUP!BD67</f>
        <v>Argelia</v>
      </c>
      <c r="F266" s="10" t="str">
        <f ca="1">+WORLDCUP!BD60</f>
        <v>Escocia</v>
      </c>
      <c r="G266" s="10" t="str">
        <f ca="1">+WORLDCUP!BD58</f>
        <v>PO D: DEN/MKD/CZE/IRL</v>
      </c>
      <c r="H266" s="10" t="str">
        <f ca="1">+WORLDCUP!BD61</f>
        <v>Australia</v>
      </c>
      <c r="I266" s="10" t="str">
        <f ca="1">+WORLDCUP!BD62</f>
        <v>Curazao</v>
      </c>
      <c r="J266" s="10" t="str">
        <f ca="1">+WORLDCUP!BD66</f>
        <v>Noruega</v>
      </c>
      <c r="N266" s="19" t="s">
        <v>990</v>
      </c>
      <c r="O266" s="19">
        <v>265</v>
      </c>
      <c r="P266" s="19" t="s">
        <v>453</v>
      </c>
      <c r="Q266" s="19" t="s">
        <v>452</v>
      </c>
      <c r="R266" s="19" t="s">
        <v>458</v>
      </c>
      <c r="S266" s="19" t="s">
        <v>93</v>
      </c>
      <c r="T266" s="19" t="s">
        <v>91</v>
      </c>
      <c r="U266" s="19" t="s">
        <v>94</v>
      </c>
      <c r="V266" s="19" t="s">
        <v>95</v>
      </c>
      <c r="W266" s="19" t="s">
        <v>457</v>
      </c>
    </row>
    <row r="267" spans="1:23">
      <c r="A267" s="10" t="s">
        <v>989</v>
      </c>
      <c r="B267" s="10">
        <f ca="1">+IF(A267=WORLDCUP!$BI$112,1,0)</f>
        <v>0</v>
      </c>
      <c r="C267" s="10" t="str">
        <f ca="1">+WORLDCUP!BD60</f>
        <v>Escocia</v>
      </c>
      <c r="D267" s="10" t="str">
        <f ca="1">+WORLDCUP!BD67</f>
        <v>Argelia</v>
      </c>
      <c r="E267" s="10" t="str">
        <f ca="1">+WORLDCUP!BD62</f>
        <v>Curazao</v>
      </c>
      <c r="F267" s="10" t="str">
        <f ca="1">+WORLDCUP!BD61</f>
        <v>Australia</v>
      </c>
      <c r="G267" s="10" t="str">
        <f ca="1">+WORLDCUP!BD58</f>
        <v>PO D: DEN/MKD/CZE/IRL</v>
      </c>
      <c r="H267" s="10" t="str">
        <f ca="1">+WORLDCUP!BD63</f>
        <v>Japón</v>
      </c>
      <c r="I267" s="10" t="str">
        <f ca="1">+WORLDCUP!BD69</f>
        <v>Ghana</v>
      </c>
      <c r="J267" s="10" t="str">
        <f ca="1">+WORLDCUP!BD68</f>
        <v>PO 1: COD/JAM/NCL</v>
      </c>
      <c r="N267" s="19" t="s">
        <v>989</v>
      </c>
      <c r="O267" s="19">
        <v>266</v>
      </c>
      <c r="P267" s="19" t="s">
        <v>93</v>
      </c>
      <c r="Q267" s="19" t="s">
        <v>458</v>
      </c>
      <c r="R267" s="19" t="s">
        <v>95</v>
      </c>
      <c r="S267" s="19" t="s">
        <v>94</v>
      </c>
      <c r="T267" s="19" t="s">
        <v>91</v>
      </c>
      <c r="U267" s="19" t="s">
        <v>96</v>
      </c>
      <c r="V267" s="19" t="s">
        <v>460</v>
      </c>
      <c r="W267" s="19" t="s">
        <v>459</v>
      </c>
    </row>
    <row r="268" spans="1:23">
      <c r="A268" s="10" t="s">
        <v>988</v>
      </c>
      <c r="B268" s="10">
        <f ca="1">+IF(A268=WORLDCUP!$BI$112,1,0)</f>
        <v>0</v>
      </c>
      <c r="C268" s="10" t="str">
        <f ca="1">+WORLDCUP!BD60</f>
        <v>Escocia</v>
      </c>
      <c r="D268" s="10" t="str">
        <f ca="1">+WORLDCUP!BD62</f>
        <v>Curazao</v>
      </c>
      <c r="E268" s="10" t="str">
        <f ca="1">+WORLDCUP!BD66</f>
        <v>Noruega</v>
      </c>
      <c r="F268" s="10" t="str">
        <f ca="1">+WORLDCUP!BD61</f>
        <v>Australia</v>
      </c>
      <c r="G268" s="10" t="str">
        <f ca="1">+WORLDCUP!BD58</f>
        <v>PO D: DEN/MKD/CZE/IRL</v>
      </c>
      <c r="H268" s="10" t="str">
        <f ca="1">+WORLDCUP!BD63</f>
        <v>Japón</v>
      </c>
      <c r="I268" s="10" t="str">
        <f ca="1">+WORLDCUP!BD69</f>
        <v>Ghana</v>
      </c>
      <c r="J268" s="10" t="str">
        <f ca="1">+WORLDCUP!BD68</f>
        <v>PO 1: COD/JAM/NCL</v>
      </c>
      <c r="N268" s="19" t="s">
        <v>988</v>
      </c>
      <c r="O268" s="19">
        <v>267</v>
      </c>
      <c r="P268" s="19" t="s">
        <v>93</v>
      </c>
      <c r="Q268" s="19" t="s">
        <v>95</v>
      </c>
      <c r="R268" s="19" t="s">
        <v>457</v>
      </c>
      <c r="S268" s="19" t="s">
        <v>94</v>
      </c>
      <c r="T268" s="19" t="s">
        <v>91</v>
      </c>
      <c r="U268" s="19" t="s">
        <v>96</v>
      </c>
      <c r="V268" s="19" t="s">
        <v>460</v>
      </c>
      <c r="W268" s="19" t="s">
        <v>459</v>
      </c>
    </row>
    <row r="269" spans="1:23">
      <c r="A269" s="10" t="s">
        <v>987</v>
      </c>
      <c r="B269" s="10">
        <f ca="1">+IF(A269=WORLDCUP!$BI$112,1,0)</f>
        <v>0</v>
      </c>
      <c r="C269" s="10" t="str">
        <f ca="1">+WORLDCUP!BD60</f>
        <v>Escocia</v>
      </c>
      <c r="D269" s="10" t="str">
        <f ca="1">+WORLDCUP!BD67</f>
        <v>Argelia</v>
      </c>
      <c r="E269" s="10" t="str">
        <f ca="1">+WORLDCUP!BD62</f>
        <v>Curazao</v>
      </c>
      <c r="F269" s="10" t="str">
        <f ca="1">+WORLDCUP!BD61</f>
        <v>Australia</v>
      </c>
      <c r="G269" s="10" t="str">
        <f ca="1">+WORLDCUP!BD58</f>
        <v>PO D: DEN/MKD/CZE/IRL</v>
      </c>
      <c r="H269" s="10" t="str">
        <f ca="1">+WORLDCUP!BD63</f>
        <v>Japón</v>
      </c>
      <c r="I269" s="10" t="str">
        <f ca="1">+WORLDCUP!BD69</f>
        <v>Ghana</v>
      </c>
      <c r="J269" s="10" t="str">
        <f ca="1">+WORLDCUP!BD66</f>
        <v>Noruega</v>
      </c>
      <c r="N269" s="19" t="s">
        <v>987</v>
      </c>
      <c r="O269" s="19">
        <v>268</v>
      </c>
      <c r="P269" s="19" t="s">
        <v>93</v>
      </c>
      <c r="Q269" s="19" t="s">
        <v>458</v>
      </c>
      <c r="R269" s="19" t="s">
        <v>95</v>
      </c>
      <c r="S269" s="19" t="s">
        <v>94</v>
      </c>
      <c r="T269" s="19" t="s">
        <v>91</v>
      </c>
      <c r="U269" s="19" t="s">
        <v>96</v>
      </c>
      <c r="V269" s="19" t="s">
        <v>460</v>
      </c>
      <c r="W269" s="19" t="s">
        <v>457</v>
      </c>
    </row>
    <row r="270" spans="1:23">
      <c r="A270" s="10" t="s">
        <v>986</v>
      </c>
      <c r="B270" s="10">
        <f ca="1">+IF(A270=WORLDCUP!$BI$112,1,0)</f>
        <v>0</v>
      </c>
      <c r="C270" s="10" t="str">
        <f ca="1">+WORLDCUP!BD60</f>
        <v>Escocia</v>
      </c>
      <c r="D270" s="10" t="str">
        <f ca="1">+WORLDCUP!BD67</f>
        <v>Argelia</v>
      </c>
      <c r="E270" s="10" t="str">
        <f ca="1">+WORLDCUP!BD62</f>
        <v>Curazao</v>
      </c>
      <c r="F270" s="10" t="str">
        <f ca="1">+WORLDCUP!BD61</f>
        <v>Australia</v>
      </c>
      <c r="G270" s="10" t="str">
        <f ca="1">+WORLDCUP!BD58</f>
        <v>PO D: DEN/MKD/CZE/IRL</v>
      </c>
      <c r="H270" s="10" t="str">
        <f ca="1">+WORLDCUP!BD63</f>
        <v>Japón</v>
      </c>
      <c r="I270" s="10" t="str">
        <f ca="1">+WORLDCUP!BD66</f>
        <v>Noruega</v>
      </c>
      <c r="J270" s="10" t="str">
        <f ca="1">+WORLDCUP!BD68</f>
        <v>PO 1: COD/JAM/NCL</v>
      </c>
      <c r="N270" s="19" t="s">
        <v>986</v>
      </c>
      <c r="O270" s="19">
        <v>269</v>
      </c>
      <c r="P270" s="19" t="s">
        <v>93</v>
      </c>
      <c r="Q270" s="19" t="s">
        <v>458</v>
      </c>
      <c r="R270" s="19" t="s">
        <v>95</v>
      </c>
      <c r="S270" s="19" t="s">
        <v>94</v>
      </c>
      <c r="T270" s="19" t="s">
        <v>91</v>
      </c>
      <c r="U270" s="19" t="s">
        <v>96</v>
      </c>
      <c r="V270" s="19" t="s">
        <v>457</v>
      </c>
      <c r="W270" s="19" t="s">
        <v>459</v>
      </c>
    </row>
    <row r="271" spans="1:23">
      <c r="A271" s="10" t="s">
        <v>985</v>
      </c>
      <c r="B271" s="10">
        <f ca="1">+IF(A271=WORLDCUP!$BI$112,1,0)</f>
        <v>0</v>
      </c>
      <c r="C271" s="10" t="str">
        <f ca="1">+WORLDCUP!BD65</f>
        <v>Arabia Saudita</v>
      </c>
      <c r="D271" s="10" t="str">
        <f ca="1">+WORLDCUP!BD62</f>
        <v>Curazao</v>
      </c>
      <c r="E271" s="10" t="str">
        <f ca="1">+WORLDCUP!BD63</f>
        <v>Japón</v>
      </c>
      <c r="F271" s="10" t="str">
        <f ca="1">+WORLDCUP!BD60</f>
        <v>Escocia</v>
      </c>
      <c r="G271" s="10" t="str">
        <f ca="1">+WORLDCUP!BD58</f>
        <v>PO D: DEN/MKD/CZE/IRL</v>
      </c>
      <c r="H271" s="10" t="str">
        <f ca="1">+WORLDCUP!BD61</f>
        <v>Australia</v>
      </c>
      <c r="I271" s="10" t="str">
        <f ca="1">+WORLDCUP!BD69</f>
        <v>Ghana</v>
      </c>
      <c r="J271" s="10" t="str">
        <f ca="1">+WORLDCUP!BD68</f>
        <v>PO 1: COD/JAM/NCL</v>
      </c>
      <c r="N271" s="19" t="s">
        <v>985</v>
      </c>
      <c r="O271" s="19">
        <v>270</v>
      </c>
      <c r="P271" s="19" t="s">
        <v>453</v>
      </c>
      <c r="Q271" s="19" t="s">
        <v>95</v>
      </c>
      <c r="R271" s="19" t="s">
        <v>96</v>
      </c>
      <c r="S271" s="19" t="s">
        <v>93</v>
      </c>
      <c r="T271" s="19" t="s">
        <v>91</v>
      </c>
      <c r="U271" s="19" t="s">
        <v>94</v>
      </c>
      <c r="V271" s="19" t="s">
        <v>460</v>
      </c>
      <c r="W271" s="19" t="s">
        <v>459</v>
      </c>
    </row>
    <row r="272" spans="1:23">
      <c r="A272" s="10" t="s">
        <v>984</v>
      </c>
      <c r="B272" s="10">
        <f ca="1">+IF(A272=WORLDCUP!$BI$112,1,0)</f>
        <v>0</v>
      </c>
      <c r="C272" s="10" t="str">
        <f ca="1">+WORLDCUP!BD65</f>
        <v>Arabia Saudita</v>
      </c>
      <c r="D272" s="10" t="str">
        <f ca="1">+WORLDCUP!BD67</f>
        <v>Argelia</v>
      </c>
      <c r="E272" s="10" t="str">
        <f ca="1">+WORLDCUP!BD63</f>
        <v>Japón</v>
      </c>
      <c r="F272" s="10" t="str">
        <f ca="1">+WORLDCUP!BD60</f>
        <v>Escocia</v>
      </c>
      <c r="G272" s="10" t="str">
        <f ca="1">+WORLDCUP!BD58</f>
        <v>PO D: DEN/MKD/CZE/IRL</v>
      </c>
      <c r="H272" s="10" t="str">
        <f ca="1">+WORLDCUP!BD61</f>
        <v>Australia</v>
      </c>
      <c r="I272" s="10" t="str">
        <f ca="1">+WORLDCUP!BD69</f>
        <v>Ghana</v>
      </c>
      <c r="J272" s="10" t="str">
        <f ca="1">+WORLDCUP!BD62</f>
        <v>Curazao</v>
      </c>
      <c r="N272" s="19" t="s">
        <v>984</v>
      </c>
      <c r="O272" s="19">
        <v>271</v>
      </c>
      <c r="P272" s="19" t="s">
        <v>453</v>
      </c>
      <c r="Q272" s="19" t="s">
        <v>458</v>
      </c>
      <c r="R272" s="19" t="s">
        <v>96</v>
      </c>
      <c r="S272" s="19" t="s">
        <v>93</v>
      </c>
      <c r="T272" s="19" t="s">
        <v>91</v>
      </c>
      <c r="U272" s="19" t="s">
        <v>94</v>
      </c>
      <c r="V272" s="19" t="s">
        <v>460</v>
      </c>
      <c r="W272" s="19" t="s">
        <v>95</v>
      </c>
    </row>
    <row r="273" spans="1:23">
      <c r="A273" s="10" t="s">
        <v>983</v>
      </c>
      <c r="B273" s="10">
        <f ca="1">+IF(A273=WORLDCUP!$BI$112,1,0)</f>
        <v>0</v>
      </c>
      <c r="C273" s="10" t="str">
        <f ca="1">+WORLDCUP!BD65</f>
        <v>Arabia Saudita</v>
      </c>
      <c r="D273" s="10" t="str">
        <f ca="1">+WORLDCUP!BD67</f>
        <v>Argelia</v>
      </c>
      <c r="E273" s="10" t="str">
        <f ca="1">+WORLDCUP!BD62</f>
        <v>Curazao</v>
      </c>
      <c r="F273" s="10" t="str">
        <f ca="1">+WORLDCUP!BD60</f>
        <v>Escocia</v>
      </c>
      <c r="G273" s="10" t="str">
        <f ca="1">+WORLDCUP!BD58</f>
        <v>PO D: DEN/MKD/CZE/IRL</v>
      </c>
      <c r="H273" s="10" t="str">
        <f ca="1">+WORLDCUP!BD63</f>
        <v>Japón</v>
      </c>
      <c r="I273" s="10" t="str">
        <f ca="1">+WORLDCUP!BD61</f>
        <v>Australia</v>
      </c>
      <c r="J273" s="10" t="str">
        <f ca="1">+WORLDCUP!BD68</f>
        <v>PO 1: COD/JAM/NCL</v>
      </c>
      <c r="N273" s="19" t="s">
        <v>983</v>
      </c>
      <c r="O273" s="19">
        <v>272</v>
      </c>
      <c r="P273" s="19" t="s">
        <v>453</v>
      </c>
      <c r="Q273" s="19" t="s">
        <v>458</v>
      </c>
      <c r="R273" s="19" t="s">
        <v>95</v>
      </c>
      <c r="S273" s="19" t="s">
        <v>93</v>
      </c>
      <c r="T273" s="19" t="s">
        <v>91</v>
      </c>
      <c r="U273" s="19" t="s">
        <v>96</v>
      </c>
      <c r="V273" s="19" t="s">
        <v>94</v>
      </c>
      <c r="W273" s="19" t="s">
        <v>459</v>
      </c>
    </row>
    <row r="274" spans="1:23">
      <c r="A274" s="10" t="s">
        <v>982</v>
      </c>
      <c r="B274" s="10">
        <f ca="1">+IF(A274=WORLDCUP!$BI$112,1,0)</f>
        <v>0</v>
      </c>
      <c r="C274" s="10" t="str">
        <f ca="1">+WORLDCUP!BD65</f>
        <v>Arabia Saudita</v>
      </c>
      <c r="D274" s="10" t="str">
        <f ca="1">+WORLDCUP!BD62</f>
        <v>Curazao</v>
      </c>
      <c r="E274" s="10" t="str">
        <f ca="1">+WORLDCUP!BD63</f>
        <v>Japón</v>
      </c>
      <c r="F274" s="10" t="str">
        <f ca="1">+WORLDCUP!BD60</f>
        <v>Escocia</v>
      </c>
      <c r="G274" s="10" t="str">
        <f ca="1">+WORLDCUP!BD58</f>
        <v>PO D: DEN/MKD/CZE/IRL</v>
      </c>
      <c r="H274" s="10" t="str">
        <f ca="1">+WORLDCUP!BD61</f>
        <v>Australia</v>
      </c>
      <c r="I274" s="10" t="str">
        <f ca="1">+WORLDCUP!BD69</f>
        <v>Ghana</v>
      </c>
      <c r="J274" s="10" t="str">
        <f ca="1">+WORLDCUP!BD66</f>
        <v>Noruega</v>
      </c>
      <c r="N274" s="19" t="s">
        <v>982</v>
      </c>
      <c r="O274" s="19">
        <v>273</v>
      </c>
      <c r="P274" s="19" t="s">
        <v>453</v>
      </c>
      <c r="Q274" s="19" t="s">
        <v>95</v>
      </c>
      <c r="R274" s="19" t="s">
        <v>96</v>
      </c>
      <c r="S274" s="19" t="s">
        <v>93</v>
      </c>
      <c r="T274" s="19" t="s">
        <v>91</v>
      </c>
      <c r="U274" s="19" t="s">
        <v>94</v>
      </c>
      <c r="V274" s="19" t="s">
        <v>460</v>
      </c>
      <c r="W274" s="19" t="s">
        <v>457</v>
      </c>
    </row>
    <row r="275" spans="1:23">
      <c r="A275" s="10" t="s">
        <v>981</v>
      </c>
      <c r="B275" s="10">
        <f ca="1">+IF(A275=WORLDCUP!$BI$112,1,0)</f>
        <v>0</v>
      </c>
      <c r="C275" s="10" t="str">
        <f ca="1">+WORLDCUP!BD65</f>
        <v>Arabia Saudita</v>
      </c>
      <c r="D275" s="10" t="str">
        <f ca="1">+WORLDCUP!BD62</f>
        <v>Curazao</v>
      </c>
      <c r="E275" s="10" t="str">
        <f ca="1">+WORLDCUP!BD63</f>
        <v>Japón</v>
      </c>
      <c r="F275" s="10" t="str">
        <f ca="1">+WORLDCUP!BD60</f>
        <v>Escocia</v>
      </c>
      <c r="G275" s="10" t="str">
        <f ca="1">+WORLDCUP!BD58</f>
        <v>PO D: DEN/MKD/CZE/IRL</v>
      </c>
      <c r="H275" s="10" t="str">
        <f ca="1">+WORLDCUP!BD61</f>
        <v>Australia</v>
      </c>
      <c r="I275" s="10" t="str">
        <f ca="1">+WORLDCUP!BD66</f>
        <v>Noruega</v>
      </c>
      <c r="J275" s="10" t="str">
        <f ca="1">+WORLDCUP!BD68</f>
        <v>PO 1: COD/JAM/NCL</v>
      </c>
      <c r="N275" s="19" t="s">
        <v>981</v>
      </c>
      <c r="O275" s="19">
        <v>274</v>
      </c>
      <c r="P275" s="19" t="s">
        <v>453</v>
      </c>
      <c r="Q275" s="19" t="s">
        <v>95</v>
      </c>
      <c r="R275" s="19" t="s">
        <v>96</v>
      </c>
      <c r="S275" s="19" t="s">
        <v>93</v>
      </c>
      <c r="T275" s="19" t="s">
        <v>91</v>
      </c>
      <c r="U275" s="19" t="s">
        <v>94</v>
      </c>
      <c r="V275" s="19" t="s">
        <v>457</v>
      </c>
      <c r="W275" s="19" t="s">
        <v>459</v>
      </c>
    </row>
    <row r="276" spans="1:23">
      <c r="A276" s="10" t="s">
        <v>980</v>
      </c>
      <c r="B276" s="10">
        <f ca="1">+IF(A276=WORLDCUP!$BI$112,1,0)</f>
        <v>0</v>
      </c>
      <c r="C276" s="10" t="str">
        <f ca="1">+WORLDCUP!BD65</f>
        <v>Arabia Saudita</v>
      </c>
      <c r="D276" s="10" t="str">
        <f ca="1">+WORLDCUP!BD67</f>
        <v>Argelia</v>
      </c>
      <c r="E276" s="10" t="str">
        <f ca="1">+WORLDCUP!BD62</f>
        <v>Curazao</v>
      </c>
      <c r="F276" s="10" t="str">
        <f ca="1">+WORLDCUP!BD60</f>
        <v>Escocia</v>
      </c>
      <c r="G276" s="10" t="str">
        <f ca="1">+WORLDCUP!BD58</f>
        <v>PO D: DEN/MKD/CZE/IRL</v>
      </c>
      <c r="H276" s="10" t="str">
        <f ca="1">+WORLDCUP!BD63</f>
        <v>Japón</v>
      </c>
      <c r="I276" s="10" t="str">
        <f ca="1">+WORLDCUP!BD61</f>
        <v>Australia</v>
      </c>
      <c r="J276" s="10" t="str">
        <f ca="1">+WORLDCUP!BD66</f>
        <v>Noruega</v>
      </c>
      <c r="N276" s="19" t="s">
        <v>980</v>
      </c>
      <c r="O276" s="19">
        <v>275</v>
      </c>
      <c r="P276" s="19" t="s">
        <v>453</v>
      </c>
      <c r="Q276" s="19" t="s">
        <v>458</v>
      </c>
      <c r="R276" s="19" t="s">
        <v>95</v>
      </c>
      <c r="S276" s="19" t="s">
        <v>93</v>
      </c>
      <c r="T276" s="19" t="s">
        <v>91</v>
      </c>
      <c r="U276" s="19" t="s">
        <v>96</v>
      </c>
      <c r="V276" s="19" t="s">
        <v>94</v>
      </c>
      <c r="W276" s="19" t="s">
        <v>457</v>
      </c>
    </row>
    <row r="277" spans="1:23">
      <c r="A277" s="10" t="s">
        <v>979</v>
      </c>
      <c r="B277" s="10">
        <f ca="1">+IF(A277=WORLDCUP!$BI$112,1,0)</f>
        <v>0</v>
      </c>
      <c r="C277" s="10" t="str">
        <f ca="1">+WORLDCUP!BD60</f>
        <v>Escocia</v>
      </c>
      <c r="D277" s="10" t="str">
        <f ca="1">+WORLDCUP!BD64</f>
        <v>Egipto</v>
      </c>
      <c r="E277" s="10" t="str">
        <f ca="1">+WORLDCUP!BD62</f>
        <v>Curazao</v>
      </c>
      <c r="F277" s="10" t="str">
        <f ca="1">+WORLDCUP!BD61</f>
        <v>Australia</v>
      </c>
      <c r="G277" s="10" t="str">
        <f ca="1">+WORLDCUP!BD58</f>
        <v>PO D: DEN/MKD/CZE/IRL</v>
      </c>
      <c r="H277" s="10" t="str">
        <f ca="1">+WORLDCUP!BD63</f>
        <v>Japón</v>
      </c>
      <c r="I277" s="10" t="str">
        <f ca="1">+WORLDCUP!BD69</f>
        <v>Ghana</v>
      </c>
      <c r="J277" s="10" t="str">
        <f ca="1">+WORLDCUP!BD68</f>
        <v>PO 1: COD/JAM/NCL</v>
      </c>
      <c r="N277" s="19" t="s">
        <v>979</v>
      </c>
      <c r="O277" s="19">
        <v>276</v>
      </c>
      <c r="P277" s="19" t="s">
        <v>93</v>
      </c>
      <c r="Q277" s="19" t="s">
        <v>452</v>
      </c>
      <c r="R277" s="19" t="s">
        <v>95</v>
      </c>
      <c r="S277" s="19" t="s">
        <v>94</v>
      </c>
      <c r="T277" s="19" t="s">
        <v>91</v>
      </c>
      <c r="U277" s="19" t="s">
        <v>96</v>
      </c>
      <c r="V277" s="19" t="s">
        <v>460</v>
      </c>
      <c r="W277" s="19" t="s">
        <v>459</v>
      </c>
    </row>
    <row r="278" spans="1:23">
      <c r="A278" s="10" t="s">
        <v>605</v>
      </c>
      <c r="B278" s="10">
        <f ca="1">+IF(A278=WORLDCUP!$BI$112,1,0)</f>
        <v>0</v>
      </c>
      <c r="C278" s="10" t="str">
        <f ca="1">+WORLDCUP!BD60</f>
        <v>Escocia</v>
      </c>
      <c r="D278" s="10" t="str">
        <f ca="1">+WORLDCUP!BD64</f>
        <v>Egipto</v>
      </c>
      <c r="E278" s="10" t="str">
        <f ca="1">+WORLDCUP!BD67</f>
        <v>Argelia</v>
      </c>
      <c r="F278" s="10" t="str">
        <f ca="1">+WORLDCUP!BD61</f>
        <v>Australia</v>
      </c>
      <c r="G278" s="10" t="str">
        <f ca="1">+WORLDCUP!BD58</f>
        <v>PO D: DEN/MKD/CZE/IRL</v>
      </c>
      <c r="H278" s="10" t="str">
        <f ca="1">+WORLDCUP!BD63</f>
        <v>Japón</v>
      </c>
      <c r="I278" s="10" t="str">
        <f ca="1">+WORLDCUP!BD69</f>
        <v>Ghana</v>
      </c>
      <c r="J278" s="10" t="str">
        <f ca="1">+WORLDCUP!BD62</f>
        <v>Curazao</v>
      </c>
      <c r="N278" s="19" t="s">
        <v>605</v>
      </c>
      <c r="O278" s="19">
        <v>277</v>
      </c>
      <c r="P278" s="19" t="s">
        <v>93</v>
      </c>
      <c r="Q278" s="19" t="s">
        <v>452</v>
      </c>
      <c r="R278" s="19" t="s">
        <v>458</v>
      </c>
      <c r="S278" s="19" t="s">
        <v>94</v>
      </c>
      <c r="T278" s="19" t="s">
        <v>91</v>
      </c>
      <c r="U278" s="19" t="s">
        <v>96</v>
      </c>
      <c r="V278" s="19" t="s">
        <v>460</v>
      </c>
      <c r="W278" s="19" t="s">
        <v>95</v>
      </c>
    </row>
    <row r="279" spans="1:23">
      <c r="A279" s="10" t="s">
        <v>604</v>
      </c>
      <c r="B279" s="10">
        <f ca="1">+IF(A279=WORLDCUP!$BI$112,1,0)</f>
        <v>0</v>
      </c>
      <c r="C279" s="10" t="str">
        <f ca="1">+WORLDCUP!BD60</f>
        <v>Escocia</v>
      </c>
      <c r="D279" s="10" t="str">
        <f ca="1">+WORLDCUP!BD64</f>
        <v>Egipto</v>
      </c>
      <c r="E279" s="10" t="str">
        <f ca="1">+WORLDCUP!BD67</f>
        <v>Argelia</v>
      </c>
      <c r="F279" s="10" t="str">
        <f ca="1">+WORLDCUP!BD61</f>
        <v>Australia</v>
      </c>
      <c r="G279" s="10" t="str">
        <f ca="1">+WORLDCUP!BD58</f>
        <v>PO D: DEN/MKD/CZE/IRL</v>
      </c>
      <c r="H279" s="10" t="str">
        <f ca="1">+WORLDCUP!BD63</f>
        <v>Japón</v>
      </c>
      <c r="I279" s="10" t="str">
        <f ca="1">+WORLDCUP!BD62</f>
        <v>Curazao</v>
      </c>
      <c r="J279" s="10" t="str">
        <f ca="1">+WORLDCUP!BD68</f>
        <v>PO 1: COD/JAM/NCL</v>
      </c>
      <c r="N279" s="19" t="s">
        <v>604</v>
      </c>
      <c r="O279" s="19">
        <v>278</v>
      </c>
      <c r="P279" s="19" t="s">
        <v>93</v>
      </c>
      <c r="Q279" s="19" t="s">
        <v>452</v>
      </c>
      <c r="R279" s="19" t="s">
        <v>458</v>
      </c>
      <c r="S279" s="19" t="s">
        <v>94</v>
      </c>
      <c r="T279" s="19" t="s">
        <v>91</v>
      </c>
      <c r="U279" s="19" t="s">
        <v>96</v>
      </c>
      <c r="V279" s="19" t="s">
        <v>95</v>
      </c>
      <c r="W279" s="19" t="s">
        <v>459</v>
      </c>
    </row>
    <row r="280" spans="1:23">
      <c r="A280" s="10" t="s">
        <v>603</v>
      </c>
      <c r="B280" s="10">
        <f ca="1">+IF(A280=WORLDCUP!$BI$112,1,0)</f>
        <v>0</v>
      </c>
      <c r="C280" s="10" t="str">
        <f ca="1">+WORLDCUP!BD60</f>
        <v>Escocia</v>
      </c>
      <c r="D280" s="10" t="str">
        <f ca="1">+WORLDCUP!BD64</f>
        <v>Egipto</v>
      </c>
      <c r="E280" s="10" t="str">
        <f ca="1">+WORLDCUP!BD62</f>
        <v>Curazao</v>
      </c>
      <c r="F280" s="10" t="str">
        <f ca="1">+WORLDCUP!BD61</f>
        <v>Australia</v>
      </c>
      <c r="G280" s="10" t="str">
        <f ca="1">+WORLDCUP!BD58</f>
        <v>PO D: DEN/MKD/CZE/IRL</v>
      </c>
      <c r="H280" s="10" t="str">
        <f ca="1">+WORLDCUP!BD63</f>
        <v>Japón</v>
      </c>
      <c r="I280" s="10" t="str">
        <f ca="1">+WORLDCUP!BD69</f>
        <v>Ghana</v>
      </c>
      <c r="J280" s="10" t="str">
        <f ca="1">+WORLDCUP!BD66</f>
        <v>Noruega</v>
      </c>
      <c r="N280" s="19" t="s">
        <v>603</v>
      </c>
      <c r="O280" s="19">
        <v>279</v>
      </c>
      <c r="P280" s="19" t="s">
        <v>93</v>
      </c>
      <c r="Q280" s="19" t="s">
        <v>452</v>
      </c>
      <c r="R280" s="19" t="s">
        <v>95</v>
      </c>
      <c r="S280" s="19" t="s">
        <v>94</v>
      </c>
      <c r="T280" s="19" t="s">
        <v>91</v>
      </c>
      <c r="U280" s="19" t="s">
        <v>96</v>
      </c>
      <c r="V280" s="19" t="s">
        <v>460</v>
      </c>
      <c r="W280" s="19" t="s">
        <v>457</v>
      </c>
    </row>
    <row r="281" spans="1:23">
      <c r="A281" s="10" t="s">
        <v>602</v>
      </c>
      <c r="B281" s="10">
        <f ca="1">+IF(A281=WORLDCUP!$BI$112,1,0)</f>
        <v>0</v>
      </c>
      <c r="C281" s="10" t="str">
        <f ca="1">+WORLDCUP!BD60</f>
        <v>Escocia</v>
      </c>
      <c r="D281" s="10" t="str">
        <f ca="1">+WORLDCUP!BD64</f>
        <v>Egipto</v>
      </c>
      <c r="E281" s="10" t="str">
        <f ca="1">+WORLDCUP!BD62</f>
        <v>Curazao</v>
      </c>
      <c r="F281" s="10" t="str">
        <f ca="1">+WORLDCUP!BD61</f>
        <v>Australia</v>
      </c>
      <c r="G281" s="10" t="str">
        <f ca="1">+WORLDCUP!BD58</f>
        <v>PO D: DEN/MKD/CZE/IRL</v>
      </c>
      <c r="H281" s="10" t="str">
        <f ca="1">+WORLDCUP!BD63</f>
        <v>Japón</v>
      </c>
      <c r="I281" s="10" t="str">
        <f ca="1">+WORLDCUP!BD66</f>
        <v>Noruega</v>
      </c>
      <c r="J281" s="10" t="str">
        <f ca="1">+WORLDCUP!BD68</f>
        <v>PO 1: COD/JAM/NCL</v>
      </c>
      <c r="N281" s="19" t="s">
        <v>602</v>
      </c>
      <c r="O281" s="19">
        <v>280</v>
      </c>
      <c r="P281" s="19" t="s">
        <v>93</v>
      </c>
      <c r="Q281" s="19" t="s">
        <v>452</v>
      </c>
      <c r="R281" s="19" t="s">
        <v>95</v>
      </c>
      <c r="S281" s="19" t="s">
        <v>94</v>
      </c>
      <c r="T281" s="19" t="s">
        <v>91</v>
      </c>
      <c r="U281" s="19" t="s">
        <v>96</v>
      </c>
      <c r="V281" s="19" t="s">
        <v>457</v>
      </c>
      <c r="W281" s="19" t="s">
        <v>459</v>
      </c>
    </row>
    <row r="282" spans="1:23">
      <c r="A282" s="10" t="s">
        <v>601</v>
      </c>
      <c r="B282" s="10">
        <f ca="1">+IF(A282=WORLDCUP!$BI$112,1,0)</f>
        <v>0</v>
      </c>
      <c r="C282" s="10" t="str">
        <f ca="1">+WORLDCUP!BD60</f>
        <v>Escocia</v>
      </c>
      <c r="D282" s="10" t="str">
        <f ca="1">+WORLDCUP!BD64</f>
        <v>Egipto</v>
      </c>
      <c r="E282" s="10" t="str">
        <f ca="1">+WORLDCUP!BD67</f>
        <v>Argelia</v>
      </c>
      <c r="F282" s="10" t="str">
        <f ca="1">+WORLDCUP!BD61</f>
        <v>Australia</v>
      </c>
      <c r="G282" s="10" t="str">
        <f ca="1">+WORLDCUP!BD58</f>
        <v>PO D: DEN/MKD/CZE/IRL</v>
      </c>
      <c r="H282" s="10" t="str">
        <f ca="1">+WORLDCUP!BD63</f>
        <v>Japón</v>
      </c>
      <c r="I282" s="10" t="str">
        <f ca="1">+WORLDCUP!BD62</f>
        <v>Curazao</v>
      </c>
      <c r="J282" s="10" t="str">
        <f ca="1">+WORLDCUP!BD66</f>
        <v>Noruega</v>
      </c>
      <c r="N282" s="19" t="s">
        <v>601</v>
      </c>
      <c r="O282" s="19">
        <v>281</v>
      </c>
      <c r="P282" s="19" t="s">
        <v>93</v>
      </c>
      <c r="Q282" s="19" t="s">
        <v>452</v>
      </c>
      <c r="R282" s="19" t="s">
        <v>458</v>
      </c>
      <c r="S282" s="19" t="s">
        <v>94</v>
      </c>
      <c r="T282" s="19" t="s">
        <v>91</v>
      </c>
      <c r="U282" s="19" t="s">
        <v>96</v>
      </c>
      <c r="V282" s="19" t="s">
        <v>95</v>
      </c>
      <c r="W282" s="19" t="s">
        <v>457</v>
      </c>
    </row>
    <row r="283" spans="1:23">
      <c r="A283" s="10" t="s">
        <v>600</v>
      </c>
      <c r="B283" s="10">
        <f ca="1">+IF(A283=WORLDCUP!$BI$112,1,0)</f>
        <v>0</v>
      </c>
      <c r="C283" s="10" t="str">
        <f ca="1">+WORLDCUP!BD65</f>
        <v>Arabia Saudita</v>
      </c>
      <c r="D283" s="10" t="str">
        <f ca="1">+WORLDCUP!BD64</f>
        <v>Egipto</v>
      </c>
      <c r="E283" s="10" t="str">
        <f ca="1">+WORLDCUP!BD63</f>
        <v>Japón</v>
      </c>
      <c r="F283" s="10" t="str">
        <f ca="1">+WORLDCUP!BD60</f>
        <v>Escocia</v>
      </c>
      <c r="G283" s="10" t="str">
        <f ca="1">+WORLDCUP!BD58</f>
        <v>PO D: DEN/MKD/CZE/IRL</v>
      </c>
      <c r="H283" s="10" t="str">
        <f ca="1">+WORLDCUP!BD61</f>
        <v>Australia</v>
      </c>
      <c r="I283" s="10" t="str">
        <f ca="1">+WORLDCUP!BD69</f>
        <v>Ghana</v>
      </c>
      <c r="J283" s="10" t="str">
        <f ca="1">+WORLDCUP!BD62</f>
        <v>Curazao</v>
      </c>
      <c r="N283" s="19" t="s">
        <v>600</v>
      </c>
      <c r="O283" s="19">
        <v>282</v>
      </c>
      <c r="P283" s="19" t="s">
        <v>453</v>
      </c>
      <c r="Q283" s="19" t="s">
        <v>452</v>
      </c>
      <c r="R283" s="19" t="s">
        <v>96</v>
      </c>
      <c r="S283" s="19" t="s">
        <v>93</v>
      </c>
      <c r="T283" s="19" t="s">
        <v>91</v>
      </c>
      <c r="U283" s="19" t="s">
        <v>94</v>
      </c>
      <c r="V283" s="19" t="s">
        <v>460</v>
      </c>
      <c r="W283" s="19" t="s">
        <v>95</v>
      </c>
    </row>
    <row r="284" spans="1:23">
      <c r="A284" s="10" t="s">
        <v>599</v>
      </c>
      <c r="B284" s="10">
        <f ca="1">+IF(A284=WORLDCUP!$BI$112,1,0)</f>
        <v>0</v>
      </c>
      <c r="C284" s="10" t="str">
        <f ca="1">+WORLDCUP!BD65</f>
        <v>Arabia Saudita</v>
      </c>
      <c r="D284" s="10" t="str">
        <f ca="1">+WORLDCUP!BD64</f>
        <v>Egipto</v>
      </c>
      <c r="E284" s="10" t="str">
        <f ca="1">+WORLDCUP!BD62</f>
        <v>Curazao</v>
      </c>
      <c r="F284" s="10" t="str">
        <f ca="1">+WORLDCUP!BD60</f>
        <v>Escocia</v>
      </c>
      <c r="G284" s="10" t="str">
        <f ca="1">+WORLDCUP!BD58</f>
        <v>PO D: DEN/MKD/CZE/IRL</v>
      </c>
      <c r="H284" s="10" t="str">
        <f ca="1">+WORLDCUP!BD63</f>
        <v>Japón</v>
      </c>
      <c r="I284" s="10" t="str">
        <f ca="1">+WORLDCUP!BD61</f>
        <v>Australia</v>
      </c>
      <c r="J284" s="10" t="str">
        <f ca="1">+WORLDCUP!BD68</f>
        <v>PO 1: COD/JAM/NCL</v>
      </c>
      <c r="N284" s="19" t="s">
        <v>599</v>
      </c>
      <c r="O284" s="19">
        <v>283</v>
      </c>
      <c r="P284" s="19" t="s">
        <v>453</v>
      </c>
      <c r="Q284" s="19" t="s">
        <v>452</v>
      </c>
      <c r="R284" s="19" t="s">
        <v>95</v>
      </c>
      <c r="S284" s="19" t="s">
        <v>93</v>
      </c>
      <c r="T284" s="19" t="s">
        <v>91</v>
      </c>
      <c r="U284" s="19" t="s">
        <v>96</v>
      </c>
      <c r="V284" s="19" t="s">
        <v>94</v>
      </c>
      <c r="W284" s="19" t="s">
        <v>459</v>
      </c>
    </row>
    <row r="285" spans="1:23">
      <c r="A285" s="10" t="s">
        <v>598</v>
      </c>
      <c r="B285" s="10">
        <f ca="1">+IF(A285=WORLDCUP!$BI$112,1,0)</f>
        <v>0</v>
      </c>
      <c r="C285" s="10" t="str">
        <f ca="1">+WORLDCUP!BD65</f>
        <v>Arabia Saudita</v>
      </c>
      <c r="D285" s="10" t="str">
        <f ca="1">+WORLDCUP!BD64</f>
        <v>Egipto</v>
      </c>
      <c r="E285" s="10" t="str">
        <f ca="1">+WORLDCUP!BD67</f>
        <v>Argelia</v>
      </c>
      <c r="F285" s="10" t="str">
        <f ca="1">+WORLDCUP!BD60</f>
        <v>Escocia</v>
      </c>
      <c r="G285" s="10" t="str">
        <f ca="1">+WORLDCUP!BD58</f>
        <v>PO D: DEN/MKD/CZE/IRL</v>
      </c>
      <c r="H285" s="10" t="str">
        <f ca="1">+WORLDCUP!BD63</f>
        <v>Japón</v>
      </c>
      <c r="I285" s="10" t="str">
        <f ca="1">+WORLDCUP!BD61</f>
        <v>Australia</v>
      </c>
      <c r="J285" s="10" t="str">
        <f ca="1">+WORLDCUP!BD62</f>
        <v>Curazao</v>
      </c>
      <c r="N285" s="19" t="s">
        <v>598</v>
      </c>
      <c r="O285" s="19">
        <v>284</v>
      </c>
      <c r="P285" s="19" t="s">
        <v>453</v>
      </c>
      <c r="Q285" s="19" t="s">
        <v>452</v>
      </c>
      <c r="R285" s="19" t="s">
        <v>458</v>
      </c>
      <c r="S285" s="19" t="s">
        <v>93</v>
      </c>
      <c r="T285" s="19" t="s">
        <v>91</v>
      </c>
      <c r="U285" s="19" t="s">
        <v>96</v>
      </c>
      <c r="V285" s="19" t="s">
        <v>94</v>
      </c>
      <c r="W285" s="19" t="s">
        <v>95</v>
      </c>
    </row>
    <row r="286" spans="1:23">
      <c r="A286" s="10" t="s">
        <v>597</v>
      </c>
      <c r="B286" s="10">
        <f ca="1">+IF(A286=WORLDCUP!$BI$112,1,0)</f>
        <v>0</v>
      </c>
      <c r="C286" s="10" t="str">
        <f ca="1">+WORLDCUP!BD65</f>
        <v>Arabia Saudita</v>
      </c>
      <c r="D286" s="10" t="str">
        <f ca="1">+WORLDCUP!BD64</f>
        <v>Egipto</v>
      </c>
      <c r="E286" s="10" t="str">
        <f ca="1">+WORLDCUP!BD62</f>
        <v>Curazao</v>
      </c>
      <c r="F286" s="10" t="str">
        <f ca="1">+WORLDCUP!BD60</f>
        <v>Escocia</v>
      </c>
      <c r="G286" s="10" t="str">
        <f ca="1">+WORLDCUP!BD58</f>
        <v>PO D: DEN/MKD/CZE/IRL</v>
      </c>
      <c r="H286" s="10" t="str">
        <f ca="1">+WORLDCUP!BD63</f>
        <v>Japón</v>
      </c>
      <c r="I286" s="10" t="str">
        <f ca="1">+WORLDCUP!BD61</f>
        <v>Australia</v>
      </c>
      <c r="J286" s="10" t="str">
        <f ca="1">+WORLDCUP!BD66</f>
        <v>Noruega</v>
      </c>
      <c r="N286" s="19" t="s">
        <v>597</v>
      </c>
      <c r="O286" s="19">
        <v>285</v>
      </c>
      <c r="P286" s="19" t="s">
        <v>453</v>
      </c>
      <c r="Q286" s="19" t="s">
        <v>452</v>
      </c>
      <c r="R286" s="19" t="s">
        <v>95</v>
      </c>
      <c r="S286" s="19" t="s">
        <v>93</v>
      </c>
      <c r="T286" s="19" t="s">
        <v>91</v>
      </c>
      <c r="U286" s="19" t="s">
        <v>96</v>
      </c>
      <c r="V286" s="19" t="s">
        <v>94</v>
      </c>
      <c r="W286" s="19" t="s">
        <v>457</v>
      </c>
    </row>
    <row r="287" spans="1:23">
      <c r="A287" s="10" t="s">
        <v>978</v>
      </c>
      <c r="B287" s="10">
        <f ca="1">+IF(A287=WORLDCUP!$BI$112,1,0)</f>
        <v>0</v>
      </c>
      <c r="C287" s="10" t="str">
        <f ca="1">+WORLDCUP!BD65</f>
        <v>Arabia Saudita</v>
      </c>
      <c r="D287" s="10" t="str">
        <f ca="1">+WORLDCUP!BD67</f>
        <v>Argelia</v>
      </c>
      <c r="E287" s="10" t="str">
        <f ca="1">+WORLDCUP!BD59</f>
        <v>Catar</v>
      </c>
      <c r="F287" s="10" t="str">
        <f ca="1">+WORLDCUP!BD58</f>
        <v>PO D: DEN/MKD/CZE/IRL</v>
      </c>
      <c r="G287" s="10" t="str">
        <f ca="1">+WORLDCUP!BD66</f>
        <v>Noruega</v>
      </c>
      <c r="H287" s="10" t="str">
        <f ca="1">+WORLDCUP!BD64</f>
        <v>Egipto</v>
      </c>
      <c r="I287" s="10" t="str">
        <f ca="1">+WORLDCUP!BD69</f>
        <v>Ghana</v>
      </c>
      <c r="J287" s="10" t="str">
        <f ca="1">+WORLDCUP!BD68</f>
        <v>PO 1: COD/JAM/NCL</v>
      </c>
      <c r="N287" s="19" t="s">
        <v>978</v>
      </c>
      <c r="O287" s="19">
        <v>286</v>
      </c>
      <c r="P287" s="19" t="s">
        <v>453</v>
      </c>
      <c r="Q287" s="19" t="s">
        <v>458</v>
      </c>
      <c r="R287" s="19" t="s">
        <v>92</v>
      </c>
      <c r="S287" s="19" t="s">
        <v>91</v>
      </c>
      <c r="T287" s="19" t="s">
        <v>457</v>
      </c>
      <c r="U287" s="19" t="s">
        <v>452</v>
      </c>
      <c r="V287" s="19" t="s">
        <v>460</v>
      </c>
      <c r="W287" s="19" t="s">
        <v>459</v>
      </c>
    </row>
    <row r="288" spans="1:23">
      <c r="A288" s="10" t="s">
        <v>977</v>
      </c>
      <c r="B288" s="10">
        <f ca="1">+IF(A288=WORLDCUP!$BI$112,1,0)</f>
        <v>0</v>
      </c>
      <c r="C288" s="10" t="str">
        <f ca="1">+WORLDCUP!BD65</f>
        <v>Arabia Saudita</v>
      </c>
      <c r="D288" s="10" t="str">
        <f ca="1">+WORLDCUP!BD67</f>
        <v>Argelia</v>
      </c>
      <c r="E288" s="10" t="str">
        <f ca="1">+WORLDCUP!BD59</f>
        <v>Catar</v>
      </c>
      <c r="F288" s="10" t="str">
        <f ca="1">+WORLDCUP!BD58</f>
        <v>PO D: DEN/MKD/CZE/IRL</v>
      </c>
      <c r="G288" s="10" t="str">
        <f ca="1">+WORLDCUP!BD66</f>
        <v>Noruega</v>
      </c>
      <c r="H288" s="10" t="str">
        <f ca="1">+WORLDCUP!BD63</f>
        <v>Japón</v>
      </c>
      <c r="I288" s="10" t="str">
        <f ca="1">+WORLDCUP!BD69</f>
        <v>Ghana</v>
      </c>
      <c r="J288" s="10" t="str">
        <f ca="1">+WORLDCUP!BD68</f>
        <v>PO 1: COD/JAM/NCL</v>
      </c>
      <c r="N288" s="19" t="s">
        <v>977</v>
      </c>
      <c r="O288" s="19">
        <v>287</v>
      </c>
      <c r="P288" s="19" t="s">
        <v>453</v>
      </c>
      <c r="Q288" s="19" t="s">
        <v>458</v>
      </c>
      <c r="R288" s="19" t="s">
        <v>92</v>
      </c>
      <c r="S288" s="19" t="s">
        <v>91</v>
      </c>
      <c r="T288" s="19" t="s">
        <v>457</v>
      </c>
      <c r="U288" s="19" t="s">
        <v>96</v>
      </c>
      <c r="V288" s="19" t="s">
        <v>460</v>
      </c>
      <c r="W288" s="19" t="s">
        <v>459</v>
      </c>
    </row>
    <row r="289" spans="1:23">
      <c r="A289" s="10" t="s">
        <v>976</v>
      </c>
      <c r="B289" s="10">
        <f ca="1">+IF(A289=WORLDCUP!$BI$112,1,0)</f>
        <v>0</v>
      </c>
      <c r="C289" s="10" t="str">
        <f ca="1">+WORLDCUP!BD66</f>
        <v>Noruega</v>
      </c>
      <c r="D289" s="10" t="str">
        <f ca="1">+WORLDCUP!BD67</f>
        <v>Argelia</v>
      </c>
      <c r="E289" s="10" t="str">
        <f ca="1">+WORLDCUP!BD59</f>
        <v>Catar</v>
      </c>
      <c r="F289" s="10" t="str">
        <f ca="1">+WORLDCUP!BD63</f>
        <v>Japón</v>
      </c>
      <c r="G289" s="10" t="str">
        <f ca="1">+WORLDCUP!BD58</f>
        <v>PO D: DEN/MKD/CZE/IRL</v>
      </c>
      <c r="H289" s="10" t="str">
        <f ca="1">+WORLDCUP!BD64</f>
        <v>Egipto</v>
      </c>
      <c r="I289" s="10" t="str">
        <f ca="1">+WORLDCUP!BD69</f>
        <v>Ghana</v>
      </c>
      <c r="J289" s="10" t="str">
        <f ca="1">+WORLDCUP!BD68</f>
        <v>PO 1: COD/JAM/NCL</v>
      </c>
      <c r="N289" s="19" t="s">
        <v>976</v>
      </c>
      <c r="O289" s="19">
        <v>288</v>
      </c>
      <c r="P289" s="19" t="s">
        <v>457</v>
      </c>
      <c r="Q289" s="19" t="s">
        <v>458</v>
      </c>
      <c r="R289" s="19" t="s">
        <v>92</v>
      </c>
      <c r="S289" s="19" t="s">
        <v>96</v>
      </c>
      <c r="T289" s="19" t="s">
        <v>91</v>
      </c>
      <c r="U289" s="19" t="s">
        <v>452</v>
      </c>
      <c r="V289" s="19" t="s">
        <v>460</v>
      </c>
      <c r="W289" s="19" t="s">
        <v>459</v>
      </c>
    </row>
    <row r="290" spans="1:23">
      <c r="A290" s="10" t="s">
        <v>975</v>
      </c>
      <c r="B290" s="10">
        <f ca="1">+IF(A290=WORLDCUP!$BI$112,1,0)</f>
        <v>0</v>
      </c>
      <c r="C290" s="10" t="str">
        <f ca="1">+WORLDCUP!BD65</f>
        <v>Arabia Saudita</v>
      </c>
      <c r="D290" s="10" t="str">
        <f ca="1">+WORLDCUP!BD67</f>
        <v>Argelia</v>
      </c>
      <c r="E290" s="10" t="str">
        <f ca="1">+WORLDCUP!BD59</f>
        <v>Catar</v>
      </c>
      <c r="F290" s="10" t="str">
        <f ca="1">+WORLDCUP!BD63</f>
        <v>Japón</v>
      </c>
      <c r="G290" s="10" t="str">
        <f ca="1">+WORLDCUP!BD58</f>
        <v>PO D: DEN/MKD/CZE/IRL</v>
      </c>
      <c r="H290" s="10" t="str">
        <f ca="1">+WORLDCUP!BD64</f>
        <v>Egipto</v>
      </c>
      <c r="I290" s="10" t="str">
        <f ca="1">+WORLDCUP!BD69</f>
        <v>Ghana</v>
      </c>
      <c r="J290" s="10" t="str">
        <f ca="1">+WORLDCUP!BD68</f>
        <v>PO 1: COD/JAM/NCL</v>
      </c>
      <c r="N290" s="19" t="s">
        <v>975</v>
      </c>
      <c r="O290" s="19">
        <v>289</v>
      </c>
      <c r="P290" s="19" t="s">
        <v>453</v>
      </c>
      <c r="Q290" s="19" t="s">
        <v>458</v>
      </c>
      <c r="R290" s="19" t="s">
        <v>92</v>
      </c>
      <c r="S290" s="19" t="s">
        <v>96</v>
      </c>
      <c r="T290" s="19" t="s">
        <v>91</v>
      </c>
      <c r="U290" s="19" t="s">
        <v>452</v>
      </c>
      <c r="V290" s="19" t="s">
        <v>460</v>
      </c>
      <c r="W290" s="19" t="s">
        <v>459</v>
      </c>
    </row>
    <row r="291" spans="1:23">
      <c r="A291" s="10" t="s">
        <v>974</v>
      </c>
      <c r="B291" s="10">
        <f ca="1">+IF(A291=WORLDCUP!$BI$112,1,0)</f>
        <v>0</v>
      </c>
      <c r="C291" s="10" t="str">
        <f ca="1">+WORLDCUP!BD65</f>
        <v>Arabia Saudita</v>
      </c>
      <c r="D291" s="10" t="str">
        <f ca="1">+WORLDCUP!BD64</f>
        <v>Egipto</v>
      </c>
      <c r="E291" s="10" t="str">
        <f ca="1">+WORLDCUP!BD59</f>
        <v>Catar</v>
      </c>
      <c r="F291" s="10" t="str">
        <f ca="1">+WORLDCUP!BD58</f>
        <v>PO D: DEN/MKD/CZE/IRL</v>
      </c>
      <c r="G291" s="10" t="str">
        <f ca="1">+WORLDCUP!BD66</f>
        <v>Noruega</v>
      </c>
      <c r="H291" s="10" t="str">
        <f ca="1">+WORLDCUP!BD63</f>
        <v>Japón</v>
      </c>
      <c r="I291" s="10" t="str">
        <f ca="1">+WORLDCUP!BD69</f>
        <v>Ghana</v>
      </c>
      <c r="J291" s="10" t="str">
        <f ca="1">+WORLDCUP!BD68</f>
        <v>PO 1: COD/JAM/NCL</v>
      </c>
      <c r="N291" s="19" t="s">
        <v>974</v>
      </c>
      <c r="O291" s="19">
        <v>290</v>
      </c>
      <c r="P291" s="19" t="s">
        <v>453</v>
      </c>
      <c r="Q291" s="19" t="s">
        <v>452</v>
      </c>
      <c r="R291" s="19" t="s">
        <v>92</v>
      </c>
      <c r="S291" s="19" t="s">
        <v>91</v>
      </c>
      <c r="T291" s="19" t="s">
        <v>457</v>
      </c>
      <c r="U291" s="19" t="s">
        <v>96</v>
      </c>
      <c r="V291" s="19" t="s">
        <v>460</v>
      </c>
      <c r="W291" s="19" t="s">
        <v>459</v>
      </c>
    </row>
    <row r="292" spans="1:23">
      <c r="A292" s="10" t="s">
        <v>973</v>
      </c>
      <c r="B292" s="10">
        <f ca="1">+IF(A292=WORLDCUP!$BI$112,1,0)</f>
        <v>0</v>
      </c>
      <c r="C292" s="10" t="str">
        <f ca="1">+WORLDCUP!BD65</f>
        <v>Arabia Saudita</v>
      </c>
      <c r="D292" s="10" t="str">
        <f ca="1">+WORLDCUP!BD67</f>
        <v>Argelia</v>
      </c>
      <c r="E292" s="10" t="str">
        <f ca="1">+WORLDCUP!BD59</f>
        <v>Catar</v>
      </c>
      <c r="F292" s="10" t="str">
        <f ca="1">+WORLDCUP!BD63</f>
        <v>Japón</v>
      </c>
      <c r="G292" s="10" t="str">
        <f ca="1">+WORLDCUP!BD58</f>
        <v>PO D: DEN/MKD/CZE/IRL</v>
      </c>
      <c r="H292" s="10" t="str">
        <f ca="1">+WORLDCUP!BD64</f>
        <v>Egipto</v>
      </c>
      <c r="I292" s="10" t="str">
        <f ca="1">+WORLDCUP!BD69</f>
        <v>Ghana</v>
      </c>
      <c r="J292" s="10" t="str">
        <f ca="1">+WORLDCUP!BD66</f>
        <v>Noruega</v>
      </c>
      <c r="N292" s="19" t="s">
        <v>973</v>
      </c>
      <c r="O292" s="19">
        <v>291</v>
      </c>
      <c r="P292" s="19" t="s">
        <v>453</v>
      </c>
      <c r="Q292" s="19" t="s">
        <v>458</v>
      </c>
      <c r="R292" s="19" t="s">
        <v>92</v>
      </c>
      <c r="S292" s="19" t="s">
        <v>96</v>
      </c>
      <c r="T292" s="19" t="s">
        <v>91</v>
      </c>
      <c r="U292" s="19" t="s">
        <v>452</v>
      </c>
      <c r="V292" s="19" t="s">
        <v>460</v>
      </c>
      <c r="W292" s="19" t="s">
        <v>457</v>
      </c>
    </row>
    <row r="293" spans="1:23">
      <c r="A293" s="10" t="s">
        <v>972</v>
      </c>
      <c r="B293" s="10">
        <f ca="1">+IF(A293=WORLDCUP!$BI$112,1,0)</f>
        <v>0</v>
      </c>
      <c r="C293" s="10" t="str">
        <f ca="1">+WORLDCUP!BD65</f>
        <v>Arabia Saudita</v>
      </c>
      <c r="D293" s="10" t="str">
        <f ca="1">+WORLDCUP!BD67</f>
        <v>Argelia</v>
      </c>
      <c r="E293" s="10" t="str">
        <f ca="1">+WORLDCUP!BD59</f>
        <v>Catar</v>
      </c>
      <c r="F293" s="10" t="str">
        <f ca="1">+WORLDCUP!BD63</f>
        <v>Japón</v>
      </c>
      <c r="G293" s="10" t="str">
        <f ca="1">+WORLDCUP!BD58</f>
        <v>PO D: DEN/MKD/CZE/IRL</v>
      </c>
      <c r="H293" s="10" t="str">
        <f ca="1">+WORLDCUP!BD64</f>
        <v>Egipto</v>
      </c>
      <c r="I293" s="10" t="str">
        <f ca="1">+WORLDCUP!BD66</f>
        <v>Noruega</v>
      </c>
      <c r="J293" s="10" t="str">
        <f ca="1">+WORLDCUP!BD68</f>
        <v>PO 1: COD/JAM/NCL</v>
      </c>
      <c r="N293" s="19" t="s">
        <v>972</v>
      </c>
      <c r="O293" s="19">
        <v>292</v>
      </c>
      <c r="P293" s="19" t="s">
        <v>453</v>
      </c>
      <c r="Q293" s="19" t="s">
        <v>458</v>
      </c>
      <c r="R293" s="19" t="s">
        <v>92</v>
      </c>
      <c r="S293" s="19" t="s">
        <v>96</v>
      </c>
      <c r="T293" s="19" t="s">
        <v>91</v>
      </c>
      <c r="U293" s="19" t="s">
        <v>452</v>
      </c>
      <c r="V293" s="19" t="s">
        <v>457</v>
      </c>
      <c r="W293" s="19" t="s">
        <v>459</v>
      </c>
    </row>
    <row r="294" spans="1:23">
      <c r="A294" s="10" t="s">
        <v>971</v>
      </c>
      <c r="B294" s="10">
        <f ca="1">+IF(A294=WORLDCUP!$BI$112,1,0)</f>
        <v>0</v>
      </c>
      <c r="C294" s="10" t="str">
        <f ca="1">+WORLDCUP!BD62</f>
        <v>Curazao</v>
      </c>
      <c r="D294" s="10" t="str">
        <f ca="1">+WORLDCUP!BD67</f>
        <v>Argelia</v>
      </c>
      <c r="E294" s="10" t="str">
        <f ca="1">+WORLDCUP!BD59</f>
        <v>Catar</v>
      </c>
      <c r="F294" s="10" t="str">
        <f ca="1">+WORLDCUP!BD58</f>
        <v>PO D: DEN/MKD/CZE/IRL</v>
      </c>
      <c r="G294" s="10" t="str">
        <f ca="1">+WORLDCUP!BD66</f>
        <v>Noruega</v>
      </c>
      <c r="H294" s="10" t="str">
        <f ca="1">+WORLDCUP!BD65</f>
        <v>Arabia Saudita</v>
      </c>
      <c r="I294" s="10" t="str">
        <f ca="1">+WORLDCUP!BD69</f>
        <v>Ghana</v>
      </c>
      <c r="J294" s="10" t="str">
        <f ca="1">+WORLDCUP!BD68</f>
        <v>PO 1: COD/JAM/NCL</v>
      </c>
      <c r="N294" s="19" t="s">
        <v>971</v>
      </c>
      <c r="O294" s="19">
        <v>293</v>
      </c>
      <c r="P294" s="19" t="s">
        <v>95</v>
      </c>
      <c r="Q294" s="19" t="s">
        <v>458</v>
      </c>
      <c r="R294" s="19" t="s">
        <v>92</v>
      </c>
      <c r="S294" s="19" t="s">
        <v>91</v>
      </c>
      <c r="T294" s="19" t="s">
        <v>457</v>
      </c>
      <c r="U294" s="19" t="s">
        <v>453</v>
      </c>
      <c r="V294" s="19" t="s">
        <v>460</v>
      </c>
      <c r="W294" s="19" t="s">
        <v>459</v>
      </c>
    </row>
    <row r="295" spans="1:23">
      <c r="A295" s="10" t="s">
        <v>970</v>
      </c>
      <c r="B295" s="10">
        <f ca="1">+IF(A295=WORLDCUP!$BI$112,1,0)</f>
        <v>0</v>
      </c>
      <c r="C295" s="10" t="str">
        <f ca="1">+WORLDCUP!BD62</f>
        <v>Curazao</v>
      </c>
      <c r="D295" s="10" t="str">
        <f ca="1">+WORLDCUP!BD67</f>
        <v>Argelia</v>
      </c>
      <c r="E295" s="10" t="str">
        <f ca="1">+WORLDCUP!BD59</f>
        <v>Catar</v>
      </c>
      <c r="F295" s="10" t="str">
        <f ca="1">+WORLDCUP!BD58</f>
        <v>PO D: DEN/MKD/CZE/IRL</v>
      </c>
      <c r="G295" s="10" t="str">
        <f ca="1">+WORLDCUP!BD66</f>
        <v>Noruega</v>
      </c>
      <c r="H295" s="10" t="str">
        <f ca="1">+WORLDCUP!BD64</f>
        <v>Egipto</v>
      </c>
      <c r="I295" s="10" t="str">
        <f ca="1">+WORLDCUP!BD69</f>
        <v>Ghana</v>
      </c>
      <c r="J295" s="10" t="str">
        <f ca="1">+WORLDCUP!BD68</f>
        <v>PO 1: COD/JAM/NCL</v>
      </c>
      <c r="N295" s="19" t="s">
        <v>970</v>
      </c>
      <c r="O295" s="19">
        <v>294</v>
      </c>
      <c r="P295" s="19" t="s">
        <v>95</v>
      </c>
      <c r="Q295" s="19" t="s">
        <v>458</v>
      </c>
      <c r="R295" s="19" t="s">
        <v>92</v>
      </c>
      <c r="S295" s="19" t="s">
        <v>91</v>
      </c>
      <c r="T295" s="19" t="s">
        <v>457</v>
      </c>
      <c r="U295" s="19" t="s">
        <v>452</v>
      </c>
      <c r="V295" s="19" t="s">
        <v>460</v>
      </c>
      <c r="W295" s="19" t="s">
        <v>459</v>
      </c>
    </row>
    <row r="296" spans="1:23">
      <c r="A296" s="10" t="s">
        <v>969</v>
      </c>
      <c r="B296" s="10">
        <f ca="1">+IF(A296=WORLDCUP!$BI$112,1,0)</f>
        <v>0</v>
      </c>
      <c r="C296" s="10" t="str">
        <f ca="1">+WORLDCUP!BD62</f>
        <v>Curazao</v>
      </c>
      <c r="D296" s="10" t="str">
        <f ca="1">+WORLDCUP!BD67</f>
        <v>Argelia</v>
      </c>
      <c r="E296" s="10" t="str">
        <f ca="1">+WORLDCUP!BD59</f>
        <v>Catar</v>
      </c>
      <c r="F296" s="10" t="str">
        <f ca="1">+WORLDCUP!BD58</f>
        <v>PO D: DEN/MKD/CZE/IRL</v>
      </c>
      <c r="G296" s="10" t="str">
        <f ca="1">+WORLDCUP!BD65</f>
        <v>Arabia Saudita</v>
      </c>
      <c r="H296" s="10" t="str">
        <f ca="1">+WORLDCUP!BD64</f>
        <v>Egipto</v>
      </c>
      <c r="I296" s="10" t="str">
        <f ca="1">+WORLDCUP!BD69</f>
        <v>Ghana</v>
      </c>
      <c r="J296" s="10" t="str">
        <f ca="1">+WORLDCUP!BD68</f>
        <v>PO 1: COD/JAM/NCL</v>
      </c>
      <c r="N296" s="19" t="s">
        <v>969</v>
      </c>
      <c r="O296" s="19">
        <v>295</v>
      </c>
      <c r="P296" s="19" t="s">
        <v>95</v>
      </c>
      <c r="Q296" s="19" t="s">
        <v>458</v>
      </c>
      <c r="R296" s="19" t="s">
        <v>92</v>
      </c>
      <c r="S296" s="19" t="s">
        <v>91</v>
      </c>
      <c r="T296" s="19" t="s">
        <v>453</v>
      </c>
      <c r="U296" s="19" t="s">
        <v>452</v>
      </c>
      <c r="V296" s="19" t="s">
        <v>460</v>
      </c>
      <c r="W296" s="19" t="s">
        <v>459</v>
      </c>
    </row>
    <row r="297" spans="1:23">
      <c r="A297" s="10" t="s">
        <v>968</v>
      </c>
      <c r="B297" s="10">
        <f ca="1">+IF(A297=WORLDCUP!$BI$112,1,0)</f>
        <v>0</v>
      </c>
      <c r="C297" s="10" t="str">
        <f ca="1">+WORLDCUP!BD62</f>
        <v>Curazao</v>
      </c>
      <c r="D297" s="10" t="str">
        <f ca="1">+WORLDCUP!BD64</f>
        <v>Egipto</v>
      </c>
      <c r="E297" s="10" t="str">
        <f ca="1">+WORLDCUP!BD59</f>
        <v>Catar</v>
      </c>
      <c r="F297" s="10" t="str">
        <f ca="1">+WORLDCUP!BD58</f>
        <v>PO D: DEN/MKD/CZE/IRL</v>
      </c>
      <c r="G297" s="10" t="str">
        <f ca="1">+WORLDCUP!BD66</f>
        <v>Noruega</v>
      </c>
      <c r="H297" s="10" t="str">
        <f ca="1">+WORLDCUP!BD65</f>
        <v>Arabia Saudita</v>
      </c>
      <c r="I297" s="10" t="str">
        <f ca="1">+WORLDCUP!BD69</f>
        <v>Ghana</v>
      </c>
      <c r="J297" s="10" t="str">
        <f ca="1">+WORLDCUP!BD68</f>
        <v>PO 1: COD/JAM/NCL</v>
      </c>
      <c r="N297" s="19" t="s">
        <v>968</v>
      </c>
      <c r="O297" s="19">
        <v>296</v>
      </c>
      <c r="P297" s="19" t="s">
        <v>95</v>
      </c>
      <c r="Q297" s="19" t="s">
        <v>452</v>
      </c>
      <c r="R297" s="19" t="s">
        <v>92</v>
      </c>
      <c r="S297" s="19" t="s">
        <v>91</v>
      </c>
      <c r="T297" s="19" t="s">
        <v>457</v>
      </c>
      <c r="U297" s="19" t="s">
        <v>453</v>
      </c>
      <c r="V297" s="19" t="s">
        <v>460</v>
      </c>
      <c r="W297" s="19" t="s">
        <v>459</v>
      </c>
    </row>
    <row r="298" spans="1:23">
      <c r="A298" s="10" t="s">
        <v>967</v>
      </c>
      <c r="B298" s="10">
        <f ca="1">+IF(A298=WORLDCUP!$BI$112,1,0)</f>
        <v>0</v>
      </c>
      <c r="C298" s="10" t="str">
        <f ca="1">+WORLDCUP!BD62</f>
        <v>Curazao</v>
      </c>
      <c r="D298" s="10" t="str">
        <f ca="1">+WORLDCUP!BD67</f>
        <v>Argelia</v>
      </c>
      <c r="E298" s="10" t="str">
        <f ca="1">+WORLDCUP!BD59</f>
        <v>Catar</v>
      </c>
      <c r="F298" s="10" t="str">
        <f ca="1">+WORLDCUP!BD58</f>
        <v>PO D: DEN/MKD/CZE/IRL</v>
      </c>
      <c r="G298" s="10" t="str">
        <f ca="1">+WORLDCUP!BD65</f>
        <v>Arabia Saudita</v>
      </c>
      <c r="H298" s="10" t="str">
        <f ca="1">+WORLDCUP!BD64</f>
        <v>Egipto</v>
      </c>
      <c r="I298" s="10" t="str">
        <f ca="1">+WORLDCUP!BD69</f>
        <v>Ghana</v>
      </c>
      <c r="J298" s="10" t="str">
        <f ca="1">+WORLDCUP!BD66</f>
        <v>Noruega</v>
      </c>
      <c r="N298" s="19" t="s">
        <v>967</v>
      </c>
      <c r="O298" s="19">
        <v>297</v>
      </c>
      <c r="P298" s="19" t="s">
        <v>95</v>
      </c>
      <c r="Q298" s="19" t="s">
        <v>458</v>
      </c>
      <c r="R298" s="19" t="s">
        <v>92</v>
      </c>
      <c r="S298" s="19" t="s">
        <v>91</v>
      </c>
      <c r="T298" s="19" t="s">
        <v>453</v>
      </c>
      <c r="U298" s="19" t="s">
        <v>452</v>
      </c>
      <c r="V298" s="19" t="s">
        <v>460</v>
      </c>
      <c r="W298" s="19" t="s">
        <v>457</v>
      </c>
    </row>
    <row r="299" spans="1:23">
      <c r="A299" s="10" t="s">
        <v>966</v>
      </c>
      <c r="B299" s="10">
        <f ca="1">+IF(A299=WORLDCUP!$BI$112,1,0)</f>
        <v>0</v>
      </c>
      <c r="C299" s="10" t="str">
        <f ca="1">+WORLDCUP!BD62</f>
        <v>Curazao</v>
      </c>
      <c r="D299" s="10" t="str">
        <f ca="1">+WORLDCUP!BD67</f>
        <v>Argelia</v>
      </c>
      <c r="E299" s="10" t="str">
        <f ca="1">+WORLDCUP!BD59</f>
        <v>Catar</v>
      </c>
      <c r="F299" s="10" t="str">
        <f ca="1">+WORLDCUP!BD58</f>
        <v>PO D: DEN/MKD/CZE/IRL</v>
      </c>
      <c r="G299" s="10" t="str">
        <f ca="1">+WORLDCUP!BD65</f>
        <v>Arabia Saudita</v>
      </c>
      <c r="H299" s="10" t="str">
        <f ca="1">+WORLDCUP!BD64</f>
        <v>Egipto</v>
      </c>
      <c r="I299" s="10" t="str">
        <f ca="1">+WORLDCUP!BD66</f>
        <v>Noruega</v>
      </c>
      <c r="J299" s="10" t="str">
        <f ca="1">+WORLDCUP!BD68</f>
        <v>PO 1: COD/JAM/NCL</v>
      </c>
      <c r="N299" s="19" t="s">
        <v>966</v>
      </c>
      <c r="O299" s="19">
        <v>298</v>
      </c>
      <c r="P299" s="19" t="s">
        <v>95</v>
      </c>
      <c r="Q299" s="19" t="s">
        <v>458</v>
      </c>
      <c r="R299" s="19" t="s">
        <v>92</v>
      </c>
      <c r="S299" s="19" t="s">
        <v>91</v>
      </c>
      <c r="T299" s="19" t="s">
        <v>453</v>
      </c>
      <c r="U299" s="19" t="s">
        <v>452</v>
      </c>
      <c r="V299" s="19" t="s">
        <v>457</v>
      </c>
      <c r="W299" s="19" t="s">
        <v>459</v>
      </c>
    </row>
    <row r="300" spans="1:23">
      <c r="A300" s="10" t="s">
        <v>965</v>
      </c>
      <c r="B300" s="10">
        <f ca="1">+IF(A300=WORLDCUP!$BI$112,1,0)</f>
        <v>0</v>
      </c>
      <c r="C300" s="10" t="str">
        <f ca="1">+WORLDCUP!BD62</f>
        <v>Curazao</v>
      </c>
      <c r="D300" s="10" t="str">
        <f ca="1">+WORLDCUP!BD67</f>
        <v>Argelia</v>
      </c>
      <c r="E300" s="10" t="str">
        <f ca="1">+WORLDCUP!BD59</f>
        <v>Catar</v>
      </c>
      <c r="F300" s="10" t="str">
        <f ca="1">+WORLDCUP!BD58</f>
        <v>PO D: DEN/MKD/CZE/IRL</v>
      </c>
      <c r="G300" s="10" t="str">
        <f ca="1">+WORLDCUP!BD66</f>
        <v>Noruega</v>
      </c>
      <c r="H300" s="10" t="str">
        <f ca="1">+WORLDCUP!BD63</f>
        <v>Japón</v>
      </c>
      <c r="I300" s="10" t="str">
        <f ca="1">+WORLDCUP!BD69</f>
        <v>Ghana</v>
      </c>
      <c r="J300" s="10" t="str">
        <f ca="1">+WORLDCUP!BD68</f>
        <v>PO 1: COD/JAM/NCL</v>
      </c>
      <c r="N300" s="19" t="s">
        <v>965</v>
      </c>
      <c r="O300" s="19">
        <v>299</v>
      </c>
      <c r="P300" s="19" t="s">
        <v>95</v>
      </c>
      <c r="Q300" s="19" t="s">
        <v>458</v>
      </c>
      <c r="R300" s="19" t="s">
        <v>92</v>
      </c>
      <c r="S300" s="19" t="s">
        <v>91</v>
      </c>
      <c r="T300" s="19" t="s">
        <v>457</v>
      </c>
      <c r="U300" s="19" t="s">
        <v>96</v>
      </c>
      <c r="V300" s="19" t="s">
        <v>460</v>
      </c>
      <c r="W300" s="19" t="s">
        <v>459</v>
      </c>
    </row>
    <row r="301" spans="1:23">
      <c r="A301" s="10" t="s">
        <v>964</v>
      </c>
      <c r="B301" s="10">
        <f ca="1">+IF(A301=WORLDCUP!$BI$112,1,0)</f>
        <v>0</v>
      </c>
      <c r="C301" s="10" t="str">
        <f ca="1">+WORLDCUP!BD62</f>
        <v>Curazao</v>
      </c>
      <c r="D301" s="10" t="str">
        <f ca="1">+WORLDCUP!BD67</f>
        <v>Argelia</v>
      </c>
      <c r="E301" s="10" t="str">
        <f ca="1">+WORLDCUP!BD59</f>
        <v>Catar</v>
      </c>
      <c r="F301" s="10" t="str">
        <f ca="1">+WORLDCUP!BD63</f>
        <v>Japón</v>
      </c>
      <c r="G301" s="10" t="str">
        <f ca="1">+WORLDCUP!BD58</f>
        <v>PO D: DEN/MKD/CZE/IRL</v>
      </c>
      <c r="H301" s="10" t="str">
        <f ca="1">+WORLDCUP!BD65</f>
        <v>Arabia Saudita</v>
      </c>
      <c r="I301" s="10" t="str">
        <f ca="1">+WORLDCUP!BD69</f>
        <v>Ghana</v>
      </c>
      <c r="J301" s="10" t="str">
        <f ca="1">+WORLDCUP!BD68</f>
        <v>PO 1: COD/JAM/NCL</v>
      </c>
      <c r="N301" s="19" t="s">
        <v>964</v>
      </c>
      <c r="O301" s="19">
        <v>300</v>
      </c>
      <c r="P301" s="19" t="s">
        <v>95</v>
      </c>
      <c r="Q301" s="19" t="s">
        <v>458</v>
      </c>
      <c r="R301" s="19" t="s">
        <v>92</v>
      </c>
      <c r="S301" s="19" t="s">
        <v>96</v>
      </c>
      <c r="T301" s="19" t="s">
        <v>91</v>
      </c>
      <c r="U301" s="19" t="s">
        <v>453</v>
      </c>
      <c r="V301" s="19" t="s">
        <v>460</v>
      </c>
      <c r="W301" s="19" t="s">
        <v>459</v>
      </c>
    </row>
    <row r="302" spans="1:23">
      <c r="A302" s="10" t="s">
        <v>963</v>
      </c>
      <c r="B302" s="10">
        <f ca="1">+IF(A302=WORLDCUP!$BI$112,1,0)</f>
        <v>0</v>
      </c>
      <c r="C302" s="10" t="str">
        <f ca="1">+WORLDCUP!BD62</f>
        <v>Curazao</v>
      </c>
      <c r="D302" s="10" t="str">
        <f ca="1">+WORLDCUP!BD66</f>
        <v>Noruega</v>
      </c>
      <c r="E302" s="10" t="str">
        <f ca="1">+WORLDCUP!BD59</f>
        <v>Catar</v>
      </c>
      <c r="F302" s="10" t="str">
        <f ca="1">+WORLDCUP!BD63</f>
        <v>Japón</v>
      </c>
      <c r="G302" s="10" t="str">
        <f ca="1">+WORLDCUP!BD58</f>
        <v>PO D: DEN/MKD/CZE/IRL</v>
      </c>
      <c r="H302" s="10" t="str">
        <f ca="1">+WORLDCUP!BD65</f>
        <v>Arabia Saudita</v>
      </c>
      <c r="I302" s="10" t="str">
        <f ca="1">+WORLDCUP!BD69</f>
        <v>Ghana</v>
      </c>
      <c r="J302" s="10" t="str">
        <f ca="1">+WORLDCUP!BD68</f>
        <v>PO 1: COD/JAM/NCL</v>
      </c>
      <c r="N302" s="19" t="s">
        <v>963</v>
      </c>
      <c r="O302" s="19">
        <v>301</v>
      </c>
      <c r="P302" s="19" t="s">
        <v>95</v>
      </c>
      <c r="Q302" s="19" t="s">
        <v>457</v>
      </c>
      <c r="R302" s="19" t="s">
        <v>92</v>
      </c>
      <c r="S302" s="19" t="s">
        <v>96</v>
      </c>
      <c r="T302" s="19" t="s">
        <v>91</v>
      </c>
      <c r="U302" s="19" t="s">
        <v>453</v>
      </c>
      <c r="V302" s="19" t="s">
        <v>460</v>
      </c>
      <c r="W302" s="19" t="s">
        <v>459</v>
      </c>
    </row>
    <row r="303" spans="1:23">
      <c r="A303" s="10" t="s">
        <v>962</v>
      </c>
      <c r="B303" s="10">
        <f ca="1">+IF(A303=WORLDCUP!$BI$112,1,0)</f>
        <v>0</v>
      </c>
      <c r="C303" s="10" t="str">
        <f ca="1">+WORLDCUP!BD62</f>
        <v>Curazao</v>
      </c>
      <c r="D303" s="10" t="str">
        <f ca="1">+WORLDCUP!BD67</f>
        <v>Argelia</v>
      </c>
      <c r="E303" s="10" t="str">
        <f ca="1">+WORLDCUP!BD59</f>
        <v>Catar</v>
      </c>
      <c r="F303" s="10" t="str">
        <f ca="1">+WORLDCUP!BD63</f>
        <v>Japón</v>
      </c>
      <c r="G303" s="10" t="str">
        <f ca="1">+WORLDCUP!BD58</f>
        <v>PO D: DEN/MKD/CZE/IRL</v>
      </c>
      <c r="H303" s="10" t="str">
        <f ca="1">+WORLDCUP!BD65</f>
        <v>Arabia Saudita</v>
      </c>
      <c r="I303" s="10" t="str">
        <f ca="1">+WORLDCUP!BD69</f>
        <v>Ghana</v>
      </c>
      <c r="J303" s="10" t="str">
        <f ca="1">+WORLDCUP!BD66</f>
        <v>Noruega</v>
      </c>
      <c r="N303" s="19" t="s">
        <v>962</v>
      </c>
      <c r="O303" s="19">
        <v>302</v>
      </c>
      <c r="P303" s="19" t="s">
        <v>95</v>
      </c>
      <c r="Q303" s="19" t="s">
        <v>458</v>
      </c>
      <c r="R303" s="19" t="s">
        <v>92</v>
      </c>
      <c r="S303" s="19" t="s">
        <v>96</v>
      </c>
      <c r="T303" s="19" t="s">
        <v>91</v>
      </c>
      <c r="U303" s="19" t="s">
        <v>453</v>
      </c>
      <c r="V303" s="19" t="s">
        <v>460</v>
      </c>
      <c r="W303" s="19" t="s">
        <v>457</v>
      </c>
    </row>
    <row r="304" spans="1:23">
      <c r="A304" s="10" t="s">
        <v>961</v>
      </c>
      <c r="B304" s="10">
        <f ca="1">+IF(A304=WORLDCUP!$BI$112,1,0)</f>
        <v>0</v>
      </c>
      <c r="C304" s="10" t="str">
        <f ca="1">+WORLDCUP!BD62</f>
        <v>Curazao</v>
      </c>
      <c r="D304" s="10" t="str">
        <f ca="1">+WORLDCUP!BD67</f>
        <v>Argelia</v>
      </c>
      <c r="E304" s="10" t="str">
        <f ca="1">+WORLDCUP!BD59</f>
        <v>Catar</v>
      </c>
      <c r="F304" s="10" t="str">
        <f ca="1">+WORLDCUP!BD63</f>
        <v>Japón</v>
      </c>
      <c r="G304" s="10" t="str">
        <f ca="1">+WORLDCUP!BD58</f>
        <v>PO D: DEN/MKD/CZE/IRL</v>
      </c>
      <c r="H304" s="10" t="str">
        <f ca="1">+WORLDCUP!BD65</f>
        <v>Arabia Saudita</v>
      </c>
      <c r="I304" s="10" t="str">
        <f ca="1">+WORLDCUP!BD66</f>
        <v>Noruega</v>
      </c>
      <c r="J304" s="10" t="str">
        <f ca="1">+WORLDCUP!BD68</f>
        <v>PO 1: COD/JAM/NCL</v>
      </c>
      <c r="N304" s="19" t="s">
        <v>961</v>
      </c>
      <c r="O304" s="19">
        <v>303</v>
      </c>
      <c r="P304" s="19" t="s">
        <v>95</v>
      </c>
      <c r="Q304" s="19" t="s">
        <v>458</v>
      </c>
      <c r="R304" s="19" t="s">
        <v>92</v>
      </c>
      <c r="S304" s="19" t="s">
        <v>96</v>
      </c>
      <c r="T304" s="19" t="s">
        <v>91</v>
      </c>
      <c r="U304" s="19" t="s">
        <v>453</v>
      </c>
      <c r="V304" s="19" t="s">
        <v>457</v>
      </c>
      <c r="W304" s="19" t="s">
        <v>459</v>
      </c>
    </row>
    <row r="305" spans="1:23">
      <c r="A305" s="10" t="s">
        <v>960</v>
      </c>
      <c r="B305" s="10">
        <f ca="1">+IF(A305=WORLDCUP!$BI$112,1,0)</f>
        <v>0</v>
      </c>
      <c r="C305" s="10" t="str">
        <f ca="1">+WORLDCUP!BD62</f>
        <v>Curazao</v>
      </c>
      <c r="D305" s="10" t="str">
        <f ca="1">+WORLDCUP!BD67</f>
        <v>Argelia</v>
      </c>
      <c r="E305" s="10" t="str">
        <f ca="1">+WORLDCUP!BD59</f>
        <v>Catar</v>
      </c>
      <c r="F305" s="10" t="str">
        <f ca="1">+WORLDCUP!BD63</f>
        <v>Japón</v>
      </c>
      <c r="G305" s="10" t="str">
        <f ca="1">+WORLDCUP!BD58</f>
        <v>PO D: DEN/MKD/CZE/IRL</v>
      </c>
      <c r="H305" s="10" t="str">
        <f ca="1">+WORLDCUP!BD64</f>
        <v>Egipto</v>
      </c>
      <c r="I305" s="10" t="str">
        <f ca="1">+WORLDCUP!BD69</f>
        <v>Ghana</v>
      </c>
      <c r="J305" s="10" t="str">
        <f ca="1">+WORLDCUP!BD68</f>
        <v>PO 1: COD/JAM/NCL</v>
      </c>
      <c r="N305" s="19" t="s">
        <v>960</v>
      </c>
      <c r="O305" s="19">
        <v>304</v>
      </c>
      <c r="P305" s="19" t="s">
        <v>95</v>
      </c>
      <c r="Q305" s="19" t="s">
        <v>458</v>
      </c>
      <c r="R305" s="19" t="s">
        <v>92</v>
      </c>
      <c r="S305" s="19" t="s">
        <v>96</v>
      </c>
      <c r="T305" s="19" t="s">
        <v>91</v>
      </c>
      <c r="U305" s="19" t="s">
        <v>452</v>
      </c>
      <c r="V305" s="19" t="s">
        <v>460</v>
      </c>
      <c r="W305" s="19" t="s">
        <v>459</v>
      </c>
    </row>
    <row r="306" spans="1:23">
      <c r="A306" s="10" t="s">
        <v>959</v>
      </c>
      <c r="B306" s="10">
        <f ca="1">+IF(A306=WORLDCUP!$BI$112,1,0)</f>
        <v>0</v>
      </c>
      <c r="C306" s="10" t="str">
        <f ca="1">+WORLDCUP!BD62</f>
        <v>Curazao</v>
      </c>
      <c r="D306" s="10" t="str">
        <f ca="1">+WORLDCUP!BD64</f>
        <v>Egipto</v>
      </c>
      <c r="E306" s="10" t="str">
        <f ca="1">+WORLDCUP!BD59</f>
        <v>Catar</v>
      </c>
      <c r="F306" s="10" t="str">
        <f ca="1">+WORLDCUP!BD58</f>
        <v>PO D: DEN/MKD/CZE/IRL</v>
      </c>
      <c r="G306" s="10" t="str">
        <f ca="1">+WORLDCUP!BD66</f>
        <v>Noruega</v>
      </c>
      <c r="H306" s="10" t="str">
        <f ca="1">+WORLDCUP!BD63</f>
        <v>Japón</v>
      </c>
      <c r="I306" s="10" t="str">
        <f ca="1">+WORLDCUP!BD69</f>
        <v>Ghana</v>
      </c>
      <c r="J306" s="10" t="str">
        <f ca="1">+WORLDCUP!BD68</f>
        <v>PO 1: COD/JAM/NCL</v>
      </c>
      <c r="N306" s="19" t="s">
        <v>959</v>
      </c>
      <c r="O306" s="19">
        <v>305</v>
      </c>
      <c r="P306" s="19" t="s">
        <v>95</v>
      </c>
      <c r="Q306" s="19" t="s">
        <v>452</v>
      </c>
      <c r="R306" s="19" t="s">
        <v>92</v>
      </c>
      <c r="S306" s="19" t="s">
        <v>91</v>
      </c>
      <c r="T306" s="19" t="s">
        <v>457</v>
      </c>
      <c r="U306" s="19" t="s">
        <v>96</v>
      </c>
      <c r="V306" s="19" t="s">
        <v>460</v>
      </c>
      <c r="W306" s="19" t="s">
        <v>459</v>
      </c>
    </row>
    <row r="307" spans="1:23">
      <c r="A307" s="10" t="s">
        <v>958</v>
      </c>
      <c r="B307" s="10">
        <f ca="1">+IF(A307=WORLDCUP!$BI$112,1,0)</f>
        <v>0</v>
      </c>
      <c r="C307" s="10" t="str">
        <f ca="1">+WORLDCUP!BD62</f>
        <v>Curazao</v>
      </c>
      <c r="D307" s="10" t="str">
        <f ca="1">+WORLDCUP!BD67</f>
        <v>Argelia</v>
      </c>
      <c r="E307" s="10" t="str">
        <f ca="1">+WORLDCUP!BD59</f>
        <v>Catar</v>
      </c>
      <c r="F307" s="10" t="str">
        <f ca="1">+WORLDCUP!BD63</f>
        <v>Japón</v>
      </c>
      <c r="G307" s="10" t="str">
        <f ca="1">+WORLDCUP!BD58</f>
        <v>PO D: DEN/MKD/CZE/IRL</v>
      </c>
      <c r="H307" s="10" t="str">
        <f ca="1">+WORLDCUP!BD64</f>
        <v>Egipto</v>
      </c>
      <c r="I307" s="10" t="str">
        <f ca="1">+WORLDCUP!BD69</f>
        <v>Ghana</v>
      </c>
      <c r="J307" s="10" t="str">
        <f ca="1">+WORLDCUP!BD66</f>
        <v>Noruega</v>
      </c>
      <c r="N307" s="19" t="s">
        <v>958</v>
      </c>
      <c r="O307" s="19">
        <v>306</v>
      </c>
      <c r="P307" s="19" t="s">
        <v>95</v>
      </c>
      <c r="Q307" s="19" t="s">
        <v>458</v>
      </c>
      <c r="R307" s="19" t="s">
        <v>92</v>
      </c>
      <c r="S307" s="19" t="s">
        <v>96</v>
      </c>
      <c r="T307" s="19" t="s">
        <v>91</v>
      </c>
      <c r="U307" s="19" t="s">
        <v>452</v>
      </c>
      <c r="V307" s="19" t="s">
        <v>460</v>
      </c>
      <c r="W307" s="19" t="s">
        <v>457</v>
      </c>
    </row>
    <row r="308" spans="1:23">
      <c r="A308" s="10" t="s">
        <v>957</v>
      </c>
      <c r="B308" s="10">
        <f ca="1">+IF(A308=WORLDCUP!$BI$112,1,0)</f>
        <v>0</v>
      </c>
      <c r="C308" s="10" t="str">
        <f ca="1">+WORLDCUP!BD62</f>
        <v>Curazao</v>
      </c>
      <c r="D308" s="10" t="str">
        <f ca="1">+WORLDCUP!BD67</f>
        <v>Argelia</v>
      </c>
      <c r="E308" s="10" t="str">
        <f ca="1">+WORLDCUP!BD59</f>
        <v>Catar</v>
      </c>
      <c r="F308" s="10" t="str">
        <f ca="1">+WORLDCUP!BD63</f>
        <v>Japón</v>
      </c>
      <c r="G308" s="10" t="str">
        <f ca="1">+WORLDCUP!BD58</f>
        <v>PO D: DEN/MKD/CZE/IRL</v>
      </c>
      <c r="H308" s="10" t="str">
        <f ca="1">+WORLDCUP!BD64</f>
        <v>Egipto</v>
      </c>
      <c r="I308" s="10" t="str">
        <f ca="1">+WORLDCUP!BD66</f>
        <v>Noruega</v>
      </c>
      <c r="J308" s="10" t="str">
        <f ca="1">+WORLDCUP!BD68</f>
        <v>PO 1: COD/JAM/NCL</v>
      </c>
      <c r="N308" s="19" t="s">
        <v>957</v>
      </c>
      <c r="O308" s="19">
        <v>307</v>
      </c>
      <c r="P308" s="19" t="s">
        <v>95</v>
      </c>
      <c r="Q308" s="19" t="s">
        <v>458</v>
      </c>
      <c r="R308" s="19" t="s">
        <v>92</v>
      </c>
      <c r="S308" s="19" t="s">
        <v>96</v>
      </c>
      <c r="T308" s="19" t="s">
        <v>91</v>
      </c>
      <c r="U308" s="19" t="s">
        <v>452</v>
      </c>
      <c r="V308" s="19" t="s">
        <v>457</v>
      </c>
      <c r="W308" s="19" t="s">
        <v>459</v>
      </c>
    </row>
    <row r="309" spans="1:23">
      <c r="A309" s="10" t="s">
        <v>956</v>
      </c>
      <c r="B309" s="10">
        <f ca="1">+IF(A309=WORLDCUP!$BI$112,1,0)</f>
        <v>0</v>
      </c>
      <c r="C309" s="10" t="str">
        <f ca="1">+WORLDCUP!BD62</f>
        <v>Curazao</v>
      </c>
      <c r="D309" s="10" t="str">
        <f ca="1">+WORLDCUP!BD64</f>
        <v>Egipto</v>
      </c>
      <c r="E309" s="10" t="str">
        <f ca="1">+WORLDCUP!BD59</f>
        <v>Catar</v>
      </c>
      <c r="F309" s="10" t="str">
        <f ca="1">+WORLDCUP!BD63</f>
        <v>Japón</v>
      </c>
      <c r="G309" s="10" t="str">
        <f ca="1">+WORLDCUP!BD58</f>
        <v>PO D: DEN/MKD/CZE/IRL</v>
      </c>
      <c r="H309" s="10" t="str">
        <f ca="1">+WORLDCUP!BD65</f>
        <v>Arabia Saudita</v>
      </c>
      <c r="I309" s="10" t="str">
        <f ca="1">+WORLDCUP!BD69</f>
        <v>Ghana</v>
      </c>
      <c r="J309" s="10" t="str">
        <f ca="1">+WORLDCUP!BD68</f>
        <v>PO 1: COD/JAM/NCL</v>
      </c>
      <c r="N309" s="19" t="s">
        <v>956</v>
      </c>
      <c r="O309" s="19">
        <v>308</v>
      </c>
      <c r="P309" s="19" t="s">
        <v>95</v>
      </c>
      <c r="Q309" s="19" t="s">
        <v>452</v>
      </c>
      <c r="R309" s="19" t="s">
        <v>92</v>
      </c>
      <c r="S309" s="19" t="s">
        <v>96</v>
      </c>
      <c r="T309" s="19" t="s">
        <v>91</v>
      </c>
      <c r="U309" s="19" t="s">
        <v>453</v>
      </c>
      <c r="V309" s="19" t="s">
        <v>460</v>
      </c>
      <c r="W309" s="19" t="s">
        <v>459</v>
      </c>
    </row>
    <row r="310" spans="1:23">
      <c r="A310" s="10" t="s">
        <v>955</v>
      </c>
      <c r="B310" s="10">
        <f ca="1">+IF(A310=WORLDCUP!$BI$112,1,0)</f>
        <v>0</v>
      </c>
      <c r="C310" s="10" t="str">
        <f ca="1">+WORLDCUP!BD65</f>
        <v>Arabia Saudita</v>
      </c>
      <c r="D310" s="10" t="str">
        <f ca="1">+WORLDCUP!BD67</f>
        <v>Argelia</v>
      </c>
      <c r="E310" s="10" t="str">
        <f ca="1">+WORLDCUP!BD59</f>
        <v>Catar</v>
      </c>
      <c r="F310" s="10" t="str">
        <f ca="1">+WORLDCUP!BD63</f>
        <v>Japón</v>
      </c>
      <c r="G310" s="10" t="str">
        <f ca="1">+WORLDCUP!BD58</f>
        <v>PO D: DEN/MKD/CZE/IRL</v>
      </c>
      <c r="H310" s="10" t="str">
        <f ca="1">+WORLDCUP!BD64</f>
        <v>Egipto</v>
      </c>
      <c r="I310" s="10" t="str">
        <f ca="1">+WORLDCUP!BD69</f>
        <v>Ghana</v>
      </c>
      <c r="J310" s="10" t="str">
        <f ca="1">+WORLDCUP!BD62</f>
        <v>Curazao</v>
      </c>
      <c r="N310" s="19" t="s">
        <v>955</v>
      </c>
      <c r="O310" s="19">
        <v>309</v>
      </c>
      <c r="P310" s="19" t="s">
        <v>453</v>
      </c>
      <c r="Q310" s="19" t="s">
        <v>458</v>
      </c>
      <c r="R310" s="19" t="s">
        <v>92</v>
      </c>
      <c r="S310" s="19" t="s">
        <v>96</v>
      </c>
      <c r="T310" s="19" t="s">
        <v>91</v>
      </c>
      <c r="U310" s="19" t="s">
        <v>452</v>
      </c>
      <c r="V310" s="19" t="s">
        <v>460</v>
      </c>
      <c r="W310" s="19" t="s">
        <v>95</v>
      </c>
    </row>
    <row r="311" spans="1:23">
      <c r="A311" s="10" t="s">
        <v>954</v>
      </c>
      <c r="B311" s="10">
        <f ca="1">+IF(A311=WORLDCUP!$BI$112,1,0)</f>
        <v>0</v>
      </c>
      <c r="C311" s="10" t="str">
        <f ca="1">+WORLDCUP!BD65</f>
        <v>Arabia Saudita</v>
      </c>
      <c r="D311" s="10" t="str">
        <f ca="1">+WORLDCUP!BD67</f>
        <v>Argelia</v>
      </c>
      <c r="E311" s="10" t="str">
        <f ca="1">+WORLDCUP!BD59</f>
        <v>Catar</v>
      </c>
      <c r="F311" s="10" t="str">
        <f ca="1">+WORLDCUP!BD63</f>
        <v>Japón</v>
      </c>
      <c r="G311" s="10" t="str">
        <f ca="1">+WORLDCUP!BD58</f>
        <v>PO D: DEN/MKD/CZE/IRL</v>
      </c>
      <c r="H311" s="10" t="str">
        <f ca="1">+WORLDCUP!BD64</f>
        <v>Egipto</v>
      </c>
      <c r="I311" s="10" t="str">
        <f ca="1">+WORLDCUP!BD62</f>
        <v>Curazao</v>
      </c>
      <c r="J311" s="10" t="str">
        <f ca="1">+WORLDCUP!BD68</f>
        <v>PO 1: COD/JAM/NCL</v>
      </c>
      <c r="N311" s="19" t="s">
        <v>954</v>
      </c>
      <c r="O311" s="19">
        <v>310</v>
      </c>
      <c r="P311" s="19" t="s">
        <v>453</v>
      </c>
      <c r="Q311" s="19" t="s">
        <v>458</v>
      </c>
      <c r="R311" s="19" t="s">
        <v>92</v>
      </c>
      <c r="S311" s="19" t="s">
        <v>96</v>
      </c>
      <c r="T311" s="19" t="s">
        <v>91</v>
      </c>
      <c r="U311" s="19" t="s">
        <v>452</v>
      </c>
      <c r="V311" s="19" t="s">
        <v>95</v>
      </c>
      <c r="W311" s="19" t="s">
        <v>459</v>
      </c>
    </row>
    <row r="312" spans="1:23">
      <c r="A312" s="10" t="s">
        <v>953</v>
      </c>
      <c r="B312" s="10">
        <f ca="1">+IF(A312=WORLDCUP!$BI$112,1,0)</f>
        <v>0</v>
      </c>
      <c r="C312" s="10" t="str">
        <f ca="1">+WORLDCUP!BD62</f>
        <v>Curazao</v>
      </c>
      <c r="D312" s="10" t="str">
        <f ca="1">+WORLDCUP!BD64</f>
        <v>Egipto</v>
      </c>
      <c r="E312" s="10" t="str">
        <f ca="1">+WORLDCUP!BD59</f>
        <v>Catar</v>
      </c>
      <c r="F312" s="10" t="str">
        <f ca="1">+WORLDCUP!BD63</f>
        <v>Japón</v>
      </c>
      <c r="G312" s="10" t="str">
        <f ca="1">+WORLDCUP!BD58</f>
        <v>PO D: DEN/MKD/CZE/IRL</v>
      </c>
      <c r="H312" s="10" t="str">
        <f ca="1">+WORLDCUP!BD65</f>
        <v>Arabia Saudita</v>
      </c>
      <c r="I312" s="10" t="str">
        <f ca="1">+WORLDCUP!BD69</f>
        <v>Ghana</v>
      </c>
      <c r="J312" s="10" t="str">
        <f ca="1">+WORLDCUP!BD66</f>
        <v>Noruega</v>
      </c>
      <c r="N312" s="19" t="s">
        <v>953</v>
      </c>
      <c r="O312" s="19">
        <v>311</v>
      </c>
      <c r="P312" s="19" t="s">
        <v>95</v>
      </c>
      <c r="Q312" s="19" t="s">
        <v>452</v>
      </c>
      <c r="R312" s="19" t="s">
        <v>92</v>
      </c>
      <c r="S312" s="19" t="s">
        <v>96</v>
      </c>
      <c r="T312" s="19" t="s">
        <v>91</v>
      </c>
      <c r="U312" s="19" t="s">
        <v>453</v>
      </c>
      <c r="V312" s="19" t="s">
        <v>460</v>
      </c>
      <c r="W312" s="19" t="s">
        <v>457</v>
      </c>
    </row>
    <row r="313" spans="1:23">
      <c r="A313" s="10" t="s">
        <v>952</v>
      </c>
      <c r="B313" s="10">
        <f ca="1">+IF(A313=WORLDCUP!$BI$112,1,0)</f>
        <v>0</v>
      </c>
      <c r="C313" s="10" t="str">
        <f ca="1">+WORLDCUP!BD62</f>
        <v>Curazao</v>
      </c>
      <c r="D313" s="10" t="str">
        <f ca="1">+WORLDCUP!BD64</f>
        <v>Egipto</v>
      </c>
      <c r="E313" s="10" t="str">
        <f ca="1">+WORLDCUP!BD59</f>
        <v>Catar</v>
      </c>
      <c r="F313" s="10" t="str">
        <f ca="1">+WORLDCUP!BD63</f>
        <v>Japón</v>
      </c>
      <c r="G313" s="10" t="str">
        <f ca="1">+WORLDCUP!BD58</f>
        <v>PO D: DEN/MKD/CZE/IRL</v>
      </c>
      <c r="H313" s="10" t="str">
        <f ca="1">+WORLDCUP!BD65</f>
        <v>Arabia Saudita</v>
      </c>
      <c r="I313" s="10" t="str">
        <f ca="1">+WORLDCUP!BD66</f>
        <v>Noruega</v>
      </c>
      <c r="J313" s="10" t="str">
        <f ca="1">+WORLDCUP!BD68</f>
        <v>PO 1: COD/JAM/NCL</v>
      </c>
      <c r="N313" s="19" t="s">
        <v>952</v>
      </c>
      <c r="O313" s="19">
        <v>312</v>
      </c>
      <c r="P313" s="19" t="s">
        <v>95</v>
      </c>
      <c r="Q313" s="19" t="s">
        <v>452</v>
      </c>
      <c r="R313" s="19" t="s">
        <v>92</v>
      </c>
      <c r="S313" s="19" t="s">
        <v>96</v>
      </c>
      <c r="T313" s="19" t="s">
        <v>91</v>
      </c>
      <c r="U313" s="19" t="s">
        <v>453</v>
      </c>
      <c r="V313" s="19" t="s">
        <v>457</v>
      </c>
      <c r="W313" s="19" t="s">
        <v>459</v>
      </c>
    </row>
    <row r="314" spans="1:23">
      <c r="A314" s="10" t="s">
        <v>951</v>
      </c>
      <c r="B314" s="10">
        <f ca="1">+IF(A314=WORLDCUP!$BI$112,1,0)</f>
        <v>0</v>
      </c>
      <c r="C314" s="10" t="str">
        <f ca="1">+WORLDCUP!BD65</f>
        <v>Arabia Saudita</v>
      </c>
      <c r="D314" s="10" t="str">
        <f ca="1">+WORLDCUP!BD67</f>
        <v>Argelia</v>
      </c>
      <c r="E314" s="10" t="str">
        <f ca="1">+WORLDCUP!BD59</f>
        <v>Catar</v>
      </c>
      <c r="F314" s="10" t="str">
        <f ca="1">+WORLDCUP!BD63</f>
        <v>Japón</v>
      </c>
      <c r="G314" s="10" t="str">
        <f ca="1">+WORLDCUP!BD58</f>
        <v>PO D: DEN/MKD/CZE/IRL</v>
      </c>
      <c r="H314" s="10" t="str">
        <f ca="1">+WORLDCUP!BD64</f>
        <v>Egipto</v>
      </c>
      <c r="I314" s="10" t="str">
        <f ca="1">+WORLDCUP!BD62</f>
        <v>Curazao</v>
      </c>
      <c r="J314" s="10" t="str">
        <f ca="1">+WORLDCUP!BD66</f>
        <v>Noruega</v>
      </c>
      <c r="N314" s="19" t="s">
        <v>951</v>
      </c>
      <c r="O314" s="19">
        <v>313</v>
      </c>
      <c r="P314" s="19" t="s">
        <v>453</v>
      </c>
      <c r="Q314" s="19" t="s">
        <v>458</v>
      </c>
      <c r="R314" s="19" t="s">
        <v>92</v>
      </c>
      <c r="S314" s="19" t="s">
        <v>96</v>
      </c>
      <c r="T314" s="19" t="s">
        <v>91</v>
      </c>
      <c r="U314" s="19" t="s">
        <v>452</v>
      </c>
      <c r="V314" s="19" t="s">
        <v>95</v>
      </c>
      <c r="W314" s="19" t="s">
        <v>457</v>
      </c>
    </row>
    <row r="315" spans="1:23">
      <c r="A315" s="10" t="s">
        <v>950</v>
      </c>
      <c r="B315" s="10">
        <f ca="1">+IF(A315=WORLDCUP!$BI$112,1,0)</f>
        <v>0</v>
      </c>
      <c r="C315" s="10" t="str">
        <f ca="1">+WORLDCUP!BD66</f>
        <v>Noruega</v>
      </c>
      <c r="D315" s="10" t="str">
        <f ca="1">+WORLDCUP!BD67</f>
        <v>Argelia</v>
      </c>
      <c r="E315" s="10" t="str">
        <f ca="1">+WORLDCUP!BD59</f>
        <v>Catar</v>
      </c>
      <c r="F315" s="10" t="str">
        <f ca="1">+WORLDCUP!BD61</f>
        <v>Australia</v>
      </c>
      <c r="G315" s="10" t="str">
        <f ca="1">+WORLDCUP!BD58</f>
        <v>PO D: DEN/MKD/CZE/IRL</v>
      </c>
      <c r="H315" s="10" t="str">
        <f ca="1">+WORLDCUP!BD65</f>
        <v>Arabia Saudita</v>
      </c>
      <c r="I315" s="10" t="str">
        <f ca="1">+WORLDCUP!BD69</f>
        <v>Ghana</v>
      </c>
      <c r="J315" s="10" t="str">
        <f ca="1">+WORLDCUP!BD68</f>
        <v>PO 1: COD/JAM/NCL</v>
      </c>
      <c r="N315" s="19" t="s">
        <v>950</v>
      </c>
      <c r="O315" s="19">
        <v>314</v>
      </c>
      <c r="P315" s="19" t="s">
        <v>457</v>
      </c>
      <c r="Q315" s="19" t="s">
        <v>458</v>
      </c>
      <c r="R315" s="19" t="s">
        <v>92</v>
      </c>
      <c r="S315" s="19" t="s">
        <v>94</v>
      </c>
      <c r="T315" s="19" t="s">
        <v>91</v>
      </c>
      <c r="U315" s="19" t="s">
        <v>453</v>
      </c>
      <c r="V315" s="19" t="s">
        <v>460</v>
      </c>
      <c r="W315" s="19" t="s">
        <v>459</v>
      </c>
    </row>
    <row r="316" spans="1:23">
      <c r="A316" s="10" t="s">
        <v>949</v>
      </c>
      <c r="B316" s="10">
        <f ca="1">+IF(A316=WORLDCUP!$BI$112,1,0)</f>
        <v>0</v>
      </c>
      <c r="C316" s="10" t="str">
        <f ca="1">+WORLDCUP!BD66</f>
        <v>Noruega</v>
      </c>
      <c r="D316" s="10" t="str">
        <f ca="1">+WORLDCUP!BD67</f>
        <v>Argelia</v>
      </c>
      <c r="E316" s="10" t="str">
        <f ca="1">+WORLDCUP!BD59</f>
        <v>Catar</v>
      </c>
      <c r="F316" s="10" t="str">
        <f ca="1">+WORLDCUP!BD61</f>
        <v>Australia</v>
      </c>
      <c r="G316" s="10" t="str">
        <f ca="1">+WORLDCUP!BD58</f>
        <v>PO D: DEN/MKD/CZE/IRL</v>
      </c>
      <c r="H316" s="10" t="str">
        <f ca="1">+WORLDCUP!BD64</f>
        <v>Egipto</v>
      </c>
      <c r="I316" s="10" t="str">
        <f ca="1">+WORLDCUP!BD69</f>
        <v>Ghana</v>
      </c>
      <c r="J316" s="10" t="str">
        <f ca="1">+WORLDCUP!BD68</f>
        <v>PO 1: COD/JAM/NCL</v>
      </c>
      <c r="N316" s="19" t="s">
        <v>949</v>
      </c>
      <c r="O316" s="19">
        <v>315</v>
      </c>
      <c r="P316" s="19" t="s">
        <v>457</v>
      </c>
      <c r="Q316" s="19" t="s">
        <v>458</v>
      </c>
      <c r="R316" s="19" t="s">
        <v>92</v>
      </c>
      <c r="S316" s="19" t="s">
        <v>94</v>
      </c>
      <c r="T316" s="19" t="s">
        <v>91</v>
      </c>
      <c r="U316" s="19" t="s">
        <v>452</v>
      </c>
      <c r="V316" s="19" t="s">
        <v>460</v>
      </c>
      <c r="W316" s="19" t="s">
        <v>459</v>
      </c>
    </row>
    <row r="317" spans="1:23">
      <c r="A317" s="10" t="s">
        <v>948</v>
      </c>
      <c r="B317" s="10">
        <f ca="1">+IF(A317=WORLDCUP!$BI$112,1,0)</f>
        <v>0</v>
      </c>
      <c r="C317" s="10" t="str">
        <f ca="1">+WORLDCUP!BD65</f>
        <v>Arabia Saudita</v>
      </c>
      <c r="D317" s="10" t="str">
        <f ca="1">+WORLDCUP!BD67</f>
        <v>Argelia</v>
      </c>
      <c r="E317" s="10" t="str">
        <f ca="1">+WORLDCUP!BD59</f>
        <v>Catar</v>
      </c>
      <c r="F317" s="10" t="str">
        <f ca="1">+WORLDCUP!BD61</f>
        <v>Australia</v>
      </c>
      <c r="G317" s="10" t="str">
        <f ca="1">+WORLDCUP!BD58</f>
        <v>PO D: DEN/MKD/CZE/IRL</v>
      </c>
      <c r="H317" s="10" t="str">
        <f ca="1">+WORLDCUP!BD64</f>
        <v>Egipto</v>
      </c>
      <c r="I317" s="10" t="str">
        <f ca="1">+WORLDCUP!BD69</f>
        <v>Ghana</v>
      </c>
      <c r="J317" s="10" t="str">
        <f ca="1">+WORLDCUP!BD68</f>
        <v>PO 1: COD/JAM/NCL</v>
      </c>
      <c r="N317" s="19" t="s">
        <v>948</v>
      </c>
      <c r="O317" s="19">
        <v>316</v>
      </c>
      <c r="P317" s="19" t="s">
        <v>453</v>
      </c>
      <c r="Q317" s="19" t="s">
        <v>458</v>
      </c>
      <c r="R317" s="19" t="s">
        <v>92</v>
      </c>
      <c r="S317" s="19" t="s">
        <v>94</v>
      </c>
      <c r="T317" s="19" t="s">
        <v>91</v>
      </c>
      <c r="U317" s="19" t="s">
        <v>452</v>
      </c>
      <c r="V317" s="19" t="s">
        <v>460</v>
      </c>
      <c r="W317" s="19" t="s">
        <v>459</v>
      </c>
    </row>
    <row r="318" spans="1:23">
      <c r="A318" s="10" t="s">
        <v>947</v>
      </c>
      <c r="B318" s="10">
        <f ca="1">+IF(A318=WORLDCUP!$BI$112,1,0)</f>
        <v>0</v>
      </c>
      <c r="C318" s="10" t="str">
        <f ca="1">+WORLDCUP!BD66</f>
        <v>Noruega</v>
      </c>
      <c r="D318" s="10" t="str">
        <f ca="1">+WORLDCUP!BD64</f>
        <v>Egipto</v>
      </c>
      <c r="E318" s="10" t="str">
        <f ca="1">+WORLDCUP!BD59</f>
        <v>Catar</v>
      </c>
      <c r="F318" s="10" t="str">
        <f ca="1">+WORLDCUP!BD61</f>
        <v>Australia</v>
      </c>
      <c r="G318" s="10" t="str">
        <f ca="1">+WORLDCUP!BD58</f>
        <v>PO D: DEN/MKD/CZE/IRL</v>
      </c>
      <c r="H318" s="10" t="str">
        <f ca="1">+WORLDCUP!BD65</f>
        <v>Arabia Saudita</v>
      </c>
      <c r="I318" s="10" t="str">
        <f ca="1">+WORLDCUP!BD69</f>
        <v>Ghana</v>
      </c>
      <c r="J318" s="10" t="str">
        <f ca="1">+WORLDCUP!BD68</f>
        <v>PO 1: COD/JAM/NCL</v>
      </c>
      <c r="N318" s="19" t="s">
        <v>947</v>
      </c>
      <c r="O318" s="19">
        <v>317</v>
      </c>
      <c r="P318" s="19" t="s">
        <v>457</v>
      </c>
      <c r="Q318" s="19" t="s">
        <v>452</v>
      </c>
      <c r="R318" s="19" t="s">
        <v>92</v>
      </c>
      <c r="S318" s="19" t="s">
        <v>94</v>
      </c>
      <c r="T318" s="19" t="s">
        <v>91</v>
      </c>
      <c r="U318" s="19" t="s">
        <v>453</v>
      </c>
      <c r="V318" s="19" t="s">
        <v>460</v>
      </c>
      <c r="W318" s="19" t="s">
        <v>459</v>
      </c>
    </row>
    <row r="319" spans="1:23">
      <c r="A319" s="10" t="s">
        <v>946</v>
      </c>
      <c r="B319" s="10">
        <f ca="1">+IF(A319=WORLDCUP!$BI$112,1,0)</f>
        <v>0</v>
      </c>
      <c r="C319" s="10" t="str">
        <f ca="1">+WORLDCUP!BD65</f>
        <v>Arabia Saudita</v>
      </c>
      <c r="D319" s="10" t="str">
        <f ca="1">+WORLDCUP!BD67</f>
        <v>Argelia</v>
      </c>
      <c r="E319" s="10" t="str">
        <f ca="1">+WORLDCUP!BD59</f>
        <v>Catar</v>
      </c>
      <c r="F319" s="10" t="str">
        <f ca="1">+WORLDCUP!BD61</f>
        <v>Australia</v>
      </c>
      <c r="G319" s="10" t="str">
        <f ca="1">+WORLDCUP!BD58</f>
        <v>PO D: DEN/MKD/CZE/IRL</v>
      </c>
      <c r="H319" s="10" t="str">
        <f ca="1">+WORLDCUP!BD64</f>
        <v>Egipto</v>
      </c>
      <c r="I319" s="10" t="str">
        <f ca="1">+WORLDCUP!BD69</f>
        <v>Ghana</v>
      </c>
      <c r="J319" s="10" t="str">
        <f ca="1">+WORLDCUP!BD66</f>
        <v>Noruega</v>
      </c>
      <c r="N319" s="19" t="s">
        <v>946</v>
      </c>
      <c r="O319" s="19">
        <v>318</v>
      </c>
      <c r="P319" s="19" t="s">
        <v>453</v>
      </c>
      <c r="Q319" s="19" t="s">
        <v>458</v>
      </c>
      <c r="R319" s="19" t="s">
        <v>92</v>
      </c>
      <c r="S319" s="19" t="s">
        <v>94</v>
      </c>
      <c r="T319" s="19" t="s">
        <v>91</v>
      </c>
      <c r="U319" s="19" t="s">
        <v>452</v>
      </c>
      <c r="V319" s="19" t="s">
        <v>460</v>
      </c>
      <c r="W319" s="19" t="s">
        <v>457</v>
      </c>
    </row>
    <row r="320" spans="1:23">
      <c r="A320" s="10" t="s">
        <v>945</v>
      </c>
      <c r="B320" s="10">
        <f ca="1">+IF(A320=WORLDCUP!$BI$112,1,0)</f>
        <v>0</v>
      </c>
      <c r="C320" s="10" t="str">
        <f ca="1">+WORLDCUP!BD65</f>
        <v>Arabia Saudita</v>
      </c>
      <c r="D320" s="10" t="str">
        <f ca="1">+WORLDCUP!BD67</f>
        <v>Argelia</v>
      </c>
      <c r="E320" s="10" t="str">
        <f ca="1">+WORLDCUP!BD59</f>
        <v>Catar</v>
      </c>
      <c r="F320" s="10" t="str">
        <f ca="1">+WORLDCUP!BD61</f>
        <v>Australia</v>
      </c>
      <c r="G320" s="10" t="str">
        <f ca="1">+WORLDCUP!BD58</f>
        <v>PO D: DEN/MKD/CZE/IRL</v>
      </c>
      <c r="H320" s="10" t="str">
        <f ca="1">+WORLDCUP!BD64</f>
        <v>Egipto</v>
      </c>
      <c r="I320" s="10" t="str">
        <f ca="1">+WORLDCUP!BD66</f>
        <v>Noruega</v>
      </c>
      <c r="J320" s="10" t="str">
        <f ca="1">+WORLDCUP!BD68</f>
        <v>PO 1: COD/JAM/NCL</v>
      </c>
      <c r="N320" s="19" t="s">
        <v>945</v>
      </c>
      <c r="O320" s="19">
        <v>319</v>
      </c>
      <c r="P320" s="19" t="s">
        <v>453</v>
      </c>
      <c r="Q320" s="19" t="s">
        <v>458</v>
      </c>
      <c r="R320" s="19" t="s">
        <v>92</v>
      </c>
      <c r="S320" s="19" t="s">
        <v>94</v>
      </c>
      <c r="T320" s="19" t="s">
        <v>91</v>
      </c>
      <c r="U320" s="19" t="s">
        <v>452</v>
      </c>
      <c r="V320" s="19" t="s">
        <v>457</v>
      </c>
      <c r="W320" s="19" t="s">
        <v>459</v>
      </c>
    </row>
    <row r="321" spans="1:23">
      <c r="A321" s="10" t="s">
        <v>944</v>
      </c>
      <c r="B321" s="10">
        <f ca="1">+IF(A321=WORLDCUP!$BI$112,1,0)</f>
        <v>0</v>
      </c>
      <c r="C321" s="10" t="str">
        <f ca="1">+WORLDCUP!BD66</f>
        <v>Noruega</v>
      </c>
      <c r="D321" s="10" t="str">
        <f ca="1">+WORLDCUP!BD67</f>
        <v>Argelia</v>
      </c>
      <c r="E321" s="10" t="str">
        <f ca="1">+WORLDCUP!BD59</f>
        <v>Catar</v>
      </c>
      <c r="F321" s="10" t="str">
        <f ca="1">+WORLDCUP!BD61</f>
        <v>Australia</v>
      </c>
      <c r="G321" s="10" t="str">
        <f ca="1">+WORLDCUP!BD58</f>
        <v>PO D: DEN/MKD/CZE/IRL</v>
      </c>
      <c r="H321" s="10" t="str">
        <f ca="1">+WORLDCUP!BD63</f>
        <v>Japón</v>
      </c>
      <c r="I321" s="10" t="str">
        <f ca="1">+WORLDCUP!BD69</f>
        <v>Ghana</v>
      </c>
      <c r="J321" s="10" t="str">
        <f ca="1">+WORLDCUP!BD68</f>
        <v>PO 1: COD/JAM/NCL</v>
      </c>
      <c r="N321" s="19" t="s">
        <v>944</v>
      </c>
      <c r="O321" s="19">
        <v>320</v>
      </c>
      <c r="P321" s="19" t="s">
        <v>457</v>
      </c>
      <c r="Q321" s="19" t="s">
        <v>458</v>
      </c>
      <c r="R321" s="19" t="s">
        <v>92</v>
      </c>
      <c r="S321" s="19" t="s">
        <v>94</v>
      </c>
      <c r="T321" s="19" t="s">
        <v>91</v>
      </c>
      <c r="U321" s="19" t="s">
        <v>96</v>
      </c>
      <c r="V321" s="19" t="s">
        <v>460</v>
      </c>
      <c r="W321" s="19" t="s">
        <v>459</v>
      </c>
    </row>
    <row r="322" spans="1:23">
      <c r="A322" s="10" t="s">
        <v>943</v>
      </c>
      <c r="B322" s="10">
        <f ca="1">+IF(A322=WORLDCUP!$BI$112,1,0)</f>
        <v>0</v>
      </c>
      <c r="C322" s="10" t="str">
        <f ca="1">+WORLDCUP!BD65</f>
        <v>Arabia Saudita</v>
      </c>
      <c r="D322" s="10" t="str">
        <f ca="1">+WORLDCUP!BD67</f>
        <v>Argelia</v>
      </c>
      <c r="E322" s="10" t="str">
        <f ca="1">+WORLDCUP!BD59</f>
        <v>Catar</v>
      </c>
      <c r="F322" s="10" t="str">
        <f ca="1">+WORLDCUP!BD61</f>
        <v>Australia</v>
      </c>
      <c r="G322" s="10" t="str">
        <f ca="1">+WORLDCUP!BD58</f>
        <v>PO D: DEN/MKD/CZE/IRL</v>
      </c>
      <c r="H322" s="10" t="str">
        <f ca="1">+WORLDCUP!BD63</f>
        <v>Japón</v>
      </c>
      <c r="I322" s="10" t="str">
        <f ca="1">+WORLDCUP!BD69</f>
        <v>Ghana</v>
      </c>
      <c r="J322" s="10" t="str">
        <f ca="1">+WORLDCUP!BD68</f>
        <v>PO 1: COD/JAM/NCL</v>
      </c>
      <c r="N322" s="19" t="s">
        <v>943</v>
      </c>
      <c r="O322" s="19">
        <v>321</v>
      </c>
      <c r="P322" s="19" t="s">
        <v>453</v>
      </c>
      <c r="Q322" s="19" t="s">
        <v>458</v>
      </c>
      <c r="R322" s="19" t="s">
        <v>92</v>
      </c>
      <c r="S322" s="19" t="s">
        <v>94</v>
      </c>
      <c r="T322" s="19" t="s">
        <v>91</v>
      </c>
      <c r="U322" s="19" t="s">
        <v>96</v>
      </c>
      <c r="V322" s="19" t="s">
        <v>460</v>
      </c>
      <c r="W322" s="19" t="s">
        <v>459</v>
      </c>
    </row>
    <row r="323" spans="1:23">
      <c r="A323" s="10" t="s">
        <v>942</v>
      </c>
      <c r="B323" s="10">
        <f ca="1">+IF(A323=WORLDCUP!$BI$112,1,0)</f>
        <v>0</v>
      </c>
      <c r="C323" s="10" t="str">
        <f ca="1">+WORLDCUP!BD65</f>
        <v>Arabia Saudita</v>
      </c>
      <c r="D323" s="10" t="str">
        <f ca="1">+WORLDCUP!BD66</f>
        <v>Noruega</v>
      </c>
      <c r="E323" s="10" t="str">
        <f ca="1">+WORLDCUP!BD59</f>
        <v>Catar</v>
      </c>
      <c r="F323" s="10" t="str">
        <f ca="1">+WORLDCUP!BD61</f>
        <v>Australia</v>
      </c>
      <c r="G323" s="10" t="str">
        <f ca="1">+WORLDCUP!BD58</f>
        <v>PO D: DEN/MKD/CZE/IRL</v>
      </c>
      <c r="H323" s="10" t="str">
        <f ca="1">+WORLDCUP!BD63</f>
        <v>Japón</v>
      </c>
      <c r="I323" s="10" t="str">
        <f ca="1">+WORLDCUP!BD69</f>
        <v>Ghana</v>
      </c>
      <c r="J323" s="10" t="str">
        <f ca="1">+WORLDCUP!BD68</f>
        <v>PO 1: COD/JAM/NCL</v>
      </c>
      <c r="N323" s="19" t="s">
        <v>942</v>
      </c>
      <c r="O323" s="19">
        <v>322</v>
      </c>
      <c r="P323" s="19" t="s">
        <v>453</v>
      </c>
      <c r="Q323" s="19" t="s">
        <v>457</v>
      </c>
      <c r="R323" s="19" t="s">
        <v>92</v>
      </c>
      <c r="S323" s="19" t="s">
        <v>94</v>
      </c>
      <c r="T323" s="19" t="s">
        <v>91</v>
      </c>
      <c r="U323" s="19" t="s">
        <v>96</v>
      </c>
      <c r="V323" s="19" t="s">
        <v>460</v>
      </c>
      <c r="W323" s="19" t="s">
        <v>459</v>
      </c>
    </row>
    <row r="324" spans="1:23">
      <c r="A324" s="10" t="s">
        <v>941</v>
      </c>
      <c r="B324" s="10">
        <f ca="1">+IF(A324=WORLDCUP!$BI$112,1,0)</f>
        <v>0</v>
      </c>
      <c r="C324" s="10" t="str">
        <f ca="1">+WORLDCUP!BD65</f>
        <v>Arabia Saudita</v>
      </c>
      <c r="D324" s="10" t="str">
        <f ca="1">+WORLDCUP!BD67</f>
        <v>Argelia</v>
      </c>
      <c r="E324" s="10" t="str">
        <f ca="1">+WORLDCUP!BD59</f>
        <v>Catar</v>
      </c>
      <c r="F324" s="10" t="str">
        <f ca="1">+WORLDCUP!BD61</f>
        <v>Australia</v>
      </c>
      <c r="G324" s="10" t="str">
        <f ca="1">+WORLDCUP!BD58</f>
        <v>PO D: DEN/MKD/CZE/IRL</v>
      </c>
      <c r="H324" s="10" t="str">
        <f ca="1">+WORLDCUP!BD63</f>
        <v>Japón</v>
      </c>
      <c r="I324" s="10" t="str">
        <f ca="1">+WORLDCUP!BD69</f>
        <v>Ghana</v>
      </c>
      <c r="J324" s="10" t="str">
        <f ca="1">+WORLDCUP!BD66</f>
        <v>Noruega</v>
      </c>
      <c r="N324" s="19" t="s">
        <v>941</v>
      </c>
      <c r="O324" s="19">
        <v>323</v>
      </c>
      <c r="P324" s="19" t="s">
        <v>453</v>
      </c>
      <c r="Q324" s="19" t="s">
        <v>458</v>
      </c>
      <c r="R324" s="19" t="s">
        <v>92</v>
      </c>
      <c r="S324" s="19" t="s">
        <v>94</v>
      </c>
      <c r="T324" s="19" t="s">
        <v>91</v>
      </c>
      <c r="U324" s="19" t="s">
        <v>96</v>
      </c>
      <c r="V324" s="19" t="s">
        <v>460</v>
      </c>
      <c r="W324" s="19" t="s">
        <v>457</v>
      </c>
    </row>
    <row r="325" spans="1:23">
      <c r="A325" s="10" t="s">
        <v>940</v>
      </c>
      <c r="B325" s="10">
        <f ca="1">+IF(A325=WORLDCUP!$BI$112,1,0)</f>
        <v>0</v>
      </c>
      <c r="C325" s="10" t="str">
        <f ca="1">+WORLDCUP!BD65</f>
        <v>Arabia Saudita</v>
      </c>
      <c r="D325" s="10" t="str">
        <f ca="1">+WORLDCUP!BD67</f>
        <v>Argelia</v>
      </c>
      <c r="E325" s="10" t="str">
        <f ca="1">+WORLDCUP!BD59</f>
        <v>Catar</v>
      </c>
      <c r="F325" s="10" t="str">
        <f ca="1">+WORLDCUP!BD61</f>
        <v>Australia</v>
      </c>
      <c r="G325" s="10" t="str">
        <f ca="1">+WORLDCUP!BD58</f>
        <v>PO D: DEN/MKD/CZE/IRL</v>
      </c>
      <c r="H325" s="10" t="str">
        <f ca="1">+WORLDCUP!BD63</f>
        <v>Japón</v>
      </c>
      <c r="I325" s="10" t="str">
        <f ca="1">+WORLDCUP!BD66</f>
        <v>Noruega</v>
      </c>
      <c r="J325" s="10" t="str">
        <f ca="1">+WORLDCUP!BD68</f>
        <v>PO 1: COD/JAM/NCL</v>
      </c>
      <c r="N325" s="19" t="s">
        <v>940</v>
      </c>
      <c r="O325" s="19">
        <v>324</v>
      </c>
      <c r="P325" s="19" t="s">
        <v>453</v>
      </c>
      <c r="Q325" s="19" t="s">
        <v>458</v>
      </c>
      <c r="R325" s="19" t="s">
        <v>92</v>
      </c>
      <c r="S325" s="19" t="s">
        <v>94</v>
      </c>
      <c r="T325" s="19" t="s">
        <v>91</v>
      </c>
      <c r="U325" s="19" t="s">
        <v>96</v>
      </c>
      <c r="V325" s="19" t="s">
        <v>457</v>
      </c>
      <c r="W325" s="19" t="s">
        <v>459</v>
      </c>
    </row>
    <row r="326" spans="1:23">
      <c r="A326" s="10" t="s">
        <v>939</v>
      </c>
      <c r="B326" s="10">
        <f ca="1">+IF(A326=WORLDCUP!$BI$112,1,0)</f>
        <v>0</v>
      </c>
      <c r="C326" s="10" t="str">
        <f ca="1">+WORLDCUP!BD63</f>
        <v>Japón</v>
      </c>
      <c r="D326" s="10" t="str">
        <f ca="1">+WORLDCUP!BD67</f>
        <v>Argelia</v>
      </c>
      <c r="E326" s="10" t="str">
        <f ca="1">+WORLDCUP!BD59</f>
        <v>Catar</v>
      </c>
      <c r="F326" s="10" t="str">
        <f ca="1">+WORLDCUP!BD61</f>
        <v>Australia</v>
      </c>
      <c r="G326" s="10" t="str">
        <f ca="1">+WORLDCUP!BD58</f>
        <v>PO D: DEN/MKD/CZE/IRL</v>
      </c>
      <c r="H326" s="10" t="str">
        <f ca="1">+WORLDCUP!BD64</f>
        <v>Egipto</v>
      </c>
      <c r="I326" s="10" t="str">
        <f ca="1">+WORLDCUP!BD69</f>
        <v>Ghana</v>
      </c>
      <c r="J326" s="10" t="str">
        <f ca="1">+WORLDCUP!BD68</f>
        <v>PO 1: COD/JAM/NCL</v>
      </c>
      <c r="N326" s="19" t="s">
        <v>939</v>
      </c>
      <c r="O326" s="19">
        <v>325</v>
      </c>
      <c r="P326" s="19" t="s">
        <v>96</v>
      </c>
      <c r="Q326" s="19" t="s">
        <v>458</v>
      </c>
      <c r="R326" s="19" t="s">
        <v>92</v>
      </c>
      <c r="S326" s="19" t="s">
        <v>94</v>
      </c>
      <c r="T326" s="19" t="s">
        <v>91</v>
      </c>
      <c r="U326" s="19" t="s">
        <v>452</v>
      </c>
      <c r="V326" s="19" t="s">
        <v>460</v>
      </c>
      <c r="W326" s="19" t="s">
        <v>459</v>
      </c>
    </row>
    <row r="327" spans="1:23">
      <c r="A327" s="10" t="s">
        <v>938</v>
      </c>
      <c r="B327" s="10">
        <f ca="1">+IF(A327=WORLDCUP!$BI$112,1,0)</f>
        <v>0</v>
      </c>
      <c r="C327" s="10" t="str">
        <f ca="1">+WORLDCUP!BD66</f>
        <v>Noruega</v>
      </c>
      <c r="D327" s="10" t="str">
        <f ca="1">+WORLDCUP!BD64</f>
        <v>Egipto</v>
      </c>
      <c r="E327" s="10" t="str">
        <f ca="1">+WORLDCUP!BD59</f>
        <v>Catar</v>
      </c>
      <c r="F327" s="10" t="str">
        <f ca="1">+WORLDCUP!BD61</f>
        <v>Australia</v>
      </c>
      <c r="G327" s="10" t="str">
        <f ca="1">+WORLDCUP!BD58</f>
        <v>PO D: DEN/MKD/CZE/IRL</v>
      </c>
      <c r="H327" s="10" t="str">
        <f ca="1">+WORLDCUP!BD63</f>
        <v>Japón</v>
      </c>
      <c r="I327" s="10" t="str">
        <f ca="1">+WORLDCUP!BD69</f>
        <v>Ghana</v>
      </c>
      <c r="J327" s="10" t="str">
        <f ca="1">+WORLDCUP!BD68</f>
        <v>PO 1: COD/JAM/NCL</v>
      </c>
      <c r="N327" s="19" t="s">
        <v>938</v>
      </c>
      <c r="O327" s="19">
        <v>326</v>
      </c>
      <c r="P327" s="19" t="s">
        <v>457</v>
      </c>
      <c r="Q327" s="19" t="s">
        <v>452</v>
      </c>
      <c r="R327" s="19" t="s">
        <v>92</v>
      </c>
      <c r="S327" s="19" t="s">
        <v>94</v>
      </c>
      <c r="T327" s="19" t="s">
        <v>91</v>
      </c>
      <c r="U327" s="19" t="s">
        <v>96</v>
      </c>
      <c r="V327" s="19" t="s">
        <v>460</v>
      </c>
      <c r="W327" s="19" t="s">
        <v>459</v>
      </c>
    </row>
    <row r="328" spans="1:23">
      <c r="A328" s="10" t="s">
        <v>937</v>
      </c>
      <c r="B328" s="10">
        <f ca="1">+IF(A328=WORLDCUP!$BI$112,1,0)</f>
        <v>0</v>
      </c>
      <c r="C328" s="10" t="str">
        <f ca="1">+WORLDCUP!BD63</f>
        <v>Japón</v>
      </c>
      <c r="D328" s="10" t="str">
        <f ca="1">+WORLDCUP!BD67</f>
        <v>Argelia</v>
      </c>
      <c r="E328" s="10" t="str">
        <f ca="1">+WORLDCUP!BD59</f>
        <v>Catar</v>
      </c>
      <c r="F328" s="10" t="str">
        <f ca="1">+WORLDCUP!BD61</f>
        <v>Australia</v>
      </c>
      <c r="G328" s="10" t="str">
        <f ca="1">+WORLDCUP!BD58</f>
        <v>PO D: DEN/MKD/CZE/IRL</v>
      </c>
      <c r="H328" s="10" t="str">
        <f ca="1">+WORLDCUP!BD64</f>
        <v>Egipto</v>
      </c>
      <c r="I328" s="10" t="str">
        <f ca="1">+WORLDCUP!BD69</f>
        <v>Ghana</v>
      </c>
      <c r="J328" s="10" t="str">
        <f ca="1">+WORLDCUP!BD66</f>
        <v>Noruega</v>
      </c>
      <c r="N328" s="19" t="s">
        <v>937</v>
      </c>
      <c r="O328" s="19">
        <v>327</v>
      </c>
      <c r="P328" s="19" t="s">
        <v>96</v>
      </c>
      <c r="Q328" s="19" t="s">
        <v>458</v>
      </c>
      <c r="R328" s="19" t="s">
        <v>92</v>
      </c>
      <c r="S328" s="19" t="s">
        <v>94</v>
      </c>
      <c r="T328" s="19" t="s">
        <v>91</v>
      </c>
      <c r="U328" s="19" t="s">
        <v>452</v>
      </c>
      <c r="V328" s="19" t="s">
        <v>460</v>
      </c>
      <c r="W328" s="19" t="s">
        <v>457</v>
      </c>
    </row>
    <row r="329" spans="1:23">
      <c r="A329" s="10" t="s">
        <v>936</v>
      </c>
      <c r="B329" s="10">
        <f ca="1">+IF(A329=WORLDCUP!$BI$112,1,0)</f>
        <v>0</v>
      </c>
      <c r="C329" s="10" t="str">
        <f ca="1">+WORLDCUP!BD63</f>
        <v>Japón</v>
      </c>
      <c r="D329" s="10" t="str">
        <f ca="1">+WORLDCUP!BD67</f>
        <v>Argelia</v>
      </c>
      <c r="E329" s="10" t="str">
        <f ca="1">+WORLDCUP!BD59</f>
        <v>Catar</v>
      </c>
      <c r="F329" s="10" t="str">
        <f ca="1">+WORLDCUP!BD61</f>
        <v>Australia</v>
      </c>
      <c r="G329" s="10" t="str">
        <f ca="1">+WORLDCUP!BD58</f>
        <v>PO D: DEN/MKD/CZE/IRL</v>
      </c>
      <c r="H329" s="10" t="str">
        <f ca="1">+WORLDCUP!BD64</f>
        <v>Egipto</v>
      </c>
      <c r="I329" s="10" t="str">
        <f ca="1">+WORLDCUP!BD66</f>
        <v>Noruega</v>
      </c>
      <c r="J329" s="10" t="str">
        <f ca="1">+WORLDCUP!BD68</f>
        <v>PO 1: COD/JAM/NCL</v>
      </c>
      <c r="N329" s="19" t="s">
        <v>936</v>
      </c>
      <c r="O329" s="19">
        <v>328</v>
      </c>
      <c r="P329" s="19" t="s">
        <v>96</v>
      </c>
      <c r="Q329" s="19" t="s">
        <v>458</v>
      </c>
      <c r="R329" s="19" t="s">
        <v>92</v>
      </c>
      <c r="S329" s="19" t="s">
        <v>94</v>
      </c>
      <c r="T329" s="19" t="s">
        <v>91</v>
      </c>
      <c r="U329" s="19" t="s">
        <v>452</v>
      </c>
      <c r="V329" s="19" t="s">
        <v>457</v>
      </c>
      <c r="W329" s="19" t="s">
        <v>459</v>
      </c>
    </row>
    <row r="330" spans="1:23">
      <c r="A330" s="10" t="s">
        <v>935</v>
      </c>
      <c r="B330" s="10">
        <f ca="1">+IF(A330=WORLDCUP!$BI$112,1,0)</f>
        <v>0</v>
      </c>
      <c r="C330" s="10" t="str">
        <f ca="1">+WORLDCUP!BD65</f>
        <v>Arabia Saudita</v>
      </c>
      <c r="D330" s="10" t="str">
        <f ca="1">+WORLDCUP!BD64</f>
        <v>Egipto</v>
      </c>
      <c r="E330" s="10" t="str">
        <f ca="1">+WORLDCUP!BD59</f>
        <v>Catar</v>
      </c>
      <c r="F330" s="10" t="str">
        <f ca="1">+WORLDCUP!BD61</f>
        <v>Australia</v>
      </c>
      <c r="G330" s="10" t="str">
        <f ca="1">+WORLDCUP!BD58</f>
        <v>PO D: DEN/MKD/CZE/IRL</v>
      </c>
      <c r="H330" s="10" t="str">
        <f ca="1">+WORLDCUP!BD63</f>
        <v>Japón</v>
      </c>
      <c r="I330" s="10" t="str">
        <f ca="1">+WORLDCUP!BD69</f>
        <v>Ghana</v>
      </c>
      <c r="J330" s="10" t="str">
        <f ca="1">+WORLDCUP!BD68</f>
        <v>PO 1: COD/JAM/NCL</v>
      </c>
      <c r="N330" s="19" t="s">
        <v>935</v>
      </c>
      <c r="O330" s="19">
        <v>329</v>
      </c>
      <c r="P330" s="19" t="s">
        <v>453</v>
      </c>
      <c r="Q330" s="19" t="s">
        <v>452</v>
      </c>
      <c r="R330" s="19" t="s">
        <v>92</v>
      </c>
      <c r="S330" s="19" t="s">
        <v>94</v>
      </c>
      <c r="T330" s="19" t="s">
        <v>91</v>
      </c>
      <c r="U330" s="19" t="s">
        <v>96</v>
      </c>
      <c r="V330" s="19" t="s">
        <v>460</v>
      </c>
      <c r="W330" s="19" t="s">
        <v>459</v>
      </c>
    </row>
    <row r="331" spans="1:23">
      <c r="A331" s="10" t="s">
        <v>934</v>
      </c>
      <c r="B331" s="10">
        <f ca="1">+IF(A331=WORLDCUP!$BI$112,1,0)</f>
        <v>0</v>
      </c>
      <c r="C331" s="10" t="str">
        <f ca="1">+WORLDCUP!BD65</f>
        <v>Arabia Saudita</v>
      </c>
      <c r="D331" s="10" t="str">
        <f ca="1">+WORLDCUP!BD64</f>
        <v>Egipto</v>
      </c>
      <c r="E331" s="10" t="str">
        <f ca="1">+WORLDCUP!BD59</f>
        <v>Catar</v>
      </c>
      <c r="F331" s="10" t="str">
        <f ca="1">+WORLDCUP!BD61</f>
        <v>Australia</v>
      </c>
      <c r="G331" s="10" t="str">
        <f ca="1">+WORLDCUP!BD58</f>
        <v>PO D: DEN/MKD/CZE/IRL</v>
      </c>
      <c r="H331" s="10" t="str">
        <f ca="1">+WORLDCUP!BD63</f>
        <v>Japón</v>
      </c>
      <c r="I331" s="10" t="str">
        <f ca="1">+WORLDCUP!BD69</f>
        <v>Ghana</v>
      </c>
      <c r="J331" s="10" t="str">
        <f ca="1">+WORLDCUP!BD67</f>
        <v>Argelia</v>
      </c>
      <c r="N331" s="19" t="s">
        <v>934</v>
      </c>
      <c r="O331" s="19">
        <v>330</v>
      </c>
      <c r="P331" s="19" t="s">
        <v>453</v>
      </c>
      <c r="Q331" s="19" t="s">
        <v>452</v>
      </c>
      <c r="R331" s="19" t="s">
        <v>92</v>
      </c>
      <c r="S331" s="19" t="s">
        <v>94</v>
      </c>
      <c r="T331" s="19" t="s">
        <v>91</v>
      </c>
      <c r="U331" s="19" t="s">
        <v>96</v>
      </c>
      <c r="V331" s="19" t="s">
        <v>460</v>
      </c>
      <c r="W331" s="19" t="s">
        <v>458</v>
      </c>
    </row>
    <row r="332" spans="1:23">
      <c r="A332" s="10" t="s">
        <v>933</v>
      </c>
      <c r="B332" s="10">
        <f ca="1">+IF(A332=WORLDCUP!$BI$112,1,0)</f>
        <v>0</v>
      </c>
      <c r="C332" s="10" t="str">
        <f ca="1">+WORLDCUP!BD65</f>
        <v>Arabia Saudita</v>
      </c>
      <c r="D332" s="10" t="str">
        <f ca="1">+WORLDCUP!BD64</f>
        <v>Egipto</v>
      </c>
      <c r="E332" s="10" t="str">
        <f ca="1">+WORLDCUP!BD59</f>
        <v>Catar</v>
      </c>
      <c r="F332" s="10" t="str">
        <f ca="1">+WORLDCUP!BD61</f>
        <v>Australia</v>
      </c>
      <c r="G332" s="10" t="str">
        <f ca="1">+WORLDCUP!BD58</f>
        <v>PO D: DEN/MKD/CZE/IRL</v>
      </c>
      <c r="H332" s="10" t="str">
        <f ca="1">+WORLDCUP!BD63</f>
        <v>Japón</v>
      </c>
      <c r="I332" s="10" t="str">
        <f ca="1">+WORLDCUP!BD67</f>
        <v>Argelia</v>
      </c>
      <c r="J332" s="10" t="str">
        <f ca="1">+WORLDCUP!BD68</f>
        <v>PO 1: COD/JAM/NCL</v>
      </c>
      <c r="N332" s="19" t="s">
        <v>933</v>
      </c>
      <c r="O332" s="19">
        <v>331</v>
      </c>
      <c r="P332" s="19" t="s">
        <v>453</v>
      </c>
      <c r="Q332" s="19" t="s">
        <v>452</v>
      </c>
      <c r="R332" s="19" t="s">
        <v>92</v>
      </c>
      <c r="S332" s="19" t="s">
        <v>94</v>
      </c>
      <c r="T332" s="19" t="s">
        <v>91</v>
      </c>
      <c r="U332" s="19" t="s">
        <v>96</v>
      </c>
      <c r="V332" s="19" t="s">
        <v>458</v>
      </c>
      <c r="W332" s="19" t="s">
        <v>459</v>
      </c>
    </row>
    <row r="333" spans="1:23">
      <c r="A333" s="10" t="s">
        <v>932</v>
      </c>
      <c r="B333" s="10">
        <f ca="1">+IF(A333=WORLDCUP!$BI$112,1,0)</f>
        <v>0</v>
      </c>
      <c r="C333" s="10" t="str">
        <f ca="1">+WORLDCUP!BD65</f>
        <v>Arabia Saudita</v>
      </c>
      <c r="D333" s="10" t="str">
        <f ca="1">+WORLDCUP!BD64</f>
        <v>Egipto</v>
      </c>
      <c r="E333" s="10" t="str">
        <f ca="1">+WORLDCUP!BD59</f>
        <v>Catar</v>
      </c>
      <c r="F333" s="10" t="str">
        <f ca="1">+WORLDCUP!BD61</f>
        <v>Australia</v>
      </c>
      <c r="G333" s="10" t="str">
        <f ca="1">+WORLDCUP!BD58</f>
        <v>PO D: DEN/MKD/CZE/IRL</v>
      </c>
      <c r="H333" s="10" t="str">
        <f ca="1">+WORLDCUP!BD63</f>
        <v>Japón</v>
      </c>
      <c r="I333" s="10" t="str">
        <f ca="1">+WORLDCUP!BD69</f>
        <v>Ghana</v>
      </c>
      <c r="J333" s="10" t="str">
        <f ca="1">+WORLDCUP!BD66</f>
        <v>Noruega</v>
      </c>
      <c r="N333" s="19" t="s">
        <v>932</v>
      </c>
      <c r="O333" s="19">
        <v>332</v>
      </c>
      <c r="P333" s="19" t="s">
        <v>453</v>
      </c>
      <c r="Q333" s="19" t="s">
        <v>452</v>
      </c>
      <c r="R333" s="19" t="s">
        <v>92</v>
      </c>
      <c r="S333" s="19" t="s">
        <v>94</v>
      </c>
      <c r="T333" s="19" t="s">
        <v>91</v>
      </c>
      <c r="U333" s="19" t="s">
        <v>96</v>
      </c>
      <c r="V333" s="19" t="s">
        <v>460</v>
      </c>
      <c r="W333" s="19" t="s">
        <v>457</v>
      </c>
    </row>
    <row r="334" spans="1:23">
      <c r="A334" s="10" t="s">
        <v>931</v>
      </c>
      <c r="B334" s="10">
        <f ca="1">+IF(A334=WORLDCUP!$BI$112,1,0)</f>
        <v>0</v>
      </c>
      <c r="C334" s="10" t="str">
        <f ca="1">+WORLDCUP!BD65</f>
        <v>Arabia Saudita</v>
      </c>
      <c r="D334" s="10" t="str">
        <f ca="1">+WORLDCUP!BD64</f>
        <v>Egipto</v>
      </c>
      <c r="E334" s="10" t="str">
        <f ca="1">+WORLDCUP!BD59</f>
        <v>Catar</v>
      </c>
      <c r="F334" s="10" t="str">
        <f ca="1">+WORLDCUP!BD61</f>
        <v>Australia</v>
      </c>
      <c r="G334" s="10" t="str">
        <f ca="1">+WORLDCUP!BD58</f>
        <v>PO D: DEN/MKD/CZE/IRL</v>
      </c>
      <c r="H334" s="10" t="str">
        <f ca="1">+WORLDCUP!BD63</f>
        <v>Japón</v>
      </c>
      <c r="I334" s="10" t="str">
        <f ca="1">+WORLDCUP!BD66</f>
        <v>Noruega</v>
      </c>
      <c r="J334" s="10" t="str">
        <f ca="1">+WORLDCUP!BD68</f>
        <v>PO 1: COD/JAM/NCL</v>
      </c>
      <c r="N334" s="19" t="s">
        <v>931</v>
      </c>
      <c r="O334" s="19">
        <v>333</v>
      </c>
      <c r="P334" s="19" t="s">
        <v>453</v>
      </c>
      <c r="Q334" s="19" t="s">
        <v>452</v>
      </c>
      <c r="R334" s="19" t="s">
        <v>92</v>
      </c>
      <c r="S334" s="19" t="s">
        <v>94</v>
      </c>
      <c r="T334" s="19" t="s">
        <v>91</v>
      </c>
      <c r="U334" s="19" t="s">
        <v>96</v>
      </c>
      <c r="V334" s="19" t="s">
        <v>457</v>
      </c>
      <c r="W334" s="19" t="s">
        <v>459</v>
      </c>
    </row>
    <row r="335" spans="1:23">
      <c r="A335" s="10" t="s">
        <v>930</v>
      </c>
      <c r="B335" s="10">
        <f ca="1">+IF(A335=WORLDCUP!$BI$112,1,0)</f>
        <v>0</v>
      </c>
      <c r="C335" s="10" t="str">
        <f ca="1">+WORLDCUP!BD65</f>
        <v>Arabia Saudita</v>
      </c>
      <c r="D335" s="10" t="str">
        <f ca="1">+WORLDCUP!BD64</f>
        <v>Egipto</v>
      </c>
      <c r="E335" s="10" t="str">
        <f ca="1">+WORLDCUP!BD59</f>
        <v>Catar</v>
      </c>
      <c r="F335" s="10" t="str">
        <f ca="1">+WORLDCUP!BD61</f>
        <v>Australia</v>
      </c>
      <c r="G335" s="10" t="str">
        <f ca="1">+WORLDCUP!BD58</f>
        <v>PO D: DEN/MKD/CZE/IRL</v>
      </c>
      <c r="H335" s="10" t="str">
        <f ca="1">+WORLDCUP!BD63</f>
        <v>Japón</v>
      </c>
      <c r="I335" s="10" t="str">
        <f ca="1">+WORLDCUP!BD66</f>
        <v>Noruega</v>
      </c>
      <c r="J335" s="10" t="str">
        <f ca="1">+WORLDCUP!BD67</f>
        <v>Argelia</v>
      </c>
      <c r="N335" s="19" t="s">
        <v>930</v>
      </c>
      <c r="O335" s="19">
        <v>334</v>
      </c>
      <c r="P335" s="19" t="s">
        <v>453</v>
      </c>
      <c r="Q335" s="19" t="s">
        <v>452</v>
      </c>
      <c r="R335" s="19" t="s">
        <v>92</v>
      </c>
      <c r="S335" s="19" t="s">
        <v>94</v>
      </c>
      <c r="T335" s="19" t="s">
        <v>91</v>
      </c>
      <c r="U335" s="19" t="s">
        <v>96</v>
      </c>
      <c r="V335" s="19" t="s">
        <v>457</v>
      </c>
      <c r="W335" s="19" t="s">
        <v>458</v>
      </c>
    </row>
    <row r="336" spans="1:23">
      <c r="A336" s="10" t="s">
        <v>929</v>
      </c>
      <c r="B336" s="10">
        <f ca="1">+IF(A336=WORLDCUP!$BI$112,1,0)</f>
        <v>0</v>
      </c>
      <c r="C336" s="10" t="str">
        <f ca="1">+WORLDCUP!BD62</f>
        <v>Curazao</v>
      </c>
      <c r="D336" s="10" t="str">
        <f ca="1">+WORLDCUP!BD67</f>
        <v>Argelia</v>
      </c>
      <c r="E336" s="10" t="str">
        <f ca="1">+WORLDCUP!BD59</f>
        <v>Catar</v>
      </c>
      <c r="F336" s="10" t="str">
        <f ca="1">+WORLDCUP!BD58</f>
        <v>PO D: DEN/MKD/CZE/IRL</v>
      </c>
      <c r="G336" s="10" t="str">
        <f ca="1">+WORLDCUP!BD66</f>
        <v>Noruega</v>
      </c>
      <c r="H336" s="10" t="str">
        <f ca="1">+WORLDCUP!BD61</f>
        <v>Australia</v>
      </c>
      <c r="I336" s="10" t="str">
        <f ca="1">+WORLDCUP!BD69</f>
        <v>Ghana</v>
      </c>
      <c r="J336" s="10" t="str">
        <f ca="1">+WORLDCUP!BD68</f>
        <v>PO 1: COD/JAM/NCL</v>
      </c>
      <c r="N336" s="19" t="s">
        <v>929</v>
      </c>
      <c r="O336" s="19">
        <v>335</v>
      </c>
      <c r="P336" s="19" t="s">
        <v>95</v>
      </c>
      <c r="Q336" s="19" t="s">
        <v>458</v>
      </c>
      <c r="R336" s="19" t="s">
        <v>92</v>
      </c>
      <c r="S336" s="19" t="s">
        <v>91</v>
      </c>
      <c r="T336" s="19" t="s">
        <v>457</v>
      </c>
      <c r="U336" s="19" t="s">
        <v>94</v>
      </c>
      <c r="V336" s="19" t="s">
        <v>460</v>
      </c>
      <c r="W336" s="19" t="s">
        <v>459</v>
      </c>
    </row>
    <row r="337" spans="1:23">
      <c r="A337" s="10" t="s">
        <v>928</v>
      </c>
      <c r="B337" s="10">
        <f ca="1">+IF(A337=WORLDCUP!$BI$112,1,0)</f>
        <v>0</v>
      </c>
      <c r="C337" s="10" t="str">
        <f ca="1">+WORLDCUP!BD62</f>
        <v>Curazao</v>
      </c>
      <c r="D337" s="10" t="str">
        <f ca="1">+WORLDCUP!BD67</f>
        <v>Argelia</v>
      </c>
      <c r="E337" s="10" t="str">
        <f ca="1">+WORLDCUP!BD59</f>
        <v>Catar</v>
      </c>
      <c r="F337" s="10" t="str">
        <f ca="1">+WORLDCUP!BD61</f>
        <v>Australia</v>
      </c>
      <c r="G337" s="10" t="str">
        <f ca="1">+WORLDCUP!BD58</f>
        <v>PO D: DEN/MKD/CZE/IRL</v>
      </c>
      <c r="H337" s="10" t="str">
        <f ca="1">+WORLDCUP!BD65</f>
        <v>Arabia Saudita</v>
      </c>
      <c r="I337" s="10" t="str">
        <f ca="1">+WORLDCUP!BD69</f>
        <v>Ghana</v>
      </c>
      <c r="J337" s="10" t="str">
        <f ca="1">+WORLDCUP!BD68</f>
        <v>PO 1: COD/JAM/NCL</v>
      </c>
      <c r="N337" s="19" t="s">
        <v>928</v>
      </c>
      <c r="O337" s="19">
        <v>336</v>
      </c>
      <c r="P337" s="19" t="s">
        <v>95</v>
      </c>
      <c r="Q337" s="19" t="s">
        <v>458</v>
      </c>
      <c r="R337" s="19" t="s">
        <v>92</v>
      </c>
      <c r="S337" s="19" t="s">
        <v>94</v>
      </c>
      <c r="T337" s="19" t="s">
        <v>91</v>
      </c>
      <c r="U337" s="19" t="s">
        <v>453</v>
      </c>
      <c r="V337" s="19" t="s">
        <v>460</v>
      </c>
      <c r="W337" s="19" t="s">
        <v>459</v>
      </c>
    </row>
    <row r="338" spans="1:23">
      <c r="A338" s="10" t="s">
        <v>927</v>
      </c>
      <c r="B338" s="10">
        <f ca="1">+IF(A338=WORLDCUP!$BI$112,1,0)</f>
        <v>0</v>
      </c>
      <c r="C338" s="10" t="str">
        <f ca="1">+WORLDCUP!BD62</f>
        <v>Curazao</v>
      </c>
      <c r="D338" s="10" t="str">
        <f ca="1">+WORLDCUP!BD66</f>
        <v>Noruega</v>
      </c>
      <c r="E338" s="10" t="str">
        <f ca="1">+WORLDCUP!BD59</f>
        <v>Catar</v>
      </c>
      <c r="F338" s="10" t="str">
        <f ca="1">+WORLDCUP!BD61</f>
        <v>Australia</v>
      </c>
      <c r="G338" s="10" t="str">
        <f ca="1">+WORLDCUP!BD58</f>
        <v>PO D: DEN/MKD/CZE/IRL</v>
      </c>
      <c r="H338" s="10" t="str">
        <f ca="1">+WORLDCUP!BD65</f>
        <v>Arabia Saudita</v>
      </c>
      <c r="I338" s="10" t="str">
        <f ca="1">+WORLDCUP!BD69</f>
        <v>Ghana</v>
      </c>
      <c r="J338" s="10" t="str">
        <f ca="1">+WORLDCUP!BD68</f>
        <v>PO 1: COD/JAM/NCL</v>
      </c>
      <c r="N338" s="19" t="s">
        <v>927</v>
      </c>
      <c r="O338" s="19">
        <v>337</v>
      </c>
      <c r="P338" s="19" t="s">
        <v>95</v>
      </c>
      <c r="Q338" s="19" t="s">
        <v>457</v>
      </c>
      <c r="R338" s="19" t="s">
        <v>92</v>
      </c>
      <c r="S338" s="19" t="s">
        <v>94</v>
      </c>
      <c r="T338" s="19" t="s">
        <v>91</v>
      </c>
      <c r="U338" s="19" t="s">
        <v>453</v>
      </c>
      <c r="V338" s="19" t="s">
        <v>460</v>
      </c>
      <c r="W338" s="19" t="s">
        <v>459</v>
      </c>
    </row>
    <row r="339" spans="1:23">
      <c r="A339" s="10" t="s">
        <v>926</v>
      </c>
      <c r="B339" s="10">
        <f ca="1">+IF(A339=WORLDCUP!$BI$112,1,0)</f>
        <v>0</v>
      </c>
      <c r="C339" s="10" t="str">
        <f ca="1">+WORLDCUP!BD62</f>
        <v>Curazao</v>
      </c>
      <c r="D339" s="10" t="str">
        <f ca="1">+WORLDCUP!BD67</f>
        <v>Argelia</v>
      </c>
      <c r="E339" s="10" t="str">
        <f ca="1">+WORLDCUP!BD59</f>
        <v>Catar</v>
      </c>
      <c r="F339" s="10" t="str">
        <f ca="1">+WORLDCUP!BD61</f>
        <v>Australia</v>
      </c>
      <c r="G339" s="10" t="str">
        <f ca="1">+WORLDCUP!BD58</f>
        <v>PO D: DEN/MKD/CZE/IRL</v>
      </c>
      <c r="H339" s="10" t="str">
        <f ca="1">+WORLDCUP!BD65</f>
        <v>Arabia Saudita</v>
      </c>
      <c r="I339" s="10" t="str">
        <f ca="1">+WORLDCUP!BD69</f>
        <v>Ghana</v>
      </c>
      <c r="J339" s="10" t="str">
        <f ca="1">+WORLDCUP!BD66</f>
        <v>Noruega</v>
      </c>
      <c r="N339" s="19" t="s">
        <v>926</v>
      </c>
      <c r="O339" s="19">
        <v>338</v>
      </c>
      <c r="P339" s="19" t="s">
        <v>95</v>
      </c>
      <c r="Q339" s="19" t="s">
        <v>458</v>
      </c>
      <c r="R339" s="19" t="s">
        <v>92</v>
      </c>
      <c r="S339" s="19" t="s">
        <v>94</v>
      </c>
      <c r="T339" s="19" t="s">
        <v>91</v>
      </c>
      <c r="U339" s="19" t="s">
        <v>453</v>
      </c>
      <c r="V339" s="19" t="s">
        <v>460</v>
      </c>
      <c r="W339" s="19" t="s">
        <v>457</v>
      </c>
    </row>
    <row r="340" spans="1:23">
      <c r="A340" s="10" t="s">
        <v>925</v>
      </c>
      <c r="B340" s="10">
        <f ca="1">+IF(A340=WORLDCUP!$BI$112,1,0)</f>
        <v>0</v>
      </c>
      <c r="C340" s="10" t="str">
        <f ca="1">+WORLDCUP!BD62</f>
        <v>Curazao</v>
      </c>
      <c r="D340" s="10" t="str">
        <f ca="1">+WORLDCUP!BD67</f>
        <v>Argelia</v>
      </c>
      <c r="E340" s="10" t="str">
        <f ca="1">+WORLDCUP!BD59</f>
        <v>Catar</v>
      </c>
      <c r="F340" s="10" t="str">
        <f ca="1">+WORLDCUP!BD61</f>
        <v>Australia</v>
      </c>
      <c r="G340" s="10" t="str">
        <f ca="1">+WORLDCUP!BD58</f>
        <v>PO D: DEN/MKD/CZE/IRL</v>
      </c>
      <c r="H340" s="10" t="str">
        <f ca="1">+WORLDCUP!BD65</f>
        <v>Arabia Saudita</v>
      </c>
      <c r="I340" s="10" t="str">
        <f ca="1">+WORLDCUP!BD66</f>
        <v>Noruega</v>
      </c>
      <c r="J340" s="10" t="str">
        <f ca="1">+WORLDCUP!BD68</f>
        <v>PO 1: COD/JAM/NCL</v>
      </c>
      <c r="N340" s="19" t="s">
        <v>925</v>
      </c>
      <c r="O340" s="19">
        <v>339</v>
      </c>
      <c r="P340" s="19" t="s">
        <v>95</v>
      </c>
      <c r="Q340" s="19" t="s">
        <v>458</v>
      </c>
      <c r="R340" s="19" t="s">
        <v>92</v>
      </c>
      <c r="S340" s="19" t="s">
        <v>94</v>
      </c>
      <c r="T340" s="19" t="s">
        <v>91</v>
      </c>
      <c r="U340" s="19" t="s">
        <v>453</v>
      </c>
      <c r="V340" s="19" t="s">
        <v>457</v>
      </c>
      <c r="W340" s="19" t="s">
        <v>459</v>
      </c>
    </row>
    <row r="341" spans="1:23">
      <c r="A341" s="10" t="s">
        <v>924</v>
      </c>
      <c r="B341" s="10">
        <f ca="1">+IF(A341=WORLDCUP!$BI$112,1,0)</f>
        <v>0</v>
      </c>
      <c r="C341" s="10" t="str">
        <f ca="1">+WORLDCUP!BD62</f>
        <v>Curazao</v>
      </c>
      <c r="D341" s="10" t="str">
        <f ca="1">+WORLDCUP!BD67</f>
        <v>Argelia</v>
      </c>
      <c r="E341" s="10" t="str">
        <f ca="1">+WORLDCUP!BD59</f>
        <v>Catar</v>
      </c>
      <c r="F341" s="10" t="str">
        <f ca="1">+WORLDCUP!BD61</f>
        <v>Australia</v>
      </c>
      <c r="G341" s="10" t="str">
        <f ca="1">+WORLDCUP!BD58</f>
        <v>PO D: DEN/MKD/CZE/IRL</v>
      </c>
      <c r="H341" s="10" t="str">
        <f ca="1">+WORLDCUP!BD64</f>
        <v>Egipto</v>
      </c>
      <c r="I341" s="10" t="str">
        <f ca="1">+WORLDCUP!BD69</f>
        <v>Ghana</v>
      </c>
      <c r="J341" s="10" t="str">
        <f ca="1">+WORLDCUP!BD68</f>
        <v>PO 1: COD/JAM/NCL</v>
      </c>
      <c r="N341" s="19" t="s">
        <v>924</v>
      </c>
      <c r="O341" s="19">
        <v>340</v>
      </c>
      <c r="P341" s="19" t="s">
        <v>95</v>
      </c>
      <c r="Q341" s="19" t="s">
        <v>458</v>
      </c>
      <c r="R341" s="19" t="s">
        <v>92</v>
      </c>
      <c r="S341" s="19" t="s">
        <v>94</v>
      </c>
      <c r="T341" s="19" t="s">
        <v>91</v>
      </c>
      <c r="U341" s="19" t="s">
        <v>452</v>
      </c>
      <c r="V341" s="19" t="s">
        <v>460</v>
      </c>
      <c r="W341" s="19" t="s">
        <v>459</v>
      </c>
    </row>
    <row r="342" spans="1:23">
      <c r="A342" s="10" t="s">
        <v>923</v>
      </c>
      <c r="B342" s="10">
        <f ca="1">+IF(A342=WORLDCUP!$BI$112,1,0)</f>
        <v>0</v>
      </c>
      <c r="C342" s="10" t="str">
        <f ca="1">+WORLDCUP!BD62</f>
        <v>Curazao</v>
      </c>
      <c r="D342" s="10" t="str">
        <f ca="1">+WORLDCUP!BD64</f>
        <v>Egipto</v>
      </c>
      <c r="E342" s="10" t="str">
        <f ca="1">+WORLDCUP!BD59</f>
        <v>Catar</v>
      </c>
      <c r="F342" s="10" t="str">
        <f ca="1">+WORLDCUP!BD58</f>
        <v>PO D: DEN/MKD/CZE/IRL</v>
      </c>
      <c r="G342" s="10" t="str">
        <f ca="1">+WORLDCUP!BD66</f>
        <v>Noruega</v>
      </c>
      <c r="H342" s="10" t="str">
        <f ca="1">+WORLDCUP!BD61</f>
        <v>Australia</v>
      </c>
      <c r="I342" s="10" t="str">
        <f ca="1">+WORLDCUP!BD69</f>
        <v>Ghana</v>
      </c>
      <c r="J342" s="10" t="str">
        <f ca="1">+WORLDCUP!BD68</f>
        <v>PO 1: COD/JAM/NCL</v>
      </c>
      <c r="N342" s="19" t="s">
        <v>923</v>
      </c>
      <c r="O342" s="19">
        <v>341</v>
      </c>
      <c r="P342" s="19" t="s">
        <v>95</v>
      </c>
      <c r="Q342" s="19" t="s">
        <v>452</v>
      </c>
      <c r="R342" s="19" t="s">
        <v>92</v>
      </c>
      <c r="S342" s="19" t="s">
        <v>91</v>
      </c>
      <c r="T342" s="19" t="s">
        <v>457</v>
      </c>
      <c r="U342" s="19" t="s">
        <v>94</v>
      </c>
      <c r="V342" s="19" t="s">
        <v>460</v>
      </c>
      <c r="W342" s="19" t="s">
        <v>459</v>
      </c>
    </row>
    <row r="343" spans="1:23">
      <c r="A343" s="10" t="s">
        <v>922</v>
      </c>
      <c r="B343" s="10">
        <f ca="1">+IF(A343=WORLDCUP!$BI$112,1,0)</f>
        <v>0</v>
      </c>
      <c r="C343" s="10" t="str">
        <f ca="1">+WORLDCUP!BD62</f>
        <v>Curazao</v>
      </c>
      <c r="D343" s="10" t="str">
        <f ca="1">+WORLDCUP!BD67</f>
        <v>Argelia</v>
      </c>
      <c r="E343" s="10" t="str">
        <f ca="1">+WORLDCUP!BD59</f>
        <v>Catar</v>
      </c>
      <c r="F343" s="10" t="str">
        <f ca="1">+WORLDCUP!BD61</f>
        <v>Australia</v>
      </c>
      <c r="G343" s="10" t="str">
        <f ca="1">+WORLDCUP!BD58</f>
        <v>PO D: DEN/MKD/CZE/IRL</v>
      </c>
      <c r="H343" s="10" t="str">
        <f ca="1">+WORLDCUP!BD64</f>
        <v>Egipto</v>
      </c>
      <c r="I343" s="10" t="str">
        <f ca="1">+WORLDCUP!BD69</f>
        <v>Ghana</v>
      </c>
      <c r="J343" s="10" t="str">
        <f ca="1">+WORLDCUP!BD66</f>
        <v>Noruega</v>
      </c>
      <c r="N343" s="19" t="s">
        <v>922</v>
      </c>
      <c r="O343" s="19">
        <v>342</v>
      </c>
      <c r="P343" s="19" t="s">
        <v>95</v>
      </c>
      <c r="Q343" s="19" t="s">
        <v>458</v>
      </c>
      <c r="R343" s="19" t="s">
        <v>92</v>
      </c>
      <c r="S343" s="19" t="s">
        <v>94</v>
      </c>
      <c r="T343" s="19" t="s">
        <v>91</v>
      </c>
      <c r="U343" s="19" t="s">
        <v>452</v>
      </c>
      <c r="V343" s="19" t="s">
        <v>460</v>
      </c>
      <c r="W343" s="19" t="s">
        <v>457</v>
      </c>
    </row>
    <row r="344" spans="1:23">
      <c r="A344" s="10" t="s">
        <v>921</v>
      </c>
      <c r="B344" s="10">
        <f ca="1">+IF(A344=WORLDCUP!$BI$112,1,0)</f>
        <v>0</v>
      </c>
      <c r="C344" s="10" t="str">
        <f ca="1">+WORLDCUP!BD62</f>
        <v>Curazao</v>
      </c>
      <c r="D344" s="10" t="str">
        <f ca="1">+WORLDCUP!BD67</f>
        <v>Argelia</v>
      </c>
      <c r="E344" s="10" t="str">
        <f ca="1">+WORLDCUP!BD59</f>
        <v>Catar</v>
      </c>
      <c r="F344" s="10" t="str">
        <f ca="1">+WORLDCUP!BD61</f>
        <v>Australia</v>
      </c>
      <c r="G344" s="10" t="str">
        <f ca="1">+WORLDCUP!BD58</f>
        <v>PO D: DEN/MKD/CZE/IRL</v>
      </c>
      <c r="H344" s="10" t="str">
        <f ca="1">+WORLDCUP!BD64</f>
        <v>Egipto</v>
      </c>
      <c r="I344" s="10" t="str">
        <f ca="1">+WORLDCUP!BD66</f>
        <v>Noruega</v>
      </c>
      <c r="J344" s="10" t="str">
        <f ca="1">+WORLDCUP!BD68</f>
        <v>PO 1: COD/JAM/NCL</v>
      </c>
      <c r="N344" s="19" t="s">
        <v>921</v>
      </c>
      <c r="O344" s="19">
        <v>343</v>
      </c>
      <c r="P344" s="19" t="s">
        <v>95</v>
      </c>
      <c r="Q344" s="19" t="s">
        <v>458</v>
      </c>
      <c r="R344" s="19" t="s">
        <v>92</v>
      </c>
      <c r="S344" s="19" t="s">
        <v>94</v>
      </c>
      <c r="T344" s="19" t="s">
        <v>91</v>
      </c>
      <c r="U344" s="19" t="s">
        <v>452</v>
      </c>
      <c r="V344" s="19" t="s">
        <v>457</v>
      </c>
      <c r="W344" s="19" t="s">
        <v>459</v>
      </c>
    </row>
    <row r="345" spans="1:23">
      <c r="A345" s="10" t="s">
        <v>920</v>
      </c>
      <c r="B345" s="10">
        <f ca="1">+IF(A345=WORLDCUP!$BI$112,1,0)</f>
        <v>0</v>
      </c>
      <c r="C345" s="10" t="str">
        <f ca="1">+WORLDCUP!BD62</f>
        <v>Curazao</v>
      </c>
      <c r="D345" s="10" t="str">
        <f ca="1">+WORLDCUP!BD64</f>
        <v>Egipto</v>
      </c>
      <c r="E345" s="10" t="str">
        <f ca="1">+WORLDCUP!BD59</f>
        <v>Catar</v>
      </c>
      <c r="F345" s="10" t="str">
        <f ca="1">+WORLDCUP!BD61</f>
        <v>Australia</v>
      </c>
      <c r="G345" s="10" t="str">
        <f ca="1">+WORLDCUP!BD58</f>
        <v>PO D: DEN/MKD/CZE/IRL</v>
      </c>
      <c r="H345" s="10" t="str">
        <f ca="1">+WORLDCUP!BD65</f>
        <v>Arabia Saudita</v>
      </c>
      <c r="I345" s="10" t="str">
        <f ca="1">+WORLDCUP!BD69</f>
        <v>Ghana</v>
      </c>
      <c r="J345" s="10" t="str">
        <f ca="1">+WORLDCUP!BD68</f>
        <v>PO 1: COD/JAM/NCL</v>
      </c>
      <c r="N345" s="19" t="s">
        <v>920</v>
      </c>
      <c r="O345" s="19">
        <v>344</v>
      </c>
      <c r="P345" s="19" t="s">
        <v>95</v>
      </c>
      <c r="Q345" s="19" t="s">
        <v>452</v>
      </c>
      <c r="R345" s="19" t="s">
        <v>92</v>
      </c>
      <c r="S345" s="19" t="s">
        <v>94</v>
      </c>
      <c r="T345" s="19" t="s">
        <v>91</v>
      </c>
      <c r="U345" s="19" t="s">
        <v>453</v>
      </c>
      <c r="V345" s="19" t="s">
        <v>460</v>
      </c>
      <c r="W345" s="19" t="s">
        <v>459</v>
      </c>
    </row>
    <row r="346" spans="1:23">
      <c r="A346" s="10" t="s">
        <v>919</v>
      </c>
      <c r="B346" s="10">
        <f ca="1">+IF(A346=WORLDCUP!$BI$112,1,0)</f>
        <v>0</v>
      </c>
      <c r="C346" s="10" t="str">
        <f ca="1">+WORLDCUP!BD65</f>
        <v>Arabia Saudita</v>
      </c>
      <c r="D346" s="10" t="str">
        <f ca="1">+WORLDCUP!BD67</f>
        <v>Argelia</v>
      </c>
      <c r="E346" s="10" t="str">
        <f ca="1">+WORLDCUP!BD59</f>
        <v>Catar</v>
      </c>
      <c r="F346" s="10" t="str">
        <f ca="1">+WORLDCUP!BD61</f>
        <v>Australia</v>
      </c>
      <c r="G346" s="10" t="str">
        <f ca="1">+WORLDCUP!BD58</f>
        <v>PO D: DEN/MKD/CZE/IRL</v>
      </c>
      <c r="H346" s="10" t="str">
        <f ca="1">+WORLDCUP!BD64</f>
        <v>Egipto</v>
      </c>
      <c r="I346" s="10" t="str">
        <f ca="1">+WORLDCUP!BD69</f>
        <v>Ghana</v>
      </c>
      <c r="J346" s="10" t="str">
        <f ca="1">+WORLDCUP!BD62</f>
        <v>Curazao</v>
      </c>
      <c r="N346" s="19" t="s">
        <v>919</v>
      </c>
      <c r="O346" s="19">
        <v>345</v>
      </c>
      <c r="P346" s="19" t="s">
        <v>453</v>
      </c>
      <c r="Q346" s="19" t="s">
        <v>458</v>
      </c>
      <c r="R346" s="19" t="s">
        <v>92</v>
      </c>
      <c r="S346" s="19" t="s">
        <v>94</v>
      </c>
      <c r="T346" s="19" t="s">
        <v>91</v>
      </c>
      <c r="U346" s="19" t="s">
        <v>452</v>
      </c>
      <c r="V346" s="19" t="s">
        <v>460</v>
      </c>
      <c r="W346" s="19" t="s">
        <v>95</v>
      </c>
    </row>
    <row r="347" spans="1:23">
      <c r="A347" s="10" t="s">
        <v>918</v>
      </c>
      <c r="B347" s="10">
        <f ca="1">+IF(A347=WORLDCUP!$BI$112,1,0)</f>
        <v>0</v>
      </c>
      <c r="C347" s="10" t="str">
        <f ca="1">+WORLDCUP!BD65</f>
        <v>Arabia Saudita</v>
      </c>
      <c r="D347" s="10" t="str">
        <f ca="1">+WORLDCUP!BD67</f>
        <v>Argelia</v>
      </c>
      <c r="E347" s="10" t="str">
        <f ca="1">+WORLDCUP!BD59</f>
        <v>Catar</v>
      </c>
      <c r="F347" s="10" t="str">
        <f ca="1">+WORLDCUP!BD61</f>
        <v>Australia</v>
      </c>
      <c r="G347" s="10" t="str">
        <f ca="1">+WORLDCUP!BD58</f>
        <v>PO D: DEN/MKD/CZE/IRL</v>
      </c>
      <c r="H347" s="10" t="str">
        <f ca="1">+WORLDCUP!BD64</f>
        <v>Egipto</v>
      </c>
      <c r="I347" s="10" t="str">
        <f ca="1">+WORLDCUP!BD62</f>
        <v>Curazao</v>
      </c>
      <c r="J347" s="10" t="str">
        <f ca="1">+WORLDCUP!BD68</f>
        <v>PO 1: COD/JAM/NCL</v>
      </c>
      <c r="N347" s="19" t="s">
        <v>918</v>
      </c>
      <c r="O347" s="19">
        <v>346</v>
      </c>
      <c r="P347" s="19" t="s">
        <v>453</v>
      </c>
      <c r="Q347" s="19" t="s">
        <v>458</v>
      </c>
      <c r="R347" s="19" t="s">
        <v>92</v>
      </c>
      <c r="S347" s="19" t="s">
        <v>94</v>
      </c>
      <c r="T347" s="19" t="s">
        <v>91</v>
      </c>
      <c r="U347" s="19" t="s">
        <v>452</v>
      </c>
      <c r="V347" s="19" t="s">
        <v>95</v>
      </c>
      <c r="W347" s="19" t="s">
        <v>459</v>
      </c>
    </row>
    <row r="348" spans="1:23">
      <c r="A348" s="10" t="s">
        <v>917</v>
      </c>
      <c r="B348" s="10">
        <f ca="1">+IF(A348=WORLDCUP!$BI$112,1,0)</f>
        <v>0</v>
      </c>
      <c r="C348" s="10" t="str">
        <f ca="1">+WORLDCUP!BD62</f>
        <v>Curazao</v>
      </c>
      <c r="D348" s="10" t="str">
        <f ca="1">+WORLDCUP!BD64</f>
        <v>Egipto</v>
      </c>
      <c r="E348" s="10" t="str">
        <f ca="1">+WORLDCUP!BD59</f>
        <v>Catar</v>
      </c>
      <c r="F348" s="10" t="str">
        <f ca="1">+WORLDCUP!BD61</f>
        <v>Australia</v>
      </c>
      <c r="G348" s="10" t="str">
        <f ca="1">+WORLDCUP!BD58</f>
        <v>PO D: DEN/MKD/CZE/IRL</v>
      </c>
      <c r="H348" s="10" t="str">
        <f ca="1">+WORLDCUP!BD65</f>
        <v>Arabia Saudita</v>
      </c>
      <c r="I348" s="10" t="str">
        <f ca="1">+WORLDCUP!BD69</f>
        <v>Ghana</v>
      </c>
      <c r="J348" s="10" t="str">
        <f ca="1">+WORLDCUP!BD66</f>
        <v>Noruega</v>
      </c>
      <c r="N348" s="19" t="s">
        <v>917</v>
      </c>
      <c r="O348" s="19">
        <v>347</v>
      </c>
      <c r="P348" s="19" t="s">
        <v>95</v>
      </c>
      <c r="Q348" s="19" t="s">
        <v>452</v>
      </c>
      <c r="R348" s="19" t="s">
        <v>92</v>
      </c>
      <c r="S348" s="19" t="s">
        <v>94</v>
      </c>
      <c r="T348" s="19" t="s">
        <v>91</v>
      </c>
      <c r="U348" s="19" t="s">
        <v>453</v>
      </c>
      <c r="V348" s="19" t="s">
        <v>460</v>
      </c>
      <c r="W348" s="19" t="s">
        <v>457</v>
      </c>
    </row>
    <row r="349" spans="1:23">
      <c r="A349" s="10" t="s">
        <v>916</v>
      </c>
      <c r="B349" s="10">
        <f ca="1">+IF(A349=WORLDCUP!$BI$112,1,0)</f>
        <v>0</v>
      </c>
      <c r="C349" s="10" t="str">
        <f ca="1">+WORLDCUP!BD62</f>
        <v>Curazao</v>
      </c>
      <c r="D349" s="10" t="str">
        <f ca="1">+WORLDCUP!BD64</f>
        <v>Egipto</v>
      </c>
      <c r="E349" s="10" t="str">
        <f ca="1">+WORLDCUP!BD59</f>
        <v>Catar</v>
      </c>
      <c r="F349" s="10" t="str">
        <f ca="1">+WORLDCUP!BD61</f>
        <v>Australia</v>
      </c>
      <c r="G349" s="10" t="str">
        <f ca="1">+WORLDCUP!BD58</f>
        <v>PO D: DEN/MKD/CZE/IRL</v>
      </c>
      <c r="H349" s="10" t="str">
        <f ca="1">+WORLDCUP!BD65</f>
        <v>Arabia Saudita</v>
      </c>
      <c r="I349" s="10" t="str">
        <f ca="1">+WORLDCUP!BD66</f>
        <v>Noruega</v>
      </c>
      <c r="J349" s="10" t="str">
        <f ca="1">+WORLDCUP!BD68</f>
        <v>PO 1: COD/JAM/NCL</v>
      </c>
      <c r="N349" s="19" t="s">
        <v>916</v>
      </c>
      <c r="O349" s="19">
        <v>348</v>
      </c>
      <c r="P349" s="19" t="s">
        <v>95</v>
      </c>
      <c r="Q349" s="19" t="s">
        <v>452</v>
      </c>
      <c r="R349" s="19" t="s">
        <v>92</v>
      </c>
      <c r="S349" s="19" t="s">
        <v>94</v>
      </c>
      <c r="T349" s="19" t="s">
        <v>91</v>
      </c>
      <c r="U349" s="19" t="s">
        <v>453</v>
      </c>
      <c r="V349" s="19" t="s">
        <v>457</v>
      </c>
      <c r="W349" s="19" t="s">
        <v>459</v>
      </c>
    </row>
    <row r="350" spans="1:23">
      <c r="A350" s="10" t="s">
        <v>915</v>
      </c>
      <c r="B350" s="10">
        <f ca="1">+IF(A350=WORLDCUP!$BI$112,1,0)</f>
        <v>0</v>
      </c>
      <c r="C350" s="10" t="str">
        <f ca="1">+WORLDCUP!BD65</f>
        <v>Arabia Saudita</v>
      </c>
      <c r="D350" s="10" t="str">
        <f ca="1">+WORLDCUP!BD67</f>
        <v>Argelia</v>
      </c>
      <c r="E350" s="10" t="str">
        <f ca="1">+WORLDCUP!BD59</f>
        <v>Catar</v>
      </c>
      <c r="F350" s="10" t="str">
        <f ca="1">+WORLDCUP!BD61</f>
        <v>Australia</v>
      </c>
      <c r="G350" s="10" t="str">
        <f ca="1">+WORLDCUP!BD58</f>
        <v>PO D: DEN/MKD/CZE/IRL</v>
      </c>
      <c r="H350" s="10" t="str">
        <f ca="1">+WORLDCUP!BD64</f>
        <v>Egipto</v>
      </c>
      <c r="I350" s="10" t="str">
        <f ca="1">+WORLDCUP!BD62</f>
        <v>Curazao</v>
      </c>
      <c r="J350" s="10" t="str">
        <f ca="1">+WORLDCUP!BD66</f>
        <v>Noruega</v>
      </c>
      <c r="N350" s="19" t="s">
        <v>915</v>
      </c>
      <c r="O350" s="19">
        <v>349</v>
      </c>
      <c r="P350" s="19" t="s">
        <v>453</v>
      </c>
      <c r="Q350" s="19" t="s">
        <v>458</v>
      </c>
      <c r="R350" s="19" t="s">
        <v>92</v>
      </c>
      <c r="S350" s="19" t="s">
        <v>94</v>
      </c>
      <c r="T350" s="19" t="s">
        <v>91</v>
      </c>
      <c r="U350" s="19" t="s">
        <v>452</v>
      </c>
      <c r="V350" s="19" t="s">
        <v>95</v>
      </c>
      <c r="W350" s="19" t="s">
        <v>457</v>
      </c>
    </row>
    <row r="351" spans="1:23">
      <c r="A351" s="10" t="s">
        <v>914</v>
      </c>
      <c r="B351" s="10">
        <f ca="1">+IF(A351=WORLDCUP!$BI$112,1,0)</f>
        <v>0</v>
      </c>
      <c r="C351" s="10" t="str">
        <f ca="1">+WORLDCUP!BD62</f>
        <v>Curazao</v>
      </c>
      <c r="D351" s="10" t="str">
        <f ca="1">+WORLDCUP!BD67</f>
        <v>Argelia</v>
      </c>
      <c r="E351" s="10" t="str">
        <f ca="1">+WORLDCUP!BD59</f>
        <v>Catar</v>
      </c>
      <c r="F351" s="10" t="str">
        <f ca="1">+WORLDCUP!BD61</f>
        <v>Australia</v>
      </c>
      <c r="G351" s="10" t="str">
        <f ca="1">+WORLDCUP!BD58</f>
        <v>PO D: DEN/MKD/CZE/IRL</v>
      </c>
      <c r="H351" s="10" t="str">
        <f ca="1">+WORLDCUP!BD63</f>
        <v>Japón</v>
      </c>
      <c r="I351" s="10" t="str">
        <f ca="1">+WORLDCUP!BD69</f>
        <v>Ghana</v>
      </c>
      <c r="J351" s="10" t="str">
        <f ca="1">+WORLDCUP!BD68</f>
        <v>PO 1: COD/JAM/NCL</v>
      </c>
      <c r="N351" s="19" t="s">
        <v>914</v>
      </c>
      <c r="O351" s="19">
        <v>350</v>
      </c>
      <c r="P351" s="19" t="s">
        <v>95</v>
      </c>
      <c r="Q351" s="19" t="s">
        <v>458</v>
      </c>
      <c r="R351" s="19" t="s">
        <v>92</v>
      </c>
      <c r="S351" s="19" t="s">
        <v>94</v>
      </c>
      <c r="T351" s="19" t="s">
        <v>91</v>
      </c>
      <c r="U351" s="19" t="s">
        <v>96</v>
      </c>
      <c r="V351" s="19" t="s">
        <v>460</v>
      </c>
      <c r="W351" s="19" t="s">
        <v>459</v>
      </c>
    </row>
    <row r="352" spans="1:23">
      <c r="A352" s="10" t="s">
        <v>913</v>
      </c>
      <c r="B352" s="10">
        <f ca="1">+IF(A352=WORLDCUP!$BI$112,1,0)</f>
        <v>0</v>
      </c>
      <c r="C352" s="10" t="str">
        <f ca="1">+WORLDCUP!BD62</f>
        <v>Curazao</v>
      </c>
      <c r="D352" s="10" t="str">
        <f ca="1">+WORLDCUP!BD66</f>
        <v>Noruega</v>
      </c>
      <c r="E352" s="10" t="str">
        <f ca="1">+WORLDCUP!BD59</f>
        <v>Catar</v>
      </c>
      <c r="F352" s="10" t="str">
        <f ca="1">+WORLDCUP!BD61</f>
        <v>Australia</v>
      </c>
      <c r="G352" s="10" t="str">
        <f ca="1">+WORLDCUP!BD58</f>
        <v>PO D: DEN/MKD/CZE/IRL</v>
      </c>
      <c r="H352" s="10" t="str">
        <f ca="1">+WORLDCUP!BD63</f>
        <v>Japón</v>
      </c>
      <c r="I352" s="10" t="str">
        <f ca="1">+WORLDCUP!BD69</f>
        <v>Ghana</v>
      </c>
      <c r="J352" s="10" t="str">
        <f ca="1">+WORLDCUP!BD68</f>
        <v>PO 1: COD/JAM/NCL</v>
      </c>
      <c r="N352" s="19" t="s">
        <v>913</v>
      </c>
      <c r="O352" s="19">
        <v>351</v>
      </c>
      <c r="P352" s="19" t="s">
        <v>95</v>
      </c>
      <c r="Q352" s="19" t="s">
        <v>457</v>
      </c>
      <c r="R352" s="19" t="s">
        <v>92</v>
      </c>
      <c r="S352" s="19" t="s">
        <v>94</v>
      </c>
      <c r="T352" s="19" t="s">
        <v>91</v>
      </c>
      <c r="U352" s="19" t="s">
        <v>96</v>
      </c>
      <c r="V352" s="19" t="s">
        <v>460</v>
      </c>
      <c r="W352" s="19" t="s">
        <v>459</v>
      </c>
    </row>
    <row r="353" spans="1:23">
      <c r="A353" s="10" t="s">
        <v>912</v>
      </c>
      <c r="B353" s="10">
        <f ca="1">+IF(A353=WORLDCUP!$BI$112,1,0)</f>
        <v>0</v>
      </c>
      <c r="C353" s="10" t="str">
        <f ca="1">+WORLDCUP!BD62</f>
        <v>Curazao</v>
      </c>
      <c r="D353" s="10" t="str">
        <f ca="1">+WORLDCUP!BD67</f>
        <v>Argelia</v>
      </c>
      <c r="E353" s="10" t="str">
        <f ca="1">+WORLDCUP!BD59</f>
        <v>Catar</v>
      </c>
      <c r="F353" s="10" t="str">
        <f ca="1">+WORLDCUP!BD61</f>
        <v>Australia</v>
      </c>
      <c r="G353" s="10" t="str">
        <f ca="1">+WORLDCUP!BD58</f>
        <v>PO D: DEN/MKD/CZE/IRL</v>
      </c>
      <c r="H353" s="10" t="str">
        <f ca="1">+WORLDCUP!BD63</f>
        <v>Japón</v>
      </c>
      <c r="I353" s="10" t="str">
        <f ca="1">+WORLDCUP!BD69</f>
        <v>Ghana</v>
      </c>
      <c r="J353" s="10" t="str">
        <f ca="1">+WORLDCUP!BD66</f>
        <v>Noruega</v>
      </c>
      <c r="N353" s="19" t="s">
        <v>912</v>
      </c>
      <c r="O353" s="19">
        <v>352</v>
      </c>
      <c r="P353" s="19" t="s">
        <v>95</v>
      </c>
      <c r="Q353" s="19" t="s">
        <v>458</v>
      </c>
      <c r="R353" s="19" t="s">
        <v>92</v>
      </c>
      <c r="S353" s="19" t="s">
        <v>94</v>
      </c>
      <c r="T353" s="19" t="s">
        <v>91</v>
      </c>
      <c r="U353" s="19" t="s">
        <v>96</v>
      </c>
      <c r="V353" s="19" t="s">
        <v>460</v>
      </c>
      <c r="W353" s="19" t="s">
        <v>457</v>
      </c>
    </row>
    <row r="354" spans="1:23">
      <c r="A354" s="10" t="s">
        <v>911</v>
      </c>
      <c r="B354" s="10">
        <f ca="1">+IF(A354=WORLDCUP!$BI$112,1,0)</f>
        <v>0</v>
      </c>
      <c r="C354" s="10" t="str">
        <f ca="1">+WORLDCUP!BD62</f>
        <v>Curazao</v>
      </c>
      <c r="D354" s="10" t="str">
        <f ca="1">+WORLDCUP!BD67</f>
        <v>Argelia</v>
      </c>
      <c r="E354" s="10" t="str">
        <f ca="1">+WORLDCUP!BD59</f>
        <v>Catar</v>
      </c>
      <c r="F354" s="10" t="str">
        <f ca="1">+WORLDCUP!BD61</f>
        <v>Australia</v>
      </c>
      <c r="G354" s="10" t="str">
        <f ca="1">+WORLDCUP!BD58</f>
        <v>PO D: DEN/MKD/CZE/IRL</v>
      </c>
      <c r="H354" s="10" t="str">
        <f ca="1">+WORLDCUP!BD63</f>
        <v>Japón</v>
      </c>
      <c r="I354" s="10" t="str">
        <f ca="1">+WORLDCUP!BD66</f>
        <v>Noruega</v>
      </c>
      <c r="J354" s="10" t="str">
        <f ca="1">+WORLDCUP!BD68</f>
        <v>PO 1: COD/JAM/NCL</v>
      </c>
      <c r="N354" s="19" t="s">
        <v>911</v>
      </c>
      <c r="O354" s="19">
        <v>353</v>
      </c>
      <c r="P354" s="19" t="s">
        <v>95</v>
      </c>
      <c r="Q354" s="19" t="s">
        <v>458</v>
      </c>
      <c r="R354" s="19" t="s">
        <v>92</v>
      </c>
      <c r="S354" s="19" t="s">
        <v>94</v>
      </c>
      <c r="T354" s="19" t="s">
        <v>91</v>
      </c>
      <c r="U354" s="19" t="s">
        <v>96</v>
      </c>
      <c r="V354" s="19" t="s">
        <v>457</v>
      </c>
      <c r="W354" s="19" t="s">
        <v>459</v>
      </c>
    </row>
    <row r="355" spans="1:23">
      <c r="A355" s="10" t="s">
        <v>910</v>
      </c>
      <c r="B355" s="10">
        <f ca="1">+IF(A355=WORLDCUP!$BI$112,1,0)</f>
        <v>0</v>
      </c>
      <c r="C355" s="10" t="str">
        <f ca="1">+WORLDCUP!BD65</f>
        <v>Arabia Saudita</v>
      </c>
      <c r="D355" s="10" t="str">
        <f ca="1">+WORLDCUP!BD62</f>
        <v>Curazao</v>
      </c>
      <c r="E355" s="10" t="str">
        <f ca="1">+WORLDCUP!BD59</f>
        <v>Catar</v>
      </c>
      <c r="F355" s="10" t="str">
        <f ca="1">+WORLDCUP!BD61</f>
        <v>Australia</v>
      </c>
      <c r="G355" s="10" t="str">
        <f ca="1">+WORLDCUP!BD58</f>
        <v>PO D: DEN/MKD/CZE/IRL</v>
      </c>
      <c r="H355" s="10" t="str">
        <f ca="1">+WORLDCUP!BD63</f>
        <v>Japón</v>
      </c>
      <c r="I355" s="10" t="str">
        <f ca="1">+WORLDCUP!BD69</f>
        <v>Ghana</v>
      </c>
      <c r="J355" s="10" t="str">
        <f ca="1">+WORLDCUP!BD68</f>
        <v>PO 1: COD/JAM/NCL</v>
      </c>
      <c r="N355" s="19" t="s">
        <v>910</v>
      </c>
      <c r="O355" s="19">
        <v>354</v>
      </c>
      <c r="P355" s="19" t="s">
        <v>453</v>
      </c>
      <c r="Q355" s="19" t="s">
        <v>95</v>
      </c>
      <c r="R355" s="19" t="s">
        <v>92</v>
      </c>
      <c r="S355" s="19" t="s">
        <v>94</v>
      </c>
      <c r="T355" s="19" t="s">
        <v>91</v>
      </c>
      <c r="U355" s="19" t="s">
        <v>96</v>
      </c>
      <c r="V355" s="19" t="s">
        <v>460</v>
      </c>
      <c r="W355" s="19" t="s">
        <v>459</v>
      </c>
    </row>
    <row r="356" spans="1:23">
      <c r="A356" s="10" t="s">
        <v>909</v>
      </c>
      <c r="B356" s="10">
        <f ca="1">+IF(A356=WORLDCUP!$BI$112,1,0)</f>
        <v>0</v>
      </c>
      <c r="C356" s="10" t="str">
        <f ca="1">+WORLDCUP!BD65</f>
        <v>Arabia Saudita</v>
      </c>
      <c r="D356" s="10" t="str">
        <f ca="1">+WORLDCUP!BD67</f>
        <v>Argelia</v>
      </c>
      <c r="E356" s="10" t="str">
        <f ca="1">+WORLDCUP!BD59</f>
        <v>Catar</v>
      </c>
      <c r="F356" s="10" t="str">
        <f ca="1">+WORLDCUP!BD61</f>
        <v>Australia</v>
      </c>
      <c r="G356" s="10" t="str">
        <f ca="1">+WORLDCUP!BD58</f>
        <v>PO D: DEN/MKD/CZE/IRL</v>
      </c>
      <c r="H356" s="10" t="str">
        <f ca="1">+WORLDCUP!BD63</f>
        <v>Japón</v>
      </c>
      <c r="I356" s="10" t="str">
        <f ca="1">+WORLDCUP!BD69</f>
        <v>Ghana</v>
      </c>
      <c r="J356" s="10" t="str">
        <f ca="1">+WORLDCUP!BD62</f>
        <v>Curazao</v>
      </c>
      <c r="N356" s="19" t="s">
        <v>909</v>
      </c>
      <c r="O356" s="19">
        <v>355</v>
      </c>
      <c r="P356" s="19" t="s">
        <v>453</v>
      </c>
      <c r="Q356" s="19" t="s">
        <v>458</v>
      </c>
      <c r="R356" s="19" t="s">
        <v>92</v>
      </c>
      <c r="S356" s="19" t="s">
        <v>94</v>
      </c>
      <c r="T356" s="19" t="s">
        <v>91</v>
      </c>
      <c r="U356" s="19" t="s">
        <v>96</v>
      </c>
      <c r="V356" s="19" t="s">
        <v>460</v>
      </c>
      <c r="W356" s="19" t="s">
        <v>95</v>
      </c>
    </row>
    <row r="357" spans="1:23">
      <c r="A357" s="10" t="s">
        <v>908</v>
      </c>
      <c r="B357" s="10">
        <f ca="1">+IF(A357=WORLDCUP!$BI$112,1,0)</f>
        <v>0</v>
      </c>
      <c r="C357" s="10" t="str">
        <f ca="1">+WORLDCUP!BD65</f>
        <v>Arabia Saudita</v>
      </c>
      <c r="D357" s="10" t="str">
        <f ca="1">+WORLDCUP!BD67</f>
        <v>Argelia</v>
      </c>
      <c r="E357" s="10" t="str">
        <f ca="1">+WORLDCUP!BD59</f>
        <v>Catar</v>
      </c>
      <c r="F357" s="10" t="str">
        <f ca="1">+WORLDCUP!BD61</f>
        <v>Australia</v>
      </c>
      <c r="G357" s="10" t="str">
        <f ca="1">+WORLDCUP!BD58</f>
        <v>PO D: DEN/MKD/CZE/IRL</v>
      </c>
      <c r="H357" s="10" t="str">
        <f ca="1">+WORLDCUP!BD63</f>
        <v>Japón</v>
      </c>
      <c r="I357" s="10" t="str">
        <f ca="1">+WORLDCUP!BD62</f>
        <v>Curazao</v>
      </c>
      <c r="J357" s="10" t="str">
        <f ca="1">+WORLDCUP!BD68</f>
        <v>PO 1: COD/JAM/NCL</v>
      </c>
      <c r="N357" s="19" t="s">
        <v>908</v>
      </c>
      <c r="O357" s="19">
        <v>356</v>
      </c>
      <c r="P357" s="19" t="s">
        <v>453</v>
      </c>
      <c r="Q357" s="19" t="s">
        <v>458</v>
      </c>
      <c r="R357" s="19" t="s">
        <v>92</v>
      </c>
      <c r="S357" s="19" t="s">
        <v>94</v>
      </c>
      <c r="T357" s="19" t="s">
        <v>91</v>
      </c>
      <c r="U357" s="19" t="s">
        <v>96</v>
      </c>
      <c r="V357" s="19" t="s">
        <v>95</v>
      </c>
      <c r="W357" s="19" t="s">
        <v>459</v>
      </c>
    </row>
    <row r="358" spans="1:23">
      <c r="A358" s="10" t="s">
        <v>907</v>
      </c>
      <c r="B358" s="10">
        <f ca="1">+IF(A358=WORLDCUP!$BI$112,1,0)</f>
        <v>0</v>
      </c>
      <c r="C358" s="10" t="str">
        <f ca="1">+WORLDCUP!BD65</f>
        <v>Arabia Saudita</v>
      </c>
      <c r="D358" s="10" t="str">
        <f ca="1">+WORLDCUP!BD62</f>
        <v>Curazao</v>
      </c>
      <c r="E358" s="10" t="str">
        <f ca="1">+WORLDCUP!BD59</f>
        <v>Catar</v>
      </c>
      <c r="F358" s="10" t="str">
        <f ca="1">+WORLDCUP!BD61</f>
        <v>Australia</v>
      </c>
      <c r="G358" s="10" t="str">
        <f ca="1">+WORLDCUP!BD58</f>
        <v>PO D: DEN/MKD/CZE/IRL</v>
      </c>
      <c r="H358" s="10" t="str">
        <f ca="1">+WORLDCUP!BD63</f>
        <v>Japón</v>
      </c>
      <c r="I358" s="10" t="str">
        <f ca="1">+WORLDCUP!BD69</f>
        <v>Ghana</v>
      </c>
      <c r="J358" s="10" t="str">
        <f ca="1">+WORLDCUP!BD66</f>
        <v>Noruega</v>
      </c>
      <c r="N358" s="19" t="s">
        <v>907</v>
      </c>
      <c r="O358" s="19">
        <v>357</v>
      </c>
      <c r="P358" s="19" t="s">
        <v>453</v>
      </c>
      <c r="Q358" s="19" t="s">
        <v>95</v>
      </c>
      <c r="R358" s="19" t="s">
        <v>92</v>
      </c>
      <c r="S358" s="19" t="s">
        <v>94</v>
      </c>
      <c r="T358" s="19" t="s">
        <v>91</v>
      </c>
      <c r="U358" s="19" t="s">
        <v>96</v>
      </c>
      <c r="V358" s="19" t="s">
        <v>460</v>
      </c>
      <c r="W358" s="19" t="s">
        <v>457</v>
      </c>
    </row>
    <row r="359" spans="1:23">
      <c r="A359" s="10" t="s">
        <v>906</v>
      </c>
      <c r="B359" s="10">
        <f ca="1">+IF(A359=WORLDCUP!$BI$112,1,0)</f>
        <v>0</v>
      </c>
      <c r="C359" s="10" t="str">
        <f ca="1">+WORLDCUP!BD65</f>
        <v>Arabia Saudita</v>
      </c>
      <c r="D359" s="10" t="str">
        <f ca="1">+WORLDCUP!BD62</f>
        <v>Curazao</v>
      </c>
      <c r="E359" s="10" t="str">
        <f ca="1">+WORLDCUP!BD59</f>
        <v>Catar</v>
      </c>
      <c r="F359" s="10" t="str">
        <f ca="1">+WORLDCUP!BD61</f>
        <v>Australia</v>
      </c>
      <c r="G359" s="10" t="str">
        <f ca="1">+WORLDCUP!BD58</f>
        <v>PO D: DEN/MKD/CZE/IRL</v>
      </c>
      <c r="H359" s="10" t="str">
        <f ca="1">+WORLDCUP!BD63</f>
        <v>Japón</v>
      </c>
      <c r="I359" s="10" t="str">
        <f ca="1">+WORLDCUP!BD66</f>
        <v>Noruega</v>
      </c>
      <c r="J359" s="10" t="str">
        <f ca="1">+WORLDCUP!BD68</f>
        <v>PO 1: COD/JAM/NCL</v>
      </c>
      <c r="N359" s="19" t="s">
        <v>906</v>
      </c>
      <c r="O359" s="19">
        <v>358</v>
      </c>
      <c r="P359" s="19" t="s">
        <v>453</v>
      </c>
      <c r="Q359" s="19" t="s">
        <v>95</v>
      </c>
      <c r="R359" s="19" t="s">
        <v>92</v>
      </c>
      <c r="S359" s="19" t="s">
        <v>94</v>
      </c>
      <c r="T359" s="19" t="s">
        <v>91</v>
      </c>
      <c r="U359" s="19" t="s">
        <v>96</v>
      </c>
      <c r="V359" s="19" t="s">
        <v>457</v>
      </c>
      <c r="W359" s="19" t="s">
        <v>459</v>
      </c>
    </row>
    <row r="360" spans="1:23">
      <c r="A360" s="10" t="s">
        <v>905</v>
      </c>
      <c r="B360" s="10">
        <f ca="1">+IF(A360=WORLDCUP!$BI$112,1,0)</f>
        <v>0</v>
      </c>
      <c r="C360" s="10" t="str">
        <f ca="1">+WORLDCUP!BD65</f>
        <v>Arabia Saudita</v>
      </c>
      <c r="D360" s="10" t="str">
        <f ca="1">+WORLDCUP!BD67</f>
        <v>Argelia</v>
      </c>
      <c r="E360" s="10" t="str">
        <f ca="1">+WORLDCUP!BD59</f>
        <v>Catar</v>
      </c>
      <c r="F360" s="10" t="str">
        <f ca="1">+WORLDCUP!BD61</f>
        <v>Australia</v>
      </c>
      <c r="G360" s="10" t="str">
        <f ca="1">+WORLDCUP!BD58</f>
        <v>PO D: DEN/MKD/CZE/IRL</v>
      </c>
      <c r="H360" s="10" t="str">
        <f ca="1">+WORLDCUP!BD63</f>
        <v>Japón</v>
      </c>
      <c r="I360" s="10" t="str">
        <f ca="1">+WORLDCUP!BD62</f>
        <v>Curazao</v>
      </c>
      <c r="J360" s="10" t="str">
        <f ca="1">+WORLDCUP!BD66</f>
        <v>Noruega</v>
      </c>
      <c r="N360" s="19" t="s">
        <v>905</v>
      </c>
      <c r="O360" s="19">
        <v>359</v>
      </c>
      <c r="P360" s="19" t="s">
        <v>453</v>
      </c>
      <c r="Q360" s="19" t="s">
        <v>458</v>
      </c>
      <c r="R360" s="19" t="s">
        <v>92</v>
      </c>
      <c r="S360" s="19" t="s">
        <v>94</v>
      </c>
      <c r="T360" s="19" t="s">
        <v>91</v>
      </c>
      <c r="U360" s="19" t="s">
        <v>96</v>
      </c>
      <c r="V360" s="19" t="s">
        <v>95</v>
      </c>
      <c r="W360" s="19" t="s">
        <v>457</v>
      </c>
    </row>
    <row r="361" spans="1:23">
      <c r="A361" s="10" t="s">
        <v>904</v>
      </c>
      <c r="B361" s="10">
        <f ca="1">+IF(A361=WORLDCUP!$BI$112,1,0)</f>
        <v>0</v>
      </c>
      <c r="C361" s="10" t="str">
        <f ca="1">+WORLDCUP!BD62</f>
        <v>Curazao</v>
      </c>
      <c r="D361" s="10" t="str">
        <f ca="1">+WORLDCUP!BD64</f>
        <v>Egipto</v>
      </c>
      <c r="E361" s="10" t="str">
        <f ca="1">+WORLDCUP!BD59</f>
        <v>Catar</v>
      </c>
      <c r="F361" s="10" t="str">
        <f ca="1">+WORLDCUP!BD61</f>
        <v>Australia</v>
      </c>
      <c r="G361" s="10" t="str">
        <f ca="1">+WORLDCUP!BD58</f>
        <v>PO D: DEN/MKD/CZE/IRL</v>
      </c>
      <c r="H361" s="10" t="str">
        <f ca="1">+WORLDCUP!BD63</f>
        <v>Japón</v>
      </c>
      <c r="I361" s="10" t="str">
        <f ca="1">+WORLDCUP!BD69</f>
        <v>Ghana</v>
      </c>
      <c r="J361" s="10" t="str">
        <f ca="1">+WORLDCUP!BD68</f>
        <v>PO 1: COD/JAM/NCL</v>
      </c>
      <c r="N361" s="19" t="s">
        <v>904</v>
      </c>
      <c r="O361" s="19">
        <v>360</v>
      </c>
      <c r="P361" s="19" t="s">
        <v>95</v>
      </c>
      <c r="Q361" s="19" t="s">
        <v>452</v>
      </c>
      <c r="R361" s="19" t="s">
        <v>92</v>
      </c>
      <c r="S361" s="19" t="s">
        <v>94</v>
      </c>
      <c r="T361" s="19" t="s">
        <v>91</v>
      </c>
      <c r="U361" s="19" t="s">
        <v>96</v>
      </c>
      <c r="V361" s="19" t="s">
        <v>460</v>
      </c>
      <c r="W361" s="19" t="s">
        <v>459</v>
      </c>
    </row>
    <row r="362" spans="1:23">
      <c r="A362" s="10" t="s">
        <v>903</v>
      </c>
      <c r="B362" s="10">
        <f ca="1">+IF(A362=WORLDCUP!$BI$112,1,0)</f>
        <v>0</v>
      </c>
      <c r="C362" s="10" t="str">
        <f ca="1">+WORLDCUP!BD62</f>
        <v>Curazao</v>
      </c>
      <c r="D362" s="10" t="str">
        <f ca="1">+WORLDCUP!BD64</f>
        <v>Egipto</v>
      </c>
      <c r="E362" s="10" t="str">
        <f ca="1">+WORLDCUP!BD59</f>
        <v>Catar</v>
      </c>
      <c r="F362" s="10" t="str">
        <f ca="1">+WORLDCUP!BD61</f>
        <v>Australia</v>
      </c>
      <c r="G362" s="10" t="str">
        <f ca="1">+WORLDCUP!BD58</f>
        <v>PO D: DEN/MKD/CZE/IRL</v>
      </c>
      <c r="H362" s="10" t="str">
        <f ca="1">+WORLDCUP!BD63</f>
        <v>Japón</v>
      </c>
      <c r="I362" s="10" t="str">
        <f ca="1">+WORLDCUP!BD69</f>
        <v>Ghana</v>
      </c>
      <c r="J362" s="10" t="str">
        <f ca="1">+WORLDCUP!BD67</f>
        <v>Argelia</v>
      </c>
      <c r="N362" s="19" t="s">
        <v>903</v>
      </c>
      <c r="O362" s="19">
        <v>361</v>
      </c>
      <c r="P362" s="19" t="s">
        <v>95</v>
      </c>
      <c r="Q362" s="19" t="s">
        <v>452</v>
      </c>
      <c r="R362" s="19" t="s">
        <v>92</v>
      </c>
      <c r="S362" s="19" t="s">
        <v>94</v>
      </c>
      <c r="T362" s="19" t="s">
        <v>91</v>
      </c>
      <c r="U362" s="19" t="s">
        <v>96</v>
      </c>
      <c r="V362" s="19" t="s">
        <v>460</v>
      </c>
      <c r="W362" s="19" t="s">
        <v>458</v>
      </c>
    </row>
    <row r="363" spans="1:23">
      <c r="A363" s="10" t="s">
        <v>902</v>
      </c>
      <c r="B363" s="10">
        <f ca="1">+IF(A363=WORLDCUP!$BI$112,1,0)</f>
        <v>0</v>
      </c>
      <c r="C363" s="10" t="str">
        <f ca="1">+WORLDCUP!BD62</f>
        <v>Curazao</v>
      </c>
      <c r="D363" s="10" t="str">
        <f ca="1">+WORLDCUP!BD64</f>
        <v>Egipto</v>
      </c>
      <c r="E363" s="10" t="str">
        <f ca="1">+WORLDCUP!BD59</f>
        <v>Catar</v>
      </c>
      <c r="F363" s="10" t="str">
        <f ca="1">+WORLDCUP!BD61</f>
        <v>Australia</v>
      </c>
      <c r="G363" s="10" t="str">
        <f ca="1">+WORLDCUP!BD58</f>
        <v>PO D: DEN/MKD/CZE/IRL</v>
      </c>
      <c r="H363" s="10" t="str">
        <f ca="1">+WORLDCUP!BD63</f>
        <v>Japón</v>
      </c>
      <c r="I363" s="10" t="str">
        <f ca="1">+WORLDCUP!BD67</f>
        <v>Argelia</v>
      </c>
      <c r="J363" s="10" t="str">
        <f ca="1">+WORLDCUP!BD68</f>
        <v>PO 1: COD/JAM/NCL</v>
      </c>
      <c r="N363" s="19" t="s">
        <v>902</v>
      </c>
      <c r="O363" s="19">
        <v>362</v>
      </c>
      <c r="P363" s="19" t="s">
        <v>95</v>
      </c>
      <c r="Q363" s="19" t="s">
        <v>452</v>
      </c>
      <c r="R363" s="19" t="s">
        <v>92</v>
      </c>
      <c r="S363" s="19" t="s">
        <v>94</v>
      </c>
      <c r="T363" s="19" t="s">
        <v>91</v>
      </c>
      <c r="U363" s="19" t="s">
        <v>96</v>
      </c>
      <c r="V363" s="19" t="s">
        <v>458</v>
      </c>
      <c r="W363" s="19" t="s">
        <v>459</v>
      </c>
    </row>
    <row r="364" spans="1:23">
      <c r="A364" s="10" t="s">
        <v>901</v>
      </c>
      <c r="B364" s="10">
        <f ca="1">+IF(A364=WORLDCUP!$BI$112,1,0)</f>
        <v>0</v>
      </c>
      <c r="C364" s="10" t="str">
        <f ca="1">+WORLDCUP!BD62</f>
        <v>Curazao</v>
      </c>
      <c r="D364" s="10" t="str">
        <f ca="1">+WORLDCUP!BD64</f>
        <v>Egipto</v>
      </c>
      <c r="E364" s="10" t="str">
        <f ca="1">+WORLDCUP!BD59</f>
        <v>Catar</v>
      </c>
      <c r="F364" s="10" t="str">
        <f ca="1">+WORLDCUP!BD61</f>
        <v>Australia</v>
      </c>
      <c r="G364" s="10" t="str">
        <f ca="1">+WORLDCUP!BD58</f>
        <v>PO D: DEN/MKD/CZE/IRL</v>
      </c>
      <c r="H364" s="10" t="str">
        <f ca="1">+WORLDCUP!BD63</f>
        <v>Japón</v>
      </c>
      <c r="I364" s="10" t="str">
        <f ca="1">+WORLDCUP!BD69</f>
        <v>Ghana</v>
      </c>
      <c r="J364" s="10" t="str">
        <f ca="1">+WORLDCUP!BD66</f>
        <v>Noruega</v>
      </c>
      <c r="N364" s="19" t="s">
        <v>901</v>
      </c>
      <c r="O364" s="19">
        <v>363</v>
      </c>
      <c r="P364" s="19" t="s">
        <v>95</v>
      </c>
      <c r="Q364" s="19" t="s">
        <v>452</v>
      </c>
      <c r="R364" s="19" t="s">
        <v>92</v>
      </c>
      <c r="S364" s="19" t="s">
        <v>94</v>
      </c>
      <c r="T364" s="19" t="s">
        <v>91</v>
      </c>
      <c r="U364" s="19" t="s">
        <v>96</v>
      </c>
      <c r="V364" s="19" t="s">
        <v>460</v>
      </c>
      <c r="W364" s="19" t="s">
        <v>457</v>
      </c>
    </row>
    <row r="365" spans="1:23">
      <c r="A365" s="10" t="s">
        <v>900</v>
      </c>
      <c r="B365" s="10">
        <f ca="1">+IF(A365=WORLDCUP!$BI$112,1,0)</f>
        <v>0</v>
      </c>
      <c r="C365" s="10" t="str">
        <f ca="1">+WORLDCUP!BD62</f>
        <v>Curazao</v>
      </c>
      <c r="D365" s="10" t="str">
        <f ca="1">+WORLDCUP!BD64</f>
        <v>Egipto</v>
      </c>
      <c r="E365" s="10" t="str">
        <f ca="1">+WORLDCUP!BD59</f>
        <v>Catar</v>
      </c>
      <c r="F365" s="10" t="str">
        <f ca="1">+WORLDCUP!BD61</f>
        <v>Australia</v>
      </c>
      <c r="G365" s="10" t="str">
        <f ca="1">+WORLDCUP!BD58</f>
        <v>PO D: DEN/MKD/CZE/IRL</v>
      </c>
      <c r="H365" s="10" t="str">
        <f ca="1">+WORLDCUP!BD63</f>
        <v>Japón</v>
      </c>
      <c r="I365" s="10" t="str">
        <f ca="1">+WORLDCUP!BD66</f>
        <v>Noruega</v>
      </c>
      <c r="J365" s="10" t="str">
        <f ca="1">+WORLDCUP!BD68</f>
        <v>PO 1: COD/JAM/NCL</v>
      </c>
      <c r="N365" s="19" t="s">
        <v>900</v>
      </c>
      <c r="O365" s="19">
        <v>364</v>
      </c>
      <c r="P365" s="19" t="s">
        <v>95</v>
      </c>
      <c r="Q365" s="19" t="s">
        <v>452</v>
      </c>
      <c r="R365" s="19" t="s">
        <v>92</v>
      </c>
      <c r="S365" s="19" t="s">
        <v>94</v>
      </c>
      <c r="T365" s="19" t="s">
        <v>91</v>
      </c>
      <c r="U365" s="19" t="s">
        <v>96</v>
      </c>
      <c r="V365" s="19" t="s">
        <v>457</v>
      </c>
      <c r="W365" s="19" t="s">
        <v>459</v>
      </c>
    </row>
    <row r="366" spans="1:23">
      <c r="A366" s="10" t="s">
        <v>899</v>
      </c>
      <c r="B366" s="10">
        <f ca="1">+IF(A366=WORLDCUP!$BI$112,1,0)</f>
        <v>0</v>
      </c>
      <c r="C366" s="10" t="str">
        <f ca="1">+WORLDCUP!BD62</f>
        <v>Curazao</v>
      </c>
      <c r="D366" s="10" t="str">
        <f ca="1">+WORLDCUP!BD64</f>
        <v>Egipto</v>
      </c>
      <c r="E366" s="10" t="str">
        <f ca="1">+WORLDCUP!BD59</f>
        <v>Catar</v>
      </c>
      <c r="F366" s="10" t="str">
        <f ca="1">+WORLDCUP!BD61</f>
        <v>Australia</v>
      </c>
      <c r="G366" s="10" t="str">
        <f ca="1">+WORLDCUP!BD58</f>
        <v>PO D: DEN/MKD/CZE/IRL</v>
      </c>
      <c r="H366" s="10" t="str">
        <f ca="1">+WORLDCUP!BD63</f>
        <v>Japón</v>
      </c>
      <c r="I366" s="10" t="str">
        <f ca="1">+WORLDCUP!BD66</f>
        <v>Noruega</v>
      </c>
      <c r="J366" s="10" t="str">
        <f ca="1">+WORLDCUP!BD67</f>
        <v>Argelia</v>
      </c>
      <c r="N366" s="19" t="s">
        <v>899</v>
      </c>
      <c r="O366" s="19">
        <v>365</v>
      </c>
      <c r="P366" s="19" t="s">
        <v>95</v>
      </c>
      <c r="Q366" s="19" t="s">
        <v>452</v>
      </c>
      <c r="R366" s="19" t="s">
        <v>92</v>
      </c>
      <c r="S366" s="19" t="s">
        <v>94</v>
      </c>
      <c r="T366" s="19" t="s">
        <v>91</v>
      </c>
      <c r="U366" s="19" t="s">
        <v>96</v>
      </c>
      <c r="V366" s="19" t="s">
        <v>457</v>
      </c>
      <c r="W366" s="19" t="s">
        <v>458</v>
      </c>
    </row>
    <row r="367" spans="1:23">
      <c r="A367" s="10" t="s">
        <v>898</v>
      </c>
      <c r="B367" s="10">
        <f ca="1">+IF(A367=WORLDCUP!$BI$112,1,0)</f>
        <v>0</v>
      </c>
      <c r="C367" s="10" t="str">
        <f ca="1">+WORLDCUP!BD65</f>
        <v>Arabia Saudita</v>
      </c>
      <c r="D367" s="10" t="str">
        <f ca="1">+WORLDCUP!BD64</f>
        <v>Egipto</v>
      </c>
      <c r="E367" s="10" t="str">
        <f ca="1">+WORLDCUP!BD59</f>
        <v>Catar</v>
      </c>
      <c r="F367" s="10" t="str">
        <f ca="1">+WORLDCUP!BD61</f>
        <v>Australia</v>
      </c>
      <c r="G367" s="10" t="str">
        <f ca="1">+WORLDCUP!BD58</f>
        <v>PO D: DEN/MKD/CZE/IRL</v>
      </c>
      <c r="H367" s="10" t="str">
        <f ca="1">+WORLDCUP!BD63</f>
        <v>Japón</v>
      </c>
      <c r="I367" s="10" t="str">
        <f ca="1">+WORLDCUP!BD69</f>
        <v>Ghana</v>
      </c>
      <c r="J367" s="10" t="str">
        <f ca="1">+WORLDCUP!BD62</f>
        <v>Curazao</v>
      </c>
      <c r="N367" s="19" t="s">
        <v>898</v>
      </c>
      <c r="O367" s="19">
        <v>366</v>
      </c>
      <c r="P367" s="19" t="s">
        <v>453</v>
      </c>
      <c r="Q367" s="19" t="s">
        <v>452</v>
      </c>
      <c r="R367" s="19" t="s">
        <v>92</v>
      </c>
      <c r="S367" s="19" t="s">
        <v>94</v>
      </c>
      <c r="T367" s="19" t="s">
        <v>91</v>
      </c>
      <c r="U367" s="19" t="s">
        <v>96</v>
      </c>
      <c r="V367" s="19" t="s">
        <v>460</v>
      </c>
      <c r="W367" s="19" t="s">
        <v>95</v>
      </c>
    </row>
    <row r="368" spans="1:23">
      <c r="A368" s="10" t="s">
        <v>897</v>
      </c>
      <c r="B368" s="10">
        <f ca="1">+IF(A368=WORLDCUP!$BI$112,1,0)</f>
        <v>0</v>
      </c>
      <c r="C368" s="10" t="str">
        <f ca="1">+WORLDCUP!BD65</f>
        <v>Arabia Saudita</v>
      </c>
      <c r="D368" s="10" t="str">
        <f ca="1">+WORLDCUP!BD64</f>
        <v>Egipto</v>
      </c>
      <c r="E368" s="10" t="str">
        <f ca="1">+WORLDCUP!BD59</f>
        <v>Catar</v>
      </c>
      <c r="F368" s="10" t="str">
        <f ca="1">+WORLDCUP!BD61</f>
        <v>Australia</v>
      </c>
      <c r="G368" s="10" t="str">
        <f ca="1">+WORLDCUP!BD58</f>
        <v>PO D: DEN/MKD/CZE/IRL</v>
      </c>
      <c r="H368" s="10" t="str">
        <f ca="1">+WORLDCUP!BD63</f>
        <v>Japón</v>
      </c>
      <c r="I368" s="10" t="str">
        <f ca="1">+WORLDCUP!BD62</f>
        <v>Curazao</v>
      </c>
      <c r="J368" s="10" t="str">
        <f ca="1">+WORLDCUP!BD68</f>
        <v>PO 1: COD/JAM/NCL</v>
      </c>
      <c r="N368" s="19" t="s">
        <v>897</v>
      </c>
      <c r="O368" s="19">
        <v>367</v>
      </c>
      <c r="P368" s="19" t="s">
        <v>453</v>
      </c>
      <c r="Q368" s="19" t="s">
        <v>452</v>
      </c>
      <c r="R368" s="19" t="s">
        <v>92</v>
      </c>
      <c r="S368" s="19" t="s">
        <v>94</v>
      </c>
      <c r="T368" s="19" t="s">
        <v>91</v>
      </c>
      <c r="U368" s="19" t="s">
        <v>96</v>
      </c>
      <c r="V368" s="19" t="s">
        <v>95</v>
      </c>
      <c r="W368" s="19" t="s">
        <v>459</v>
      </c>
    </row>
    <row r="369" spans="1:23">
      <c r="A369" s="10" t="s">
        <v>896</v>
      </c>
      <c r="B369" s="10">
        <f ca="1">+IF(A369=WORLDCUP!$BI$112,1,0)</f>
        <v>0</v>
      </c>
      <c r="C369" s="10" t="str">
        <f ca="1">+WORLDCUP!BD65</f>
        <v>Arabia Saudita</v>
      </c>
      <c r="D369" s="10" t="str">
        <f ca="1">+WORLDCUP!BD64</f>
        <v>Egipto</v>
      </c>
      <c r="E369" s="10" t="str">
        <f ca="1">+WORLDCUP!BD59</f>
        <v>Catar</v>
      </c>
      <c r="F369" s="10" t="str">
        <f ca="1">+WORLDCUP!BD61</f>
        <v>Australia</v>
      </c>
      <c r="G369" s="10" t="str">
        <f ca="1">+WORLDCUP!BD58</f>
        <v>PO D: DEN/MKD/CZE/IRL</v>
      </c>
      <c r="H369" s="10" t="str">
        <f ca="1">+WORLDCUP!BD63</f>
        <v>Japón</v>
      </c>
      <c r="I369" s="10" t="str">
        <f ca="1">+WORLDCUP!BD62</f>
        <v>Curazao</v>
      </c>
      <c r="J369" s="10" t="str">
        <f ca="1">+WORLDCUP!BD67</f>
        <v>Argelia</v>
      </c>
      <c r="N369" s="19" t="s">
        <v>896</v>
      </c>
      <c r="O369" s="19">
        <v>368</v>
      </c>
      <c r="P369" s="19" t="s">
        <v>453</v>
      </c>
      <c r="Q369" s="19" t="s">
        <v>452</v>
      </c>
      <c r="R369" s="19" t="s">
        <v>92</v>
      </c>
      <c r="S369" s="19" t="s">
        <v>94</v>
      </c>
      <c r="T369" s="19" t="s">
        <v>91</v>
      </c>
      <c r="U369" s="19" t="s">
        <v>96</v>
      </c>
      <c r="V369" s="19" t="s">
        <v>95</v>
      </c>
      <c r="W369" s="19" t="s">
        <v>458</v>
      </c>
    </row>
    <row r="370" spans="1:23">
      <c r="A370" s="10" t="s">
        <v>895</v>
      </c>
      <c r="B370" s="10">
        <f ca="1">+IF(A370=WORLDCUP!$BI$112,1,0)</f>
        <v>0</v>
      </c>
      <c r="C370" s="10" t="str">
        <f ca="1">+WORLDCUP!BD65</f>
        <v>Arabia Saudita</v>
      </c>
      <c r="D370" s="10" t="str">
        <f ca="1">+WORLDCUP!BD64</f>
        <v>Egipto</v>
      </c>
      <c r="E370" s="10" t="str">
        <f ca="1">+WORLDCUP!BD59</f>
        <v>Catar</v>
      </c>
      <c r="F370" s="10" t="str">
        <f ca="1">+WORLDCUP!BD61</f>
        <v>Australia</v>
      </c>
      <c r="G370" s="10" t="str">
        <f ca="1">+WORLDCUP!BD58</f>
        <v>PO D: DEN/MKD/CZE/IRL</v>
      </c>
      <c r="H370" s="10" t="str">
        <f ca="1">+WORLDCUP!BD63</f>
        <v>Japón</v>
      </c>
      <c r="I370" s="10" t="str">
        <f ca="1">+WORLDCUP!BD62</f>
        <v>Curazao</v>
      </c>
      <c r="J370" s="10" t="str">
        <f ca="1">+WORLDCUP!BD66</f>
        <v>Noruega</v>
      </c>
      <c r="N370" s="19" t="s">
        <v>895</v>
      </c>
      <c r="O370" s="19">
        <v>369</v>
      </c>
      <c r="P370" s="19" t="s">
        <v>453</v>
      </c>
      <c r="Q370" s="19" t="s">
        <v>452</v>
      </c>
      <c r="R370" s="19" t="s">
        <v>92</v>
      </c>
      <c r="S370" s="19" t="s">
        <v>94</v>
      </c>
      <c r="T370" s="19" t="s">
        <v>91</v>
      </c>
      <c r="U370" s="19" t="s">
        <v>96</v>
      </c>
      <c r="V370" s="19" t="s">
        <v>95</v>
      </c>
      <c r="W370" s="19" t="s">
        <v>457</v>
      </c>
    </row>
    <row r="371" spans="1:23">
      <c r="A371" s="10" t="s">
        <v>894</v>
      </c>
      <c r="B371" s="10">
        <f ca="1">+IF(A371=WORLDCUP!$BI$112,1,0)</f>
        <v>0</v>
      </c>
      <c r="C371" s="10" t="str">
        <f ca="1">+WORLDCUP!BD66</f>
        <v>Noruega</v>
      </c>
      <c r="D371" s="10" t="str">
        <f ca="1">+WORLDCUP!BD67</f>
        <v>Argelia</v>
      </c>
      <c r="E371" s="10" t="str">
        <f ca="1">+WORLDCUP!BD59</f>
        <v>Catar</v>
      </c>
      <c r="F371" s="10" t="str">
        <f ca="1">+WORLDCUP!BD60</f>
        <v>Escocia</v>
      </c>
      <c r="G371" s="10" t="str">
        <f ca="1">+WORLDCUP!BD58</f>
        <v>PO D: DEN/MKD/CZE/IRL</v>
      </c>
      <c r="H371" s="10" t="str">
        <f ca="1">+WORLDCUP!BD65</f>
        <v>Arabia Saudita</v>
      </c>
      <c r="I371" s="10" t="str">
        <f ca="1">+WORLDCUP!BD69</f>
        <v>Ghana</v>
      </c>
      <c r="J371" s="10" t="str">
        <f ca="1">+WORLDCUP!BD68</f>
        <v>PO 1: COD/JAM/NCL</v>
      </c>
      <c r="N371" s="19" t="s">
        <v>894</v>
      </c>
      <c r="O371" s="19">
        <v>370</v>
      </c>
      <c r="P371" s="19" t="s">
        <v>457</v>
      </c>
      <c r="Q371" s="19" t="s">
        <v>458</v>
      </c>
      <c r="R371" s="19" t="s">
        <v>92</v>
      </c>
      <c r="S371" s="19" t="s">
        <v>93</v>
      </c>
      <c r="T371" s="19" t="s">
        <v>91</v>
      </c>
      <c r="U371" s="19" t="s">
        <v>453</v>
      </c>
      <c r="V371" s="19" t="s">
        <v>460</v>
      </c>
      <c r="W371" s="19" t="s">
        <v>459</v>
      </c>
    </row>
    <row r="372" spans="1:23">
      <c r="A372" s="10" t="s">
        <v>893</v>
      </c>
      <c r="B372" s="10">
        <f ca="1">+IF(A372=WORLDCUP!$BI$112,1,0)</f>
        <v>0</v>
      </c>
      <c r="C372" s="10" t="str">
        <f ca="1">+WORLDCUP!BD66</f>
        <v>Noruega</v>
      </c>
      <c r="D372" s="10" t="str">
        <f ca="1">+WORLDCUP!BD67</f>
        <v>Argelia</v>
      </c>
      <c r="E372" s="10" t="str">
        <f ca="1">+WORLDCUP!BD59</f>
        <v>Catar</v>
      </c>
      <c r="F372" s="10" t="str">
        <f ca="1">+WORLDCUP!BD60</f>
        <v>Escocia</v>
      </c>
      <c r="G372" s="10" t="str">
        <f ca="1">+WORLDCUP!BD58</f>
        <v>PO D: DEN/MKD/CZE/IRL</v>
      </c>
      <c r="H372" s="10" t="str">
        <f ca="1">+WORLDCUP!BD64</f>
        <v>Egipto</v>
      </c>
      <c r="I372" s="10" t="str">
        <f ca="1">+WORLDCUP!BD69</f>
        <v>Ghana</v>
      </c>
      <c r="J372" s="10" t="str">
        <f ca="1">+WORLDCUP!BD68</f>
        <v>PO 1: COD/JAM/NCL</v>
      </c>
      <c r="N372" s="19" t="s">
        <v>893</v>
      </c>
      <c r="O372" s="19">
        <v>371</v>
      </c>
      <c r="P372" s="19" t="s">
        <v>457</v>
      </c>
      <c r="Q372" s="19" t="s">
        <v>458</v>
      </c>
      <c r="R372" s="19" t="s">
        <v>92</v>
      </c>
      <c r="S372" s="19" t="s">
        <v>93</v>
      </c>
      <c r="T372" s="19" t="s">
        <v>91</v>
      </c>
      <c r="U372" s="19" t="s">
        <v>452</v>
      </c>
      <c r="V372" s="19" t="s">
        <v>460</v>
      </c>
      <c r="W372" s="19" t="s">
        <v>459</v>
      </c>
    </row>
    <row r="373" spans="1:23">
      <c r="A373" s="10" t="s">
        <v>892</v>
      </c>
      <c r="B373" s="10">
        <f ca="1">+IF(A373=WORLDCUP!$BI$112,1,0)</f>
        <v>0</v>
      </c>
      <c r="C373" s="10" t="str">
        <f ca="1">+WORLDCUP!BD65</f>
        <v>Arabia Saudita</v>
      </c>
      <c r="D373" s="10" t="str">
        <f ca="1">+WORLDCUP!BD67</f>
        <v>Argelia</v>
      </c>
      <c r="E373" s="10" t="str">
        <f ca="1">+WORLDCUP!BD59</f>
        <v>Catar</v>
      </c>
      <c r="F373" s="10" t="str">
        <f ca="1">+WORLDCUP!BD60</f>
        <v>Escocia</v>
      </c>
      <c r="G373" s="10" t="str">
        <f ca="1">+WORLDCUP!BD58</f>
        <v>PO D: DEN/MKD/CZE/IRL</v>
      </c>
      <c r="H373" s="10" t="str">
        <f ca="1">+WORLDCUP!BD64</f>
        <v>Egipto</v>
      </c>
      <c r="I373" s="10" t="str">
        <f ca="1">+WORLDCUP!BD69</f>
        <v>Ghana</v>
      </c>
      <c r="J373" s="10" t="str">
        <f ca="1">+WORLDCUP!BD68</f>
        <v>PO 1: COD/JAM/NCL</v>
      </c>
      <c r="N373" s="19" t="s">
        <v>892</v>
      </c>
      <c r="O373" s="19">
        <v>372</v>
      </c>
      <c r="P373" s="19" t="s">
        <v>453</v>
      </c>
      <c r="Q373" s="19" t="s">
        <v>458</v>
      </c>
      <c r="R373" s="19" t="s">
        <v>92</v>
      </c>
      <c r="S373" s="19" t="s">
        <v>93</v>
      </c>
      <c r="T373" s="19" t="s">
        <v>91</v>
      </c>
      <c r="U373" s="19" t="s">
        <v>452</v>
      </c>
      <c r="V373" s="19" t="s">
        <v>460</v>
      </c>
      <c r="W373" s="19" t="s">
        <v>459</v>
      </c>
    </row>
    <row r="374" spans="1:23">
      <c r="A374" s="10" t="s">
        <v>891</v>
      </c>
      <c r="B374" s="10">
        <f ca="1">+IF(A374=WORLDCUP!$BI$112,1,0)</f>
        <v>0</v>
      </c>
      <c r="C374" s="10" t="str">
        <f ca="1">+WORLDCUP!BD66</f>
        <v>Noruega</v>
      </c>
      <c r="D374" s="10" t="str">
        <f ca="1">+WORLDCUP!BD64</f>
        <v>Egipto</v>
      </c>
      <c r="E374" s="10" t="str">
        <f ca="1">+WORLDCUP!BD59</f>
        <v>Catar</v>
      </c>
      <c r="F374" s="10" t="str">
        <f ca="1">+WORLDCUP!BD60</f>
        <v>Escocia</v>
      </c>
      <c r="G374" s="10" t="str">
        <f ca="1">+WORLDCUP!BD58</f>
        <v>PO D: DEN/MKD/CZE/IRL</v>
      </c>
      <c r="H374" s="10" t="str">
        <f ca="1">+WORLDCUP!BD65</f>
        <v>Arabia Saudita</v>
      </c>
      <c r="I374" s="10" t="str">
        <f ca="1">+WORLDCUP!BD69</f>
        <v>Ghana</v>
      </c>
      <c r="J374" s="10" t="str">
        <f ca="1">+WORLDCUP!BD68</f>
        <v>PO 1: COD/JAM/NCL</v>
      </c>
      <c r="N374" s="19" t="s">
        <v>891</v>
      </c>
      <c r="O374" s="19">
        <v>373</v>
      </c>
      <c r="P374" s="19" t="s">
        <v>457</v>
      </c>
      <c r="Q374" s="19" t="s">
        <v>452</v>
      </c>
      <c r="R374" s="19" t="s">
        <v>92</v>
      </c>
      <c r="S374" s="19" t="s">
        <v>93</v>
      </c>
      <c r="T374" s="19" t="s">
        <v>91</v>
      </c>
      <c r="U374" s="19" t="s">
        <v>453</v>
      </c>
      <c r="V374" s="19" t="s">
        <v>460</v>
      </c>
      <c r="W374" s="19" t="s">
        <v>459</v>
      </c>
    </row>
    <row r="375" spans="1:23">
      <c r="A375" s="10" t="s">
        <v>890</v>
      </c>
      <c r="B375" s="10">
        <f ca="1">+IF(A375=WORLDCUP!$BI$112,1,0)</f>
        <v>0</v>
      </c>
      <c r="C375" s="10" t="str">
        <f ca="1">+WORLDCUP!BD65</f>
        <v>Arabia Saudita</v>
      </c>
      <c r="D375" s="10" t="str">
        <f ca="1">+WORLDCUP!BD67</f>
        <v>Argelia</v>
      </c>
      <c r="E375" s="10" t="str">
        <f ca="1">+WORLDCUP!BD59</f>
        <v>Catar</v>
      </c>
      <c r="F375" s="10" t="str">
        <f ca="1">+WORLDCUP!BD60</f>
        <v>Escocia</v>
      </c>
      <c r="G375" s="10" t="str">
        <f ca="1">+WORLDCUP!BD58</f>
        <v>PO D: DEN/MKD/CZE/IRL</v>
      </c>
      <c r="H375" s="10" t="str">
        <f ca="1">+WORLDCUP!BD64</f>
        <v>Egipto</v>
      </c>
      <c r="I375" s="10" t="str">
        <f ca="1">+WORLDCUP!BD69</f>
        <v>Ghana</v>
      </c>
      <c r="J375" s="10" t="str">
        <f ca="1">+WORLDCUP!BD66</f>
        <v>Noruega</v>
      </c>
      <c r="N375" s="19" t="s">
        <v>890</v>
      </c>
      <c r="O375" s="19">
        <v>374</v>
      </c>
      <c r="P375" s="19" t="s">
        <v>453</v>
      </c>
      <c r="Q375" s="19" t="s">
        <v>458</v>
      </c>
      <c r="R375" s="19" t="s">
        <v>92</v>
      </c>
      <c r="S375" s="19" t="s">
        <v>93</v>
      </c>
      <c r="T375" s="19" t="s">
        <v>91</v>
      </c>
      <c r="U375" s="19" t="s">
        <v>452</v>
      </c>
      <c r="V375" s="19" t="s">
        <v>460</v>
      </c>
      <c r="W375" s="19" t="s">
        <v>457</v>
      </c>
    </row>
    <row r="376" spans="1:23">
      <c r="A376" s="10" t="s">
        <v>889</v>
      </c>
      <c r="B376" s="10">
        <f ca="1">+IF(A376=WORLDCUP!$BI$112,1,0)</f>
        <v>0</v>
      </c>
      <c r="C376" s="10" t="str">
        <f ca="1">+WORLDCUP!BD65</f>
        <v>Arabia Saudita</v>
      </c>
      <c r="D376" s="10" t="str">
        <f ca="1">+WORLDCUP!BD67</f>
        <v>Argelia</v>
      </c>
      <c r="E376" s="10" t="str">
        <f ca="1">+WORLDCUP!BD59</f>
        <v>Catar</v>
      </c>
      <c r="F376" s="10" t="str">
        <f ca="1">+WORLDCUP!BD60</f>
        <v>Escocia</v>
      </c>
      <c r="G376" s="10" t="str">
        <f ca="1">+WORLDCUP!BD58</f>
        <v>PO D: DEN/MKD/CZE/IRL</v>
      </c>
      <c r="H376" s="10" t="str">
        <f ca="1">+WORLDCUP!BD64</f>
        <v>Egipto</v>
      </c>
      <c r="I376" s="10" t="str">
        <f ca="1">+WORLDCUP!BD66</f>
        <v>Noruega</v>
      </c>
      <c r="J376" s="10" t="str">
        <f ca="1">+WORLDCUP!BD68</f>
        <v>PO 1: COD/JAM/NCL</v>
      </c>
      <c r="N376" s="19" t="s">
        <v>889</v>
      </c>
      <c r="O376" s="19">
        <v>375</v>
      </c>
      <c r="P376" s="19" t="s">
        <v>453</v>
      </c>
      <c r="Q376" s="19" t="s">
        <v>458</v>
      </c>
      <c r="R376" s="19" t="s">
        <v>92</v>
      </c>
      <c r="S376" s="19" t="s">
        <v>93</v>
      </c>
      <c r="T376" s="19" t="s">
        <v>91</v>
      </c>
      <c r="U376" s="19" t="s">
        <v>452</v>
      </c>
      <c r="V376" s="19" t="s">
        <v>457</v>
      </c>
      <c r="W376" s="19" t="s">
        <v>459</v>
      </c>
    </row>
    <row r="377" spans="1:23">
      <c r="A377" s="10" t="s">
        <v>888</v>
      </c>
      <c r="B377" s="10">
        <f ca="1">+IF(A377=WORLDCUP!$BI$112,1,0)</f>
        <v>0</v>
      </c>
      <c r="C377" s="10" t="str">
        <f ca="1">+WORLDCUP!BD66</f>
        <v>Noruega</v>
      </c>
      <c r="D377" s="10" t="str">
        <f ca="1">+WORLDCUP!BD67</f>
        <v>Argelia</v>
      </c>
      <c r="E377" s="10" t="str">
        <f ca="1">+WORLDCUP!BD59</f>
        <v>Catar</v>
      </c>
      <c r="F377" s="10" t="str">
        <f ca="1">+WORLDCUP!BD60</f>
        <v>Escocia</v>
      </c>
      <c r="G377" s="10" t="str">
        <f ca="1">+WORLDCUP!BD58</f>
        <v>PO D: DEN/MKD/CZE/IRL</v>
      </c>
      <c r="H377" s="10" t="str">
        <f ca="1">+WORLDCUP!BD63</f>
        <v>Japón</v>
      </c>
      <c r="I377" s="10" t="str">
        <f ca="1">+WORLDCUP!BD69</f>
        <v>Ghana</v>
      </c>
      <c r="J377" s="10" t="str">
        <f ca="1">+WORLDCUP!BD68</f>
        <v>PO 1: COD/JAM/NCL</v>
      </c>
      <c r="N377" s="19" t="s">
        <v>888</v>
      </c>
      <c r="O377" s="19">
        <v>376</v>
      </c>
      <c r="P377" s="19" t="s">
        <v>457</v>
      </c>
      <c r="Q377" s="19" t="s">
        <v>458</v>
      </c>
      <c r="R377" s="19" t="s">
        <v>92</v>
      </c>
      <c r="S377" s="19" t="s">
        <v>93</v>
      </c>
      <c r="T377" s="19" t="s">
        <v>91</v>
      </c>
      <c r="U377" s="19" t="s">
        <v>96</v>
      </c>
      <c r="V377" s="19" t="s">
        <v>460</v>
      </c>
      <c r="W377" s="19" t="s">
        <v>459</v>
      </c>
    </row>
    <row r="378" spans="1:23">
      <c r="A378" s="10" t="s">
        <v>887</v>
      </c>
      <c r="B378" s="10">
        <f ca="1">+IF(A378=WORLDCUP!$BI$112,1,0)</f>
        <v>0</v>
      </c>
      <c r="C378" s="10" t="str">
        <f ca="1">+WORLDCUP!BD65</f>
        <v>Arabia Saudita</v>
      </c>
      <c r="D378" s="10" t="str">
        <f ca="1">+WORLDCUP!BD67</f>
        <v>Argelia</v>
      </c>
      <c r="E378" s="10" t="str">
        <f ca="1">+WORLDCUP!BD59</f>
        <v>Catar</v>
      </c>
      <c r="F378" s="10" t="str">
        <f ca="1">+WORLDCUP!BD60</f>
        <v>Escocia</v>
      </c>
      <c r="G378" s="10" t="str">
        <f ca="1">+WORLDCUP!BD58</f>
        <v>PO D: DEN/MKD/CZE/IRL</v>
      </c>
      <c r="H378" s="10" t="str">
        <f ca="1">+WORLDCUP!BD63</f>
        <v>Japón</v>
      </c>
      <c r="I378" s="10" t="str">
        <f ca="1">+WORLDCUP!BD69</f>
        <v>Ghana</v>
      </c>
      <c r="J378" s="10" t="str">
        <f ca="1">+WORLDCUP!BD68</f>
        <v>PO 1: COD/JAM/NCL</v>
      </c>
      <c r="N378" s="19" t="s">
        <v>887</v>
      </c>
      <c r="O378" s="19">
        <v>377</v>
      </c>
      <c r="P378" s="19" t="s">
        <v>453</v>
      </c>
      <c r="Q378" s="19" t="s">
        <v>458</v>
      </c>
      <c r="R378" s="19" t="s">
        <v>92</v>
      </c>
      <c r="S378" s="19" t="s">
        <v>93</v>
      </c>
      <c r="T378" s="19" t="s">
        <v>91</v>
      </c>
      <c r="U378" s="19" t="s">
        <v>96</v>
      </c>
      <c r="V378" s="19" t="s">
        <v>460</v>
      </c>
      <c r="W378" s="19" t="s">
        <v>459</v>
      </c>
    </row>
    <row r="379" spans="1:23">
      <c r="A379" s="10" t="s">
        <v>886</v>
      </c>
      <c r="B379" s="10">
        <f ca="1">+IF(A379=WORLDCUP!$BI$112,1,0)</f>
        <v>0</v>
      </c>
      <c r="C379" s="10" t="str">
        <f ca="1">+WORLDCUP!BD65</f>
        <v>Arabia Saudita</v>
      </c>
      <c r="D379" s="10" t="str">
        <f ca="1">+WORLDCUP!BD66</f>
        <v>Noruega</v>
      </c>
      <c r="E379" s="10" t="str">
        <f ca="1">+WORLDCUP!BD59</f>
        <v>Catar</v>
      </c>
      <c r="F379" s="10" t="str">
        <f ca="1">+WORLDCUP!BD60</f>
        <v>Escocia</v>
      </c>
      <c r="G379" s="10" t="str">
        <f ca="1">+WORLDCUP!BD58</f>
        <v>PO D: DEN/MKD/CZE/IRL</v>
      </c>
      <c r="H379" s="10" t="str">
        <f ca="1">+WORLDCUP!BD63</f>
        <v>Japón</v>
      </c>
      <c r="I379" s="10" t="str">
        <f ca="1">+WORLDCUP!BD69</f>
        <v>Ghana</v>
      </c>
      <c r="J379" s="10" t="str">
        <f ca="1">+WORLDCUP!BD68</f>
        <v>PO 1: COD/JAM/NCL</v>
      </c>
      <c r="N379" s="19" t="s">
        <v>886</v>
      </c>
      <c r="O379" s="19">
        <v>378</v>
      </c>
      <c r="P379" s="19" t="s">
        <v>453</v>
      </c>
      <c r="Q379" s="19" t="s">
        <v>457</v>
      </c>
      <c r="R379" s="19" t="s">
        <v>92</v>
      </c>
      <c r="S379" s="19" t="s">
        <v>93</v>
      </c>
      <c r="T379" s="19" t="s">
        <v>91</v>
      </c>
      <c r="U379" s="19" t="s">
        <v>96</v>
      </c>
      <c r="V379" s="19" t="s">
        <v>460</v>
      </c>
      <c r="W379" s="19" t="s">
        <v>459</v>
      </c>
    </row>
    <row r="380" spans="1:23">
      <c r="A380" s="10" t="s">
        <v>885</v>
      </c>
      <c r="B380" s="10">
        <f ca="1">+IF(A380=WORLDCUP!$BI$112,1,0)</f>
        <v>0</v>
      </c>
      <c r="C380" s="10" t="str">
        <f ca="1">+WORLDCUP!BD65</f>
        <v>Arabia Saudita</v>
      </c>
      <c r="D380" s="10" t="str">
        <f ca="1">+WORLDCUP!BD67</f>
        <v>Argelia</v>
      </c>
      <c r="E380" s="10" t="str">
        <f ca="1">+WORLDCUP!BD59</f>
        <v>Catar</v>
      </c>
      <c r="F380" s="10" t="str">
        <f ca="1">+WORLDCUP!BD60</f>
        <v>Escocia</v>
      </c>
      <c r="G380" s="10" t="str">
        <f ca="1">+WORLDCUP!BD58</f>
        <v>PO D: DEN/MKD/CZE/IRL</v>
      </c>
      <c r="H380" s="10" t="str">
        <f ca="1">+WORLDCUP!BD63</f>
        <v>Japón</v>
      </c>
      <c r="I380" s="10" t="str">
        <f ca="1">+WORLDCUP!BD69</f>
        <v>Ghana</v>
      </c>
      <c r="J380" s="10" t="str">
        <f ca="1">+WORLDCUP!BD66</f>
        <v>Noruega</v>
      </c>
      <c r="N380" s="19" t="s">
        <v>885</v>
      </c>
      <c r="O380" s="19">
        <v>379</v>
      </c>
      <c r="P380" s="19" t="s">
        <v>453</v>
      </c>
      <c r="Q380" s="19" t="s">
        <v>458</v>
      </c>
      <c r="R380" s="19" t="s">
        <v>92</v>
      </c>
      <c r="S380" s="19" t="s">
        <v>93</v>
      </c>
      <c r="T380" s="19" t="s">
        <v>91</v>
      </c>
      <c r="U380" s="19" t="s">
        <v>96</v>
      </c>
      <c r="V380" s="19" t="s">
        <v>460</v>
      </c>
      <c r="W380" s="19" t="s">
        <v>457</v>
      </c>
    </row>
    <row r="381" spans="1:23">
      <c r="A381" s="10" t="s">
        <v>884</v>
      </c>
      <c r="B381" s="10">
        <f ca="1">+IF(A381=WORLDCUP!$BI$112,1,0)</f>
        <v>0</v>
      </c>
      <c r="C381" s="10" t="str">
        <f ca="1">+WORLDCUP!BD65</f>
        <v>Arabia Saudita</v>
      </c>
      <c r="D381" s="10" t="str">
        <f ca="1">+WORLDCUP!BD67</f>
        <v>Argelia</v>
      </c>
      <c r="E381" s="10" t="str">
        <f ca="1">+WORLDCUP!BD59</f>
        <v>Catar</v>
      </c>
      <c r="F381" s="10" t="str">
        <f ca="1">+WORLDCUP!BD60</f>
        <v>Escocia</v>
      </c>
      <c r="G381" s="10" t="str">
        <f ca="1">+WORLDCUP!BD58</f>
        <v>PO D: DEN/MKD/CZE/IRL</v>
      </c>
      <c r="H381" s="10" t="str">
        <f ca="1">+WORLDCUP!BD63</f>
        <v>Japón</v>
      </c>
      <c r="I381" s="10" t="str">
        <f ca="1">+WORLDCUP!BD66</f>
        <v>Noruega</v>
      </c>
      <c r="J381" s="10" t="str">
        <f ca="1">+WORLDCUP!BD68</f>
        <v>PO 1: COD/JAM/NCL</v>
      </c>
      <c r="N381" s="19" t="s">
        <v>884</v>
      </c>
      <c r="O381" s="19">
        <v>380</v>
      </c>
      <c r="P381" s="19" t="s">
        <v>453</v>
      </c>
      <c r="Q381" s="19" t="s">
        <v>458</v>
      </c>
      <c r="R381" s="19" t="s">
        <v>92</v>
      </c>
      <c r="S381" s="19" t="s">
        <v>93</v>
      </c>
      <c r="T381" s="19" t="s">
        <v>91</v>
      </c>
      <c r="U381" s="19" t="s">
        <v>96</v>
      </c>
      <c r="V381" s="19" t="s">
        <v>457</v>
      </c>
      <c r="W381" s="19" t="s">
        <v>459</v>
      </c>
    </row>
    <row r="382" spans="1:23">
      <c r="A382" s="10" t="s">
        <v>883</v>
      </c>
      <c r="B382" s="10">
        <f ca="1">+IF(A382=WORLDCUP!$BI$112,1,0)</f>
        <v>0</v>
      </c>
      <c r="C382" s="10" t="str">
        <f ca="1">+WORLDCUP!BD60</f>
        <v>Escocia</v>
      </c>
      <c r="D382" s="10" t="str">
        <f ca="1">+WORLDCUP!BD67</f>
        <v>Argelia</v>
      </c>
      <c r="E382" s="10" t="str">
        <f ca="1">+WORLDCUP!BD59</f>
        <v>Catar</v>
      </c>
      <c r="F382" s="10" t="str">
        <f ca="1">+WORLDCUP!BD63</f>
        <v>Japón</v>
      </c>
      <c r="G382" s="10" t="str">
        <f ca="1">+WORLDCUP!BD58</f>
        <v>PO D: DEN/MKD/CZE/IRL</v>
      </c>
      <c r="H382" s="10" t="str">
        <f ca="1">+WORLDCUP!BD64</f>
        <v>Egipto</v>
      </c>
      <c r="I382" s="10" t="str">
        <f ca="1">+WORLDCUP!BD69</f>
        <v>Ghana</v>
      </c>
      <c r="J382" s="10" t="str">
        <f ca="1">+WORLDCUP!BD68</f>
        <v>PO 1: COD/JAM/NCL</v>
      </c>
      <c r="N382" s="19" t="s">
        <v>883</v>
      </c>
      <c r="O382" s="19">
        <v>381</v>
      </c>
      <c r="P382" s="19" t="s">
        <v>93</v>
      </c>
      <c r="Q382" s="19" t="s">
        <v>458</v>
      </c>
      <c r="R382" s="19" t="s">
        <v>92</v>
      </c>
      <c r="S382" s="19" t="s">
        <v>96</v>
      </c>
      <c r="T382" s="19" t="s">
        <v>91</v>
      </c>
      <c r="U382" s="19" t="s">
        <v>452</v>
      </c>
      <c r="V382" s="19" t="s">
        <v>460</v>
      </c>
      <c r="W382" s="19" t="s">
        <v>459</v>
      </c>
    </row>
    <row r="383" spans="1:23">
      <c r="A383" s="10" t="s">
        <v>882</v>
      </c>
      <c r="B383" s="10">
        <f ca="1">+IF(A383=WORLDCUP!$BI$112,1,0)</f>
        <v>0</v>
      </c>
      <c r="C383" s="10" t="str">
        <f ca="1">+WORLDCUP!BD66</f>
        <v>Noruega</v>
      </c>
      <c r="D383" s="10" t="str">
        <f ca="1">+WORLDCUP!BD64</f>
        <v>Egipto</v>
      </c>
      <c r="E383" s="10" t="str">
        <f ca="1">+WORLDCUP!BD59</f>
        <v>Catar</v>
      </c>
      <c r="F383" s="10" t="str">
        <f ca="1">+WORLDCUP!BD60</f>
        <v>Escocia</v>
      </c>
      <c r="G383" s="10" t="str">
        <f ca="1">+WORLDCUP!BD58</f>
        <v>PO D: DEN/MKD/CZE/IRL</v>
      </c>
      <c r="H383" s="10" t="str">
        <f ca="1">+WORLDCUP!BD63</f>
        <v>Japón</v>
      </c>
      <c r="I383" s="10" t="str">
        <f ca="1">+WORLDCUP!BD69</f>
        <v>Ghana</v>
      </c>
      <c r="J383" s="10" t="str">
        <f ca="1">+WORLDCUP!BD68</f>
        <v>PO 1: COD/JAM/NCL</v>
      </c>
      <c r="N383" s="19" t="s">
        <v>882</v>
      </c>
      <c r="O383" s="19">
        <v>382</v>
      </c>
      <c r="P383" s="19" t="s">
        <v>457</v>
      </c>
      <c r="Q383" s="19" t="s">
        <v>452</v>
      </c>
      <c r="R383" s="19" t="s">
        <v>92</v>
      </c>
      <c r="S383" s="19" t="s">
        <v>93</v>
      </c>
      <c r="T383" s="19" t="s">
        <v>91</v>
      </c>
      <c r="U383" s="19" t="s">
        <v>96</v>
      </c>
      <c r="V383" s="19" t="s">
        <v>460</v>
      </c>
      <c r="W383" s="19" t="s">
        <v>459</v>
      </c>
    </row>
    <row r="384" spans="1:23">
      <c r="A384" s="10" t="s">
        <v>881</v>
      </c>
      <c r="B384" s="10">
        <f ca="1">+IF(A384=WORLDCUP!$BI$112,1,0)</f>
        <v>0</v>
      </c>
      <c r="C384" s="10" t="str">
        <f ca="1">+WORLDCUP!BD60</f>
        <v>Escocia</v>
      </c>
      <c r="D384" s="10" t="str">
        <f ca="1">+WORLDCUP!BD67</f>
        <v>Argelia</v>
      </c>
      <c r="E384" s="10" t="str">
        <f ca="1">+WORLDCUP!BD59</f>
        <v>Catar</v>
      </c>
      <c r="F384" s="10" t="str">
        <f ca="1">+WORLDCUP!BD63</f>
        <v>Japón</v>
      </c>
      <c r="G384" s="10" t="str">
        <f ca="1">+WORLDCUP!BD58</f>
        <v>PO D: DEN/MKD/CZE/IRL</v>
      </c>
      <c r="H384" s="10" t="str">
        <f ca="1">+WORLDCUP!BD64</f>
        <v>Egipto</v>
      </c>
      <c r="I384" s="10" t="str">
        <f ca="1">+WORLDCUP!BD69</f>
        <v>Ghana</v>
      </c>
      <c r="J384" s="10" t="str">
        <f ca="1">+WORLDCUP!BD66</f>
        <v>Noruega</v>
      </c>
      <c r="N384" s="19" t="s">
        <v>881</v>
      </c>
      <c r="O384" s="19">
        <v>383</v>
      </c>
      <c r="P384" s="19" t="s">
        <v>93</v>
      </c>
      <c r="Q384" s="19" t="s">
        <v>458</v>
      </c>
      <c r="R384" s="19" t="s">
        <v>92</v>
      </c>
      <c r="S384" s="19" t="s">
        <v>96</v>
      </c>
      <c r="T384" s="19" t="s">
        <v>91</v>
      </c>
      <c r="U384" s="19" t="s">
        <v>452</v>
      </c>
      <c r="V384" s="19" t="s">
        <v>460</v>
      </c>
      <c r="W384" s="19" t="s">
        <v>457</v>
      </c>
    </row>
    <row r="385" spans="1:23">
      <c r="A385" s="10" t="s">
        <v>880</v>
      </c>
      <c r="B385" s="10">
        <f ca="1">+IF(A385=WORLDCUP!$BI$112,1,0)</f>
        <v>0</v>
      </c>
      <c r="C385" s="10" t="str">
        <f ca="1">+WORLDCUP!BD60</f>
        <v>Escocia</v>
      </c>
      <c r="D385" s="10" t="str">
        <f ca="1">+WORLDCUP!BD67</f>
        <v>Argelia</v>
      </c>
      <c r="E385" s="10" t="str">
        <f ca="1">+WORLDCUP!BD59</f>
        <v>Catar</v>
      </c>
      <c r="F385" s="10" t="str">
        <f ca="1">+WORLDCUP!BD63</f>
        <v>Japón</v>
      </c>
      <c r="G385" s="10" t="str">
        <f ca="1">+WORLDCUP!BD58</f>
        <v>PO D: DEN/MKD/CZE/IRL</v>
      </c>
      <c r="H385" s="10" t="str">
        <f ca="1">+WORLDCUP!BD64</f>
        <v>Egipto</v>
      </c>
      <c r="I385" s="10" t="str">
        <f ca="1">+WORLDCUP!BD66</f>
        <v>Noruega</v>
      </c>
      <c r="J385" s="10" t="str">
        <f ca="1">+WORLDCUP!BD68</f>
        <v>PO 1: COD/JAM/NCL</v>
      </c>
      <c r="N385" s="19" t="s">
        <v>880</v>
      </c>
      <c r="O385" s="19">
        <v>384</v>
      </c>
      <c r="P385" s="19" t="s">
        <v>93</v>
      </c>
      <c r="Q385" s="19" t="s">
        <v>458</v>
      </c>
      <c r="R385" s="19" t="s">
        <v>92</v>
      </c>
      <c r="S385" s="19" t="s">
        <v>96</v>
      </c>
      <c r="T385" s="19" t="s">
        <v>91</v>
      </c>
      <c r="U385" s="19" t="s">
        <v>452</v>
      </c>
      <c r="V385" s="19" t="s">
        <v>457</v>
      </c>
      <c r="W385" s="19" t="s">
        <v>459</v>
      </c>
    </row>
    <row r="386" spans="1:23">
      <c r="A386" s="10" t="s">
        <v>879</v>
      </c>
      <c r="B386" s="10">
        <f ca="1">+IF(A386=WORLDCUP!$BI$112,1,0)</f>
        <v>0</v>
      </c>
      <c r="C386" s="10" t="str">
        <f ca="1">+WORLDCUP!BD65</f>
        <v>Arabia Saudita</v>
      </c>
      <c r="D386" s="10" t="str">
        <f ca="1">+WORLDCUP!BD64</f>
        <v>Egipto</v>
      </c>
      <c r="E386" s="10" t="str">
        <f ca="1">+WORLDCUP!BD59</f>
        <v>Catar</v>
      </c>
      <c r="F386" s="10" t="str">
        <f ca="1">+WORLDCUP!BD60</f>
        <v>Escocia</v>
      </c>
      <c r="G386" s="10" t="str">
        <f ca="1">+WORLDCUP!BD58</f>
        <v>PO D: DEN/MKD/CZE/IRL</v>
      </c>
      <c r="H386" s="10" t="str">
        <f ca="1">+WORLDCUP!BD63</f>
        <v>Japón</v>
      </c>
      <c r="I386" s="10" t="str">
        <f ca="1">+WORLDCUP!BD69</f>
        <v>Ghana</v>
      </c>
      <c r="J386" s="10" t="str">
        <f ca="1">+WORLDCUP!BD68</f>
        <v>PO 1: COD/JAM/NCL</v>
      </c>
      <c r="N386" s="19" t="s">
        <v>879</v>
      </c>
      <c r="O386" s="19">
        <v>385</v>
      </c>
      <c r="P386" s="19" t="s">
        <v>453</v>
      </c>
      <c r="Q386" s="19" t="s">
        <v>452</v>
      </c>
      <c r="R386" s="19" t="s">
        <v>92</v>
      </c>
      <c r="S386" s="19" t="s">
        <v>93</v>
      </c>
      <c r="T386" s="19" t="s">
        <v>91</v>
      </c>
      <c r="U386" s="19" t="s">
        <v>96</v>
      </c>
      <c r="V386" s="19" t="s">
        <v>460</v>
      </c>
      <c r="W386" s="19" t="s">
        <v>459</v>
      </c>
    </row>
    <row r="387" spans="1:23">
      <c r="A387" s="10" t="s">
        <v>878</v>
      </c>
      <c r="B387" s="10">
        <f ca="1">+IF(A387=WORLDCUP!$BI$112,1,0)</f>
        <v>0</v>
      </c>
      <c r="C387" s="10" t="str">
        <f ca="1">+WORLDCUP!BD65</f>
        <v>Arabia Saudita</v>
      </c>
      <c r="D387" s="10" t="str">
        <f ca="1">+WORLDCUP!BD64</f>
        <v>Egipto</v>
      </c>
      <c r="E387" s="10" t="str">
        <f ca="1">+WORLDCUP!BD59</f>
        <v>Catar</v>
      </c>
      <c r="F387" s="10" t="str">
        <f ca="1">+WORLDCUP!BD60</f>
        <v>Escocia</v>
      </c>
      <c r="G387" s="10" t="str">
        <f ca="1">+WORLDCUP!BD58</f>
        <v>PO D: DEN/MKD/CZE/IRL</v>
      </c>
      <c r="H387" s="10" t="str">
        <f ca="1">+WORLDCUP!BD63</f>
        <v>Japón</v>
      </c>
      <c r="I387" s="10" t="str">
        <f ca="1">+WORLDCUP!BD69</f>
        <v>Ghana</v>
      </c>
      <c r="J387" s="10" t="str">
        <f ca="1">+WORLDCUP!BD67</f>
        <v>Argelia</v>
      </c>
      <c r="N387" s="19" t="s">
        <v>878</v>
      </c>
      <c r="O387" s="19">
        <v>386</v>
      </c>
      <c r="P387" s="19" t="s">
        <v>453</v>
      </c>
      <c r="Q387" s="19" t="s">
        <v>452</v>
      </c>
      <c r="R387" s="19" t="s">
        <v>92</v>
      </c>
      <c r="S387" s="19" t="s">
        <v>93</v>
      </c>
      <c r="T387" s="19" t="s">
        <v>91</v>
      </c>
      <c r="U387" s="19" t="s">
        <v>96</v>
      </c>
      <c r="V387" s="19" t="s">
        <v>460</v>
      </c>
      <c r="W387" s="19" t="s">
        <v>458</v>
      </c>
    </row>
    <row r="388" spans="1:23">
      <c r="A388" s="10" t="s">
        <v>877</v>
      </c>
      <c r="B388" s="10">
        <f ca="1">+IF(A388=WORLDCUP!$BI$112,1,0)</f>
        <v>0</v>
      </c>
      <c r="C388" s="10" t="str">
        <f ca="1">+WORLDCUP!BD65</f>
        <v>Arabia Saudita</v>
      </c>
      <c r="D388" s="10" t="str">
        <f ca="1">+WORLDCUP!BD64</f>
        <v>Egipto</v>
      </c>
      <c r="E388" s="10" t="str">
        <f ca="1">+WORLDCUP!BD59</f>
        <v>Catar</v>
      </c>
      <c r="F388" s="10" t="str">
        <f ca="1">+WORLDCUP!BD60</f>
        <v>Escocia</v>
      </c>
      <c r="G388" s="10" t="str">
        <f ca="1">+WORLDCUP!BD58</f>
        <v>PO D: DEN/MKD/CZE/IRL</v>
      </c>
      <c r="H388" s="10" t="str">
        <f ca="1">+WORLDCUP!BD63</f>
        <v>Japón</v>
      </c>
      <c r="I388" s="10" t="str">
        <f ca="1">+WORLDCUP!BD67</f>
        <v>Argelia</v>
      </c>
      <c r="J388" s="10" t="str">
        <f ca="1">+WORLDCUP!BD68</f>
        <v>PO 1: COD/JAM/NCL</v>
      </c>
      <c r="N388" s="19" t="s">
        <v>877</v>
      </c>
      <c r="O388" s="19">
        <v>387</v>
      </c>
      <c r="P388" s="19" t="s">
        <v>453</v>
      </c>
      <c r="Q388" s="19" t="s">
        <v>452</v>
      </c>
      <c r="R388" s="19" t="s">
        <v>92</v>
      </c>
      <c r="S388" s="19" t="s">
        <v>93</v>
      </c>
      <c r="T388" s="19" t="s">
        <v>91</v>
      </c>
      <c r="U388" s="19" t="s">
        <v>96</v>
      </c>
      <c r="V388" s="19" t="s">
        <v>458</v>
      </c>
      <c r="W388" s="19" t="s">
        <v>459</v>
      </c>
    </row>
    <row r="389" spans="1:23">
      <c r="A389" s="10" t="s">
        <v>876</v>
      </c>
      <c r="B389" s="10">
        <f ca="1">+IF(A389=WORLDCUP!$BI$112,1,0)</f>
        <v>1</v>
      </c>
      <c r="C389" s="10" t="str">
        <f ca="1">+WORLDCUP!BD65</f>
        <v>Arabia Saudita</v>
      </c>
      <c r="D389" s="10" t="str">
        <f ca="1">+WORLDCUP!BD64</f>
        <v>Egipto</v>
      </c>
      <c r="E389" s="10" t="str">
        <f ca="1">+WORLDCUP!BD59</f>
        <v>Catar</v>
      </c>
      <c r="F389" s="10" t="str">
        <f ca="1">+WORLDCUP!BD60</f>
        <v>Escocia</v>
      </c>
      <c r="G389" s="10" t="str">
        <f ca="1">+WORLDCUP!BD58</f>
        <v>PO D: DEN/MKD/CZE/IRL</v>
      </c>
      <c r="H389" s="10" t="str">
        <f ca="1">+WORLDCUP!BD63</f>
        <v>Japón</v>
      </c>
      <c r="I389" s="10" t="str">
        <f ca="1">+WORLDCUP!BD69</f>
        <v>Ghana</v>
      </c>
      <c r="J389" s="10" t="str">
        <f ca="1">+WORLDCUP!BD66</f>
        <v>Noruega</v>
      </c>
      <c r="N389" s="19" t="s">
        <v>876</v>
      </c>
      <c r="O389" s="19">
        <v>388</v>
      </c>
      <c r="P389" s="19" t="s">
        <v>453</v>
      </c>
      <c r="Q389" s="19" t="s">
        <v>452</v>
      </c>
      <c r="R389" s="19" t="s">
        <v>92</v>
      </c>
      <c r="S389" s="19" t="s">
        <v>93</v>
      </c>
      <c r="T389" s="19" t="s">
        <v>91</v>
      </c>
      <c r="U389" s="19" t="s">
        <v>96</v>
      </c>
      <c r="V389" s="19" t="s">
        <v>460</v>
      </c>
      <c r="W389" s="19" t="s">
        <v>457</v>
      </c>
    </row>
    <row r="390" spans="1:23">
      <c r="A390" s="10" t="s">
        <v>875</v>
      </c>
      <c r="B390" s="10">
        <f ca="1">+IF(A390=WORLDCUP!$BI$112,1,0)</f>
        <v>0</v>
      </c>
      <c r="C390" s="10" t="str">
        <f ca="1">+WORLDCUP!BD65</f>
        <v>Arabia Saudita</v>
      </c>
      <c r="D390" s="10" t="str">
        <f ca="1">+WORLDCUP!BD64</f>
        <v>Egipto</v>
      </c>
      <c r="E390" s="10" t="str">
        <f ca="1">+WORLDCUP!BD59</f>
        <v>Catar</v>
      </c>
      <c r="F390" s="10" t="str">
        <f ca="1">+WORLDCUP!BD60</f>
        <v>Escocia</v>
      </c>
      <c r="G390" s="10" t="str">
        <f ca="1">+WORLDCUP!BD58</f>
        <v>PO D: DEN/MKD/CZE/IRL</v>
      </c>
      <c r="H390" s="10" t="str">
        <f ca="1">+WORLDCUP!BD63</f>
        <v>Japón</v>
      </c>
      <c r="I390" s="10" t="str">
        <f ca="1">+WORLDCUP!BD66</f>
        <v>Noruega</v>
      </c>
      <c r="J390" s="10" t="str">
        <f ca="1">+WORLDCUP!BD68</f>
        <v>PO 1: COD/JAM/NCL</v>
      </c>
      <c r="N390" s="19" t="s">
        <v>875</v>
      </c>
      <c r="O390" s="19">
        <v>389</v>
      </c>
      <c r="P390" s="19" t="s">
        <v>453</v>
      </c>
      <c r="Q390" s="19" t="s">
        <v>452</v>
      </c>
      <c r="R390" s="19" t="s">
        <v>92</v>
      </c>
      <c r="S390" s="19" t="s">
        <v>93</v>
      </c>
      <c r="T390" s="19" t="s">
        <v>91</v>
      </c>
      <c r="U390" s="19" t="s">
        <v>96</v>
      </c>
      <c r="V390" s="19" t="s">
        <v>457</v>
      </c>
      <c r="W390" s="19" t="s">
        <v>459</v>
      </c>
    </row>
    <row r="391" spans="1:23">
      <c r="A391" s="10" t="s">
        <v>874</v>
      </c>
      <c r="B391" s="10">
        <f ca="1">+IF(A391=WORLDCUP!$BI$112,1,0)</f>
        <v>0</v>
      </c>
      <c r="C391" s="10" t="str">
        <f ca="1">+WORLDCUP!BD65</f>
        <v>Arabia Saudita</v>
      </c>
      <c r="D391" s="10" t="str">
        <f ca="1">+WORLDCUP!BD64</f>
        <v>Egipto</v>
      </c>
      <c r="E391" s="10" t="str">
        <f ca="1">+WORLDCUP!BD59</f>
        <v>Catar</v>
      </c>
      <c r="F391" s="10" t="str">
        <f ca="1">+WORLDCUP!BD60</f>
        <v>Escocia</v>
      </c>
      <c r="G391" s="10" t="str">
        <f ca="1">+WORLDCUP!BD58</f>
        <v>PO D: DEN/MKD/CZE/IRL</v>
      </c>
      <c r="H391" s="10" t="str">
        <f ca="1">+WORLDCUP!BD63</f>
        <v>Japón</v>
      </c>
      <c r="I391" s="10" t="str">
        <f ca="1">+WORLDCUP!BD66</f>
        <v>Noruega</v>
      </c>
      <c r="J391" s="10" t="str">
        <f ca="1">+WORLDCUP!BD67</f>
        <v>Argelia</v>
      </c>
      <c r="N391" s="19" t="s">
        <v>874</v>
      </c>
      <c r="O391" s="19">
        <v>390</v>
      </c>
      <c r="P391" s="19" t="s">
        <v>453</v>
      </c>
      <c r="Q391" s="19" t="s">
        <v>452</v>
      </c>
      <c r="R391" s="19" t="s">
        <v>92</v>
      </c>
      <c r="S391" s="19" t="s">
        <v>93</v>
      </c>
      <c r="T391" s="19" t="s">
        <v>91</v>
      </c>
      <c r="U391" s="19" t="s">
        <v>96</v>
      </c>
      <c r="V391" s="19" t="s">
        <v>457</v>
      </c>
      <c r="W391" s="19" t="s">
        <v>458</v>
      </c>
    </row>
    <row r="392" spans="1:23">
      <c r="A392" s="10" t="s">
        <v>873</v>
      </c>
      <c r="B392" s="10">
        <f ca="1">+IF(A392=WORLDCUP!$BI$112,1,0)</f>
        <v>0</v>
      </c>
      <c r="C392" s="10" t="str">
        <f ca="1">+WORLDCUP!BD62</f>
        <v>Curazao</v>
      </c>
      <c r="D392" s="10" t="str">
        <f ca="1">+WORLDCUP!BD67</f>
        <v>Argelia</v>
      </c>
      <c r="E392" s="10" t="str">
        <f ca="1">+WORLDCUP!BD59</f>
        <v>Catar</v>
      </c>
      <c r="F392" s="10" t="str">
        <f ca="1">+WORLDCUP!BD58</f>
        <v>PO D: DEN/MKD/CZE/IRL</v>
      </c>
      <c r="G392" s="10" t="str">
        <f ca="1">+WORLDCUP!BD66</f>
        <v>Noruega</v>
      </c>
      <c r="H392" s="10" t="str">
        <f ca="1">+WORLDCUP!BD60</f>
        <v>Escocia</v>
      </c>
      <c r="I392" s="10" t="str">
        <f ca="1">+WORLDCUP!BD69</f>
        <v>Ghana</v>
      </c>
      <c r="J392" s="10" t="str">
        <f ca="1">+WORLDCUP!BD68</f>
        <v>PO 1: COD/JAM/NCL</v>
      </c>
      <c r="N392" s="19" t="s">
        <v>873</v>
      </c>
      <c r="O392" s="19">
        <v>391</v>
      </c>
      <c r="P392" s="19" t="s">
        <v>95</v>
      </c>
      <c r="Q392" s="19" t="s">
        <v>458</v>
      </c>
      <c r="R392" s="19" t="s">
        <v>92</v>
      </c>
      <c r="S392" s="19" t="s">
        <v>91</v>
      </c>
      <c r="T392" s="19" t="s">
        <v>457</v>
      </c>
      <c r="U392" s="19" t="s">
        <v>93</v>
      </c>
      <c r="V392" s="19" t="s">
        <v>460</v>
      </c>
      <c r="W392" s="19" t="s">
        <v>459</v>
      </c>
    </row>
    <row r="393" spans="1:23">
      <c r="A393" s="10" t="s">
        <v>872</v>
      </c>
      <c r="B393" s="10">
        <f ca="1">+IF(A393=WORLDCUP!$BI$112,1,0)</f>
        <v>0</v>
      </c>
      <c r="C393" s="10" t="str">
        <f ca="1">+WORLDCUP!BD62</f>
        <v>Curazao</v>
      </c>
      <c r="D393" s="10" t="str">
        <f ca="1">+WORLDCUP!BD67</f>
        <v>Argelia</v>
      </c>
      <c r="E393" s="10" t="str">
        <f ca="1">+WORLDCUP!BD59</f>
        <v>Catar</v>
      </c>
      <c r="F393" s="10" t="str">
        <f ca="1">+WORLDCUP!BD60</f>
        <v>Escocia</v>
      </c>
      <c r="G393" s="10" t="str">
        <f ca="1">+WORLDCUP!BD58</f>
        <v>PO D: DEN/MKD/CZE/IRL</v>
      </c>
      <c r="H393" s="10" t="str">
        <f ca="1">+WORLDCUP!BD65</f>
        <v>Arabia Saudita</v>
      </c>
      <c r="I393" s="10" t="str">
        <f ca="1">+WORLDCUP!BD69</f>
        <v>Ghana</v>
      </c>
      <c r="J393" s="10" t="str">
        <f ca="1">+WORLDCUP!BD68</f>
        <v>PO 1: COD/JAM/NCL</v>
      </c>
      <c r="N393" s="19" t="s">
        <v>872</v>
      </c>
      <c r="O393" s="19">
        <v>392</v>
      </c>
      <c r="P393" s="19" t="s">
        <v>95</v>
      </c>
      <c r="Q393" s="19" t="s">
        <v>458</v>
      </c>
      <c r="R393" s="19" t="s">
        <v>92</v>
      </c>
      <c r="S393" s="19" t="s">
        <v>93</v>
      </c>
      <c r="T393" s="19" t="s">
        <v>91</v>
      </c>
      <c r="U393" s="19" t="s">
        <v>453</v>
      </c>
      <c r="V393" s="19" t="s">
        <v>460</v>
      </c>
      <c r="W393" s="19" t="s">
        <v>459</v>
      </c>
    </row>
    <row r="394" spans="1:23">
      <c r="A394" s="10" t="s">
        <v>871</v>
      </c>
      <c r="B394" s="10">
        <f ca="1">+IF(A394=WORLDCUP!$BI$112,1,0)</f>
        <v>0</v>
      </c>
      <c r="C394" s="10" t="str">
        <f ca="1">+WORLDCUP!BD62</f>
        <v>Curazao</v>
      </c>
      <c r="D394" s="10" t="str">
        <f ca="1">+WORLDCUP!BD66</f>
        <v>Noruega</v>
      </c>
      <c r="E394" s="10" t="str">
        <f ca="1">+WORLDCUP!BD59</f>
        <v>Catar</v>
      </c>
      <c r="F394" s="10" t="str">
        <f ca="1">+WORLDCUP!BD60</f>
        <v>Escocia</v>
      </c>
      <c r="G394" s="10" t="str">
        <f ca="1">+WORLDCUP!BD58</f>
        <v>PO D: DEN/MKD/CZE/IRL</v>
      </c>
      <c r="H394" s="10" t="str">
        <f ca="1">+WORLDCUP!BD65</f>
        <v>Arabia Saudita</v>
      </c>
      <c r="I394" s="10" t="str">
        <f ca="1">+WORLDCUP!BD69</f>
        <v>Ghana</v>
      </c>
      <c r="J394" s="10" t="str">
        <f ca="1">+WORLDCUP!BD68</f>
        <v>PO 1: COD/JAM/NCL</v>
      </c>
      <c r="N394" s="19" t="s">
        <v>871</v>
      </c>
      <c r="O394" s="19">
        <v>393</v>
      </c>
      <c r="P394" s="19" t="s">
        <v>95</v>
      </c>
      <c r="Q394" s="19" t="s">
        <v>457</v>
      </c>
      <c r="R394" s="19" t="s">
        <v>92</v>
      </c>
      <c r="S394" s="19" t="s">
        <v>93</v>
      </c>
      <c r="T394" s="19" t="s">
        <v>91</v>
      </c>
      <c r="U394" s="19" t="s">
        <v>453</v>
      </c>
      <c r="V394" s="19" t="s">
        <v>460</v>
      </c>
      <c r="W394" s="19" t="s">
        <v>459</v>
      </c>
    </row>
    <row r="395" spans="1:23">
      <c r="A395" s="10" t="s">
        <v>870</v>
      </c>
      <c r="B395" s="10">
        <f ca="1">+IF(A395=WORLDCUP!$BI$112,1,0)</f>
        <v>0</v>
      </c>
      <c r="C395" s="10" t="str">
        <f ca="1">+WORLDCUP!BD62</f>
        <v>Curazao</v>
      </c>
      <c r="D395" s="10" t="str">
        <f ca="1">+WORLDCUP!BD67</f>
        <v>Argelia</v>
      </c>
      <c r="E395" s="10" t="str">
        <f ca="1">+WORLDCUP!BD59</f>
        <v>Catar</v>
      </c>
      <c r="F395" s="10" t="str">
        <f ca="1">+WORLDCUP!BD60</f>
        <v>Escocia</v>
      </c>
      <c r="G395" s="10" t="str">
        <f ca="1">+WORLDCUP!BD58</f>
        <v>PO D: DEN/MKD/CZE/IRL</v>
      </c>
      <c r="H395" s="10" t="str">
        <f ca="1">+WORLDCUP!BD65</f>
        <v>Arabia Saudita</v>
      </c>
      <c r="I395" s="10" t="str">
        <f ca="1">+WORLDCUP!BD69</f>
        <v>Ghana</v>
      </c>
      <c r="J395" s="10" t="str">
        <f ca="1">+WORLDCUP!BD66</f>
        <v>Noruega</v>
      </c>
      <c r="N395" s="19" t="s">
        <v>870</v>
      </c>
      <c r="O395" s="19">
        <v>394</v>
      </c>
      <c r="P395" s="19" t="s">
        <v>95</v>
      </c>
      <c r="Q395" s="19" t="s">
        <v>458</v>
      </c>
      <c r="R395" s="19" t="s">
        <v>92</v>
      </c>
      <c r="S395" s="19" t="s">
        <v>93</v>
      </c>
      <c r="T395" s="19" t="s">
        <v>91</v>
      </c>
      <c r="U395" s="19" t="s">
        <v>453</v>
      </c>
      <c r="V395" s="19" t="s">
        <v>460</v>
      </c>
      <c r="W395" s="19" t="s">
        <v>457</v>
      </c>
    </row>
    <row r="396" spans="1:23">
      <c r="A396" s="10" t="s">
        <v>869</v>
      </c>
      <c r="B396" s="10">
        <f ca="1">+IF(A396=WORLDCUP!$BI$112,1,0)</f>
        <v>0</v>
      </c>
      <c r="C396" s="10" t="str">
        <f ca="1">+WORLDCUP!BD62</f>
        <v>Curazao</v>
      </c>
      <c r="D396" s="10" t="str">
        <f ca="1">+WORLDCUP!BD67</f>
        <v>Argelia</v>
      </c>
      <c r="E396" s="10" t="str">
        <f ca="1">+WORLDCUP!BD59</f>
        <v>Catar</v>
      </c>
      <c r="F396" s="10" t="str">
        <f ca="1">+WORLDCUP!BD60</f>
        <v>Escocia</v>
      </c>
      <c r="G396" s="10" t="str">
        <f ca="1">+WORLDCUP!BD58</f>
        <v>PO D: DEN/MKD/CZE/IRL</v>
      </c>
      <c r="H396" s="10" t="str">
        <f ca="1">+WORLDCUP!BD65</f>
        <v>Arabia Saudita</v>
      </c>
      <c r="I396" s="10" t="str">
        <f ca="1">+WORLDCUP!BD66</f>
        <v>Noruega</v>
      </c>
      <c r="J396" s="10" t="str">
        <f ca="1">+WORLDCUP!BD68</f>
        <v>PO 1: COD/JAM/NCL</v>
      </c>
      <c r="N396" s="19" t="s">
        <v>869</v>
      </c>
      <c r="O396" s="19">
        <v>395</v>
      </c>
      <c r="P396" s="19" t="s">
        <v>95</v>
      </c>
      <c r="Q396" s="19" t="s">
        <v>458</v>
      </c>
      <c r="R396" s="19" t="s">
        <v>92</v>
      </c>
      <c r="S396" s="19" t="s">
        <v>93</v>
      </c>
      <c r="T396" s="19" t="s">
        <v>91</v>
      </c>
      <c r="U396" s="19" t="s">
        <v>453</v>
      </c>
      <c r="V396" s="19" t="s">
        <v>457</v>
      </c>
      <c r="W396" s="19" t="s">
        <v>459</v>
      </c>
    </row>
    <row r="397" spans="1:23">
      <c r="A397" s="10" t="s">
        <v>868</v>
      </c>
      <c r="B397" s="10">
        <f ca="1">+IF(A397=WORLDCUP!$BI$112,1,0)</f>
        <v>0</v>
      </c>
      <c r="C397" s="10" t="str">
        <f ca="1">+WORLDCUP!BD62</f>
        <v>Curazao</v>
      </c>
      <c r="D397" s="10" t="str">
        <f ca="1">+WORLDCUP!BD67</f>
        <v>Argelia</v>
      </c>
      <c r="E397" s="10" t="str">
        <f ca="1">+WORLDCUP!BD59</f>
        <v>Catar</v>
      </c>
      <c r="F397" s="10" t="str">
        <f ca="1">+WORLDCUP!BD60</f>
        <v>Escocia</v>
      </c>
      <c r="G397" s="10" t="str">
        <f ca="1">+WORLDCUP!BD58</f>
        <v>PO D: DEN/MKD/CZE/IRL</v>
      </c>
      <c r="H397" s="10" t="str">
        <f ca="1">+WORLDCUP!BD64</f>
        <v>Egipto</v>
      </c>
      <c r="I397" s="10" t="str">
        <f ca="1">+WORLDCUP!BD69</f>
        <v>Ghana</v>
      </c>
      <c r="J397" s="10" t="str">
        <f ca="1">+WORLDCUP!BD68</f>
        <v>PO 1: COD/JAM/NCL</v>
      </c>
      <c r="N397" s="19" t="s">
        <v>868</v>
      </c>
      <c r="O397" s="19">
        <v>396</v>
      </c>
      <c r="P397" s="19" t="s">
        <v>95</v>
      </c>
      <c r="Q397" s="19" t="s">
        <v>458</v>
      </c>
      <c r="R397" s="19" t="s">
        <v>92</v>
      </c>
      <c r="S397" s="19" t="s">
        <v>93</v>
      </c>
      <c r="T397" s="19" t="s">
        <v>91</v>
      </c>
      <c r="U397" s="19" t="s">
        <v>452</v>
      </c>
      <c r="V397" s="19" t="s">
        <v>460</v>
      </c>
      <c r="W397" s="19" t="s">
        <v>459</v>
      </c>
    </row>
    <row r="398" spans="1:23">
      <c r="A398" s="10" t="s">
        <v>867</v>
      </c>
      <c r="B398" s="10">
        <f ca="1">+IF(A398=WORLDCUP!$BI$112,1,0)</f>
        <v>0</v>
      </c>
      <c r="C398" s="10" t="str">
        <f ca="1">+WORLDCUP!BD62</f>
        <v>Curazao</v>
      </c>
      <c r="D398" s="10" t="str">
        <f ca="1">+WORLDCUP!BD64</f>
        <v>Egipto</v>
      </c>
      <c r="E398" s="10" t="str">
        <f ca="1">+WORLDCUP!BD59</f>
        <v>Catar</v>
      </c>
      <c r="F398" s="10" t="str">
        <f ca="1">+WORLDCUP!BD58</f>
        <v>PO D: DEN/MKD/CZE/IRL</v>
      </c>
      <c r="G398" s="10" t="str">
        <f ca="1">+WORLDCUP!BD66</f>
        <v>Noruega</v>
      </c>
      <c r="H398" s="10" t="str">
        <f ca="1">+WORLDCUP!BD60</f>
        <v>Escocia</v>
      </c>
      <c r="I398" s="10" t="str">
        <f ca="1">+WORLDCUP!BD69</f>
        <v>Ghana</v>
      </c>
      <c r="J398" s="10" t="str">
        <f ca="1">+WORLDCUP!BD68</f>
        <v>PO 1: COD/JAM/NCL</v>
      </c>
      <c r="N398" s="19" t="s">
        <v>867</v>
      </c>
      <c r="O398" s="19">
        <v>397</v>
      </c>
      <c r="P398" s="19" t="s">
        <v>95</v>
      </c>
      <c r="Q398" s="19" t="s">
        <v>452</v>
      </c>
      <c r="R398" s="19" t="s">
        <v>92</v>
      </c>
      <c r="S398" s="19" t="s">
        <v>91</v>
      </c>
      <c r="T398" s="19" t="s">
        <v>457</v>
      </c>
      <c r="U398" s="19" t="s">
        <v>93</v>
      </c>
      <c r="V398" s="19" t="s">
        <v>460</v>
      </c>
      <c r="W398" s="19" t="s">
        <v>459</v>
      </c>
    </row>
    <row r="399" spans="1:23">
      <c r="A399" s="10" t="s">
        <v>866</v>
      </c>
      <c r="B399" s="10">
        <f ca="1">+IF(A399=WORLDCUP!$BI$112,1,0)</f>
        <v>0</v>
      </c>
      <c r="C399" s="10" t="str">
        <f ca="1">+WORLDCUP!BD62</f>
        <v>Curazao</v>
      </c>
      <c r="D399" s="10" t="str">
        <f ca="1">+WORLDCUP!BD67</f>
        <v>Argelia</v>
      </c>
      <c r="E399" s="10" t="str">
        <f ca="1">+WORLDCUP!BD59</f>
        <v>Catar</v>
      </c>
      <c r="F399" s="10" t="str">
        <f ca="1">+WORLDCUP!BD60</f>
        <v>Escocia</v>
      </c>
      <c r="G399" s="10" t="str">
        <f ca="1">+WORLDCUP!BD58</f>
        <v>PO D: DEN/MKD/CZE/IRL</v>
      </c>
      <c r="H399" s="10" t="str">
        <f ca="1">+WORLDCUP!BD64</f>
        <v>Egipto</v>
      </c>
      <c r="I399" s="10" t="str">
        <f ca="1">+WORLDCUP!BD69</f>
        <v>Ghana</v>
      </c>
      <c r="J399" s="10" t="str">
        <f ca="1">+WORLDCUP!BD66</f>
        <v>Noruega</v>
      </c>
      <c r="N399" s="19" t="s">
        <v>866</v>
      </c>
      <c r="O399" s="19">
        <v>398</v>
      </c>
      <c r="P399" s="19" t="s">
        <v>95</v>
      </c>
      <c r="Q399" s="19" t="s">
        <v>458</v>
      </c>
      <c r="R399" s="19" t="s">
        <v>92</v>
      </c>
      <c r="S399" s="19" t="s">
        <v>93</v>
      </c>
      <c r="T399" s="19" t="s">
        <v>91</v>
      </c>
      <c r="U399" s="19" t="s">
        <v>452</v>
      </c>
      <c r="V399" s="19" t="s">
        <v>460</v>
      </c>
      <c r="W399" s="19" t="s">
        <v>457</v>
      </c>
    </row>
    <row r="400" spans="1:23">
      <c r="A400" s="10" t="s">
        <v>865</v>
      </c>
      <c r="B400" s="10">
        <f ca="1">+IF(A400=WORLDCUP!$BI$112,1,0)</f>
        <v>0</v>
      </c>
      <c r="C400" s="10" t="str">
        <f ca="1">+WORLDCUP!BD62</f>
        <v>Curazao</v>
      </c>
      <c r="D400" s="10" t="str">
        <f ca="1">+WORLDCUP!BD67</f>
        <v>Argelia</v>
      </c>
      <c r="E400" s="10" t="str">
        <f ca="1">+WORLDCUP!BD59</f>
        <v>Catar</v>
      </c>
      <c r="F400" s="10" t="str">
        <f ca="1">+WORLDCUP!BD60</f>
        <v>Escocia</v>
      </c>
      <c r="G400" s="10" t="str">
        <f ca="1">+WORLDCUP!BD58</f>
        <v>PO D: DEN/MKD/CZE/IRL</v>
      </c>
      <c r="H400" s="10" t="str">
        <f ca="1">+WORLDCUP!BD64</f>
        <v>Egipto</v>
      </c>
      <c r="I400" s="10" t="str">
        <f ca="1">+WORLDCUP!BD66</f>
        <v>Noruega</v>
      </c>
      <c r="J400" s="10" t="str">
        <f ca="1">+WORLDCUP!BD68</f>
        <v>PO 1: COD/JAM/NCL</v>
      </c>
      <c r="N400" s="19" t="s">
        <v>865</v>
      </c>
      <c r="O400" s="19">
        <v>399</v>
      </c>
      <c r="P400" s="19" t="s">
        <v>95</v>
      </c>
      <c r="Q400" s="19" t="s">
        <v>458</v>
      </c>
      <c r="R400" s="19" t="s">
        <v>92</v>
      </c>
      <c r="S400" s="19" t="s">
        <v>93</v>
      </c>
      <c r="T400" s="19" t="s">
        <v>91</v>
      </c>
      <c r="U400" s="19" t="s">
        <v>452</v>
      </c>
      <c r="V400" s="19" t="s">
        <v>457</v>
      </c>
      <c r="W400" s="19" t="s">
        <v>459</v>
      </c>
    </row>
    <row r="401" spans="1:23">
      <c r="A401" s="10" t="s">
        <v>864</v>
      </c>
      <c r="B401" s="10">
        <f ca="1">+IF(A401=WORLDCUP!$BI$112,1,0)</f>
        <v>0</v>
      </c>
      <c r="C401" s="10" t="str">
        <f ca="1">+WORLDCUP!BD62</f>
        <v>Curazao</v>
      </c>
      <c r="D401" s="10" t="str">
        <f ca="1">+WORLDCUP!BD64</f>
        <v>Egipto</v>
      </c>
      <c r="E401" s="10" t="str">
        <f ca="1">+WORLDCUP!BD59</f>
        <v>Catar</v>
      </c>
      <c r="F401" s="10" t="str">
        <f ca="1">+WORLDCUP!BD60</f>
        <v>Escocia</v>
      </c>
      <c r="G401" s="10" t="str">
        <f ca="1">+WORLDCUP!BD58</f>
        <v>PO D: DEN/MKD/CZE/IRL</v>
      </c>
      <c r="H401" s="10" t="str">
        <f ca="1">+WORLDCUP!BD65</f>
        <v>Arabia Saudita</v>
      </c>
      <c r="I401" s="10" t="str">
        <f ca="1">+WORLDCUP!BD69</f>
        <v>Ghana</v>
      </c>
      <c r="J401" s="10" t="str">
        <f ca="1">+WORLDCUP!BD68</f>
        <v>PO 1: COD/JAM/NCL</v>
      </c>
      <c r="N401" s="19" t="s">
        <v>864</v>
      </c>
      <c r="O401" s="19">
        <v>400</v>
      </c>
      <c r="P401" s="19" t="s">
        <v>95</v>
      </c>
      <c r="Q401" s="19" t="s">
        <v>452</v>
      </c>
      <c r="R401" s="19" t="s">
        <v>92</v>
      </c>
      <c r="S401" s="19" t="s">
        <v>93</v>
      </c>
      <c r="T401" s="19" t="s">
        <v>91</v>
      </c>
      <c r="U401" s="19" t="s">
        <v>453</v>
      </c>
      <c r="V401" s="19" t="s">
        <v>460</v>
      </c>
      <c r="W401" s="19" t="s">
        <v>459</v>
      </c>
    </row>
    <row r="402" spans="1:23">
      <c r="A402" s="10" t="s">
        <v>863</v>
      </c>
      <c r="B402" s="10">
        <f ca="1">+IF(A402=WORLDCUP!$BI$112,1,0)</f>
        <v>0</v>
      </c>
      <c r="C402" s="10" t="str">
        <f ca="1">+WORLDCUP!BD65</f>
        <v>Arabia Saudita</v>
      </c>
      <c r="D402" s="10" t="str">
        <f ca="1">+WORLDCUP!BD67</f>
        <v>Argelia</v>
      </c>
      <c r="E402" s="10" t="str">
        <f ca="1">+WORLDCUP!BD59</f>
        <v>Catar</v>
      </c>
      <c r="F402" s="10" t="str">
        <f ca="1">+WORLDCUP!BD60</f>
        <v>Escocia</v>
      </c>
      <c r="G402" s="10" t="str">
        <f ca="1">+WORLDCUP!BD58</f>
        <v>PO D: DEN/MKD/CZE/IRL</v>
      </c>
      <c r="H402" s="10" t="str">
        <f ca="1">+WORLDCUP!BD64</f>
        <v>Egipto</v>
      </c>
      <c r="I402" s="10" t="str">
        <f ca="1">+WORLDCUP!BD69</f>
        <v>Ghana</v>
      </c>
      <c r="J402" s="10" t="str">
        <f ca="1">+WORLDCUP!BD62</f>
        <v>Curazao</v>
      </c>
      <c r="N402" s="19" t="s">
        <v>863</v>
      </c>
      <c r="O402" s="19">
        <v>401</v>
      </c>
      <c r="P402" s="19" t="s">
        <v>453</v>
      </c>
      <c r="Q402" s="19" t="s">
        <v>458</v>
      </c>
      <c r="R402" s="19" t="s">
        <v>92</v>
      </c>
      <c r="S402" s="19" t="s">
        <v>93</v>
      </c>
      <c r="T402" s="19" t="s">
        <v>91</v>
      </c>
      <c r="U402" s="19" t="s">
        <v>452</v>
      </c>
      <c r="V402" s="19" t="s">
        <v>460</v>
      </c>
      <c r="W402" s="19" t="s">
        <v>95</v>
      </c>
    </row>
    <row r="403" spans="1:23">
      <c r="A403" s="10" t="s">
        <v>862</v>
      </c>
      <c r="B403" s="10">
        <f ca="1">+IF(A403=WORLDCUP!$BI$112,1,0)</f>
        <v>0</v>
      </c>
      <c r="C403" s="10" t="str">
        <f ca="1">+WORLDCUP!BD65</f>
        <v>Arabia Saudita</v>
      </c>
      <c r="D403" s="10" t="str">
        <f ca="1">+WORLDCUP!BD67</f>
        <v>Argelia</v>
      </c>
      <c r="E403" s="10" t="str">
        <f ca="1">+WORLDCUP!BD59</f>
        <v>Catar</v>
      </c>
      <c r="F403" s="10" t="str">
        <f ca="1">+WORLDCUP!BD60</f>
        <v>Escocia</v>
      </c>
      <c r="G403" s="10" t="str">
        <f ca="1">+WORLDCUP!BD58</f>
        <v>PO D: DEN/MKD/CZE/IRL</v>
      </c>
      <c r="H403" s="10" t="str">
        <f ca="1">+WORLDCUP!BD64</f>
        <v>Egipto</v>
      </c>
      <c r="I403" s="10" t="str">
        <f ca="1">+WORLDCUP!BD62</f>
        <v>Curazao</v>
      </c>
      <c r="J403" s="10" t="str">
        <f ca="1">+WORLDCUP!BD68</f>
        <v>PO 1: COD/JAM/NCL</v>
      </c>
      <c r="N403" s="19" t="s">
        <v>862</v>
      </c>
      <c r="O403" s="19">
        <v>402</v>
      </c>
      <c r="P403" s="19" t="s">
        <v>453</v>
      </c>
      <c r="Q403" s="19" t="s">
        <v>458</v>
      </c>
      <c r="R403" s="19" t="s">
        <v>92</v>
      </c>
      <c r="S403" s="19" t="s">
        <v>93</v>
      </c>
      <c r="T403" s="19" t="s">
        <v>91</v>
      </c>
      <c r="U403" s="19" t="s">
        <v>452</v>
      </c>
      <c r="V403" s="19" t="s">
        <v>95</v>
      </c>
      <c r="W403" s="19" t="s">
        <v>459</v>
      </c>
    </row>
    <row r="404" spans="1:23">
      <c r="A404" s="10" t="s">
        <v>861</v>
      </c>
      <c r="B404" s="10">
        <f ca="1">+IF(A404=WORLDCUP!$BI$112,1,0)</f>
        <v>0</v>
      </c>
      <c r="C404" s="10" t="str">
        <f ca="1">+WORLDCUP!BD62</f>
        <v>Curazao</v>
      </c>
      <c r="D404" s="10" t="str">
        <f ca="1">+WORLDCUP!BD64</f>
        <v>Egipto</v>
      </c>
      <c r="E404" s="10" t="str">
        <f ca="1">+WORLDCUP!BD59</f>
        <v>Catar</v>
      </c>
      <c r="F404" s="10" t="str">
        <f ca="1">+WORLDCUP!BD60</f>
        <v>Escocia</v>
      </c>
      <c r="G404" s="10" t="str">
        <f ca="1">+WORLDCUP!BD58</f>
        <v>PO D: DEN/MKD/CZE/IRL</v>
      </c>
      <c r="H404" s="10" t="str">
        <f ca="1">+WORLDCUP!BD65</f>
        <v>Arabia Saudita</v>
      </c>
      <c r="I404" s="10" t="str">
        <f ca="1">+WORLDCUP!BD69</f>
        <v>Ghana</v>
      </c>
      <c r="J404" s="10" t="str">
        <f ca="1">+WORLDCUP!BD66</f>
        <v>Noruega</v>
      </c>
      <c r="N404" s="19" t="s">
        <v>861</v>
      </c>
      <c r="O404" s="19">
        <v>403</v>
      </c>
      <c r="P404" s="19" t="s">
        <v>95</v>
      </c>
      <c r="Q404" s="19" t="s">
        <v>452</v>
      </c>
      <c r="R404" s="19" t="s">
        <v>92</v>
      </c>
      <c r="S404" s="19" t="s">
        <v>93</v>
      </c>
      <c r="T404" s="19" t="s">
        <v>91</v>
      </c>
      <c r="U404" s="19" t="s">
        <v>453</v>
      </c>
      <c r="V404" s="19" t="s">
        <v>460</v>
      </c>
      <c r="W404" s="19" t="s">
        <v>457</v>
      </c>
    </row>
    <row r="405" spans="1:23">
      <c r="A405" s="10" t="s">
        <v>860</v>
      </c>
      <c r="B405" s="10">
        <f ca="1">+IF(A405=WORLDCUP!$BI$112,1,0)</f>
        <v>0</v>
      </c>
      <c r="C405" s="10" t="str">
        <f ca="1">+WORLDCUP!BD62</f>
        <v>Curazao</v>
      </c>
      <c r="D405" s="10" t="str">
        <f ca="1">+WORLDCUP!BD64</f>
        <v>Egipto</v>
      </c>
      <c r="E405" s="10" t="str">
        <f ca="1">+WORLDCUP!BD59</f>
        <v>Catar</v>
      </c>
      <c r="F405" s="10" t="str">
        <f ca="1">+WORLDCUP!BD60</f>
        <v>Escocia</v>
      </c>
      <c r="G405" s="10" t="str">
        <f ca="1">+WORLDCUP!BD58</f>
        <v>PO D: DEN/MKD/CZE/IRL</v>
      </c>
      <c r="H405" s="10" t="str">
        <f ca="1">+WORLDCUP!BD65</f>
        <v>Arabia Saudita</v>
      </c>
      <c r="I405" s="10" t="str">
        <f ca="1">+WORLDCUP!BD66</f>
        <v>Noruega</v>
      </c>
      <c r="J405" s="10" t="str">
        <f ca="1">+WORLDCUP!BD68</f>
        <v>PO 1: COD/JAM/NCL</v>
      </c>
      <c r="N405" s="19" t="s">
        <v>860</v>
      </c>
      <c r="O405" s="19">
        <v>404</v>
      </c>
      <c r="P405" s="19" t="s">
        <v>95</v>
      </c>
      <c r="Q405" s="19" t="s">
        <v>452</v>
      </c>
      <c r="R405" s="19" t="s">
        <v>92</v>
      </c>
      <c r="S405" s="19" t="s">
        <v>93</v>
      </c>
      <c r="T405" s="19" t="s">
        <v>91</v>
      </c>
      <c r="U405" s="19" t="s">
        <v>453</v>
      </c>
      <c r="V405" s="19" t="s">
        <v>457</v>
      </c>
      <c r="W405" s="19" t="s">
        <v>459</v>
      </c>
    </row>
    <row r="406" spans="1:23">
      <c r="A406" s="10" t="s">
        <v>859</v>
      </c>
      <c r="B406" s="10">
        <f ca="1">+IF(A406=WORLDCUP!$BI$112,1,0)</f>
        <v>0</v>
      </c>
      <c r="C406" s="10" t="str">
        <f ca="1">+WORLDCUP!BD65</f>
        <v>Arabia Saudita</v>
      </c>
      <c r="D406" s="10" t="str">
        <f ca="1">+WORLDCUP!BD67</f>
        <v>Argelia</v>
      </c>
      <c r="E406" s="10" t="str">
        <f ca="1">+WORLDCUP!BD59</f>
        <v>Catar</v>
      </c>
      <c r="F406" s="10" t="str">
        <f ca="1">+WORLDCUP!BD60</f>
        <v>Escocia</v>
      </c>
      <c r="G406" s="10" t="str">
        <f ca="1">+WORLDCUP!BD58</f>
        <v>PO D: DEN/MKD/CZE/IRL</v>
      </c>
      <c r="H406" s="10" t="str">
        <f ca="1">+WORLDCUP!BD64</f>
        <v>Egipto</v>
      </c>
      <c r="I406" s="10" t="str">
        <f ca="1">+WORLDCUP!BD62</f>
        <v>Curazao</v>
      </c>
      <c r="J406" s="10" t="str">
        <f ca="1">+WORLDCUP!BD66</f>
        <v>Noruega</v>
      </c>
      <c r="N406" s="19" t="s">
        <v>859</v>
      </c>
      <c r="O406" s="19">
        <v>405</v>
      </c>
      <c r="P406" s="19" t="s">
        <v>453</v>
      </c>
      <c r="Q406" s="19" t="s">
        <v>458</v>
      </c>
      <c r="R406" s="19" t="s">
        <v>92</v>
      </c>
      <c r="S406" s="19" t="s">
        <v>93</v>
      </c>
      <c r="T406" s="19" t="s">
        <v>91</v>
      </c>
      <c r="U406" s="19" t="s">
        <v>452</v>
      </c>
      <c r="V406" s="19" t="s">
        <v>95</v>
      </c>
      <c r="W406" s="19" t="s">
        <v>457</v>
      </c>
    </row>
    <row r="407" spans="1:23">
      <c r="A407" s="10" t="s">
        <v>858</v>
      </c>
      <c r="B407" s="10">
        <f ca="1">+IF(A407=WORLDCUP!$BI$112,1,0)</f>
        <v>0</v>
      </c>
      <c r="C407" s="10" t="str">
        <f ca="1">+WORLDCUP!BD62</f>
        <v>Curazao</v>
      </c>
      <c r="D407" s="10" t="str">
        <f ca="1">+WORLDCUP!BD67</f>
        <v>Argelia</v>
      </c>
      <c r="E407" s="10" t="str">
        <f ca="1">+WORLDCUP!BD59</f>
        <v>Catar</v>
      </c>
      <c r="F407" s="10" t="str">
        <f ca="1">+WORLDCUP!BD60</f>
        <v>Escocia</v>
      </c>
      <c r="G407" s="10" t="str">
        <f ca="1">+WORLDCUP!BD58</f>
        <v>PO D: DEN/MKD/CZE/IRL</v>
      </c>
      <c r="H407" s="10" t="str">
        <f ca="1">+WORLDCUP!BD63</f>
        <v>Japón</v>
      </c>
      <c r="I407" s="10" t="str">
        <f ca="1">+WORLDCUP!BD69</f>
        <v>Ghana</v>
      </c>
      <c r="J407" s="10" t="str">
        <f ca="1">+WORLDCUP!BD68</f>
        <v>PO 1: COD/JAM/NCL</v>
      </c>
      <c r="N407" s="19" t="s">
        <v>858</v>
      </c>
      <c r="O407" s="19">
        <v>406</v>
      </c>
      <c r="P407" s="19" t="s">
        <v>95</v>
      </c>
      <c r="Q407" s="19" t="s">
        <v>458</v>
      </c>
      <c r="R407" s="19" t="s">
        <v>92</v>
      </c>
      <c r="S407" s="19" t="s">
        <v>93</v>
      </c>
      <c r="T407" s="19" t="s">
        <v>91</v>
      </c>
      <c r="U407" s="19" t="s">
        <v>96</v>
      </c>
      <c r="V407" s="19" t="s">
        <v>460</v>
      </c>
      <c r="W407" s="19" t="s">
        <v>459</v>
      </c>
    </row>
    <row r="408" spans="1:23">
      <c r="A408" s="10" t="s">
        <v>857</v>
      </c>
      <c r="B408" s="10">
        <f ca="1">+IF(A408=WORLDCUP!$BI$112,1,0)</f>
        <v>0</v>
      </c>
      <c r="C408" s="10" t="str">
        <f ca="1">+WORLDCUP!BD62</f>
        <v>Curazao</v>
      </c>
      <c r="D408" s="10" t="str">
        <f ca="1">+WORLDCUP!BD66</f>
        <v>Noruega</v>
      </c>
      <c r="E408" s="10" t="str">
        <f ca="1">+WORLDCUP!BD59</f>
        <v>Catar</v>
      </c>
      <c r="F408" s="10" t="str">
        <f ca="1">+WORLDCUP!BD60</f>
        <v>Escocia</v>
      </c>
      <c r="G408" s="10" t="str">
        <f ca="1">+WORLDCUP!BD58</f>
        <v>PO D: DEN/MKD/CZE/IRL</v>
      </c>
      <c r="H408" s="10" t="str">
        <f ca="1">+WORLDCUP!BD63</f>
        <v>Japón</v>
      </c>
      <c r="I408" s="10" t="str">
        <f ca="1">+WORLDCUP!BD69</f>
        <v>Ghana</v>
      </c>
      <c r="J408" s="10" t="str">
        <f ca="1">+WORLDCUP!BD68</f>
        <v>PO 1: COD/JAM/NCL</v>
      </c>
      <c r="N408" s="19" t="s">
        <v>857</v>
      </c>
      <c r="O408" s="19">
        <v>407</v>
      </c>
      <c r="P408" s="19" t="s">
        <v>95</v>
      </c>
      <c r="Q408" s="19" t="s">
        <v>457</v>
      </c>
      <c r="R408" s="19" t="s">
        <v>92</v>
      </c>
      <c r="S408" s="19" t="s">
        <v>93</v>
      </c>
      <c r="T408" s="19" t="s">
        <v>91</v>
      </c>
      <c r="U408" s="19" t="s">
        <v>96</v>
      </c>
      <c r="V408" s="19" t="s">
        <v>460</v>
      </c>
      <c r="W408" s="19" t="s">
        <v>459</v>
      </c>
    </row>
    <row r="409" spans="1:23">
      <c r="A409" s="10" t="s">
        <v>856</v>
      </c>
      <c r="B409" s="10">
        <f ca="1">+IF(A409=WORLDCUP!$BI$112,1,0)</f>
        <v>0</v>
      </c>
      <c r="C409" s="10" t="str">
        <f ca="1">+WORLDCUP!BD62</f>
        <v>Curazao</v>
      </c>
      <c r="D409" s="10" t="str">
        <f ca="1">+WORLDCUP!BD67</f>
        <v>Argelia</v>
      </c>
      <c r="E409" s="10" t="str">
        <f ca="1">+WORLDCUP!BD59</f>
        <v>Catar</v>
      </c>
      <c r="F409" s="10" t="str">
        <f ca="1">+WORLDCUP!BD60</f>
        <v>Escocia</v>
      </c>
      <c r="G409" s="10" t="str">
        <f ca="1">+WORLDCUP!BD58</f>
        <v>PO D: DEN/MKD/CZE/IRL</v>
      </c>
      <c r="H409" s="10" t="str">
        <f ca="1">+WORLDCUP!BD63</f>
        <v>Japón</v>
      </c>
      <c r="I409" s="10" t="str">
        <f ca="1">+WORLDCUP!BD69</f>
        <v>Ghana</v>
      </c>
      <c r="J409" s="10" t="str">
        <f ca="1">+WORLDCUP!BD66</f>
        <v>Noruega</v>
      </c>
      <c r="N409" s="19" t="s">
        <v>856</v>
      </c>
      <c r="O409" s="19">
        <v>408</v>
      </c>
      <c r="P409" s="19" t="s">
        <v>95</v>
      </c>
      <c r="Q409" s="19" t="s">
        <v>458</v>
      </c>
      <c r="R409" s="19" t="s">
        <v>92</v>
      </c>
      <c r="S409" s="19" t="s">
        <v>93</v>
      </c>
      <c r="T409" s="19" t="s">
        <v>91</v>
      </c>
      <c r="U409" s="19" t="s">
        <v>96</v>
      </c>
      <c r="V409" s="19" t="s">
        <v>460</v>
      </c>
      <c r="W409" s="19" t="s">
        <v>457</v>
      </c>
    </row>
    <row r="410" spans="1:23">
      <c r="A410" s="10" t="s">
        <v>855</v>
      </c>
      <c r="B410" s="10">
        <f ca="1">+IF(A410=WORLDCUP!$BI$112,1,0)</f>
        <v>0</v>
      </c>
      <c r="C410" s="10" t="str">
        <f ca="1">+WORLDCUP!BD62</f>
        <v>Curazao</v>
      </c>
      <c r="D410" s="10" t="str">
        <f ca="1">+WORLDCUP!BD67</f>
        <v>Argelia</v>
      </c>
      <c r="E410" s="10" t="str">
        <f ca="1">+WORLDCUP!BD59</f>
        <v>Catar</v>
      </c>
      <c r="F410" s="10" t="str">
        <f ca="1">+WORLDCUP!BD60</f>
        <v>Escocia</v>
      </c>
      <c r="G410" s="10" t="str">
        <f ca="1">+WORLDCUP!BD58</f>
        <v>PO D: DEN/MKD/CZE/IRL</v>
      </c>
      <c r="H410" s="10" t="str">
        <f ca="1">+WORLDCUP!BD63</f>
        <v>Japón</v>
      </c>
      <c r="I410" s="10" t="str">
        <f ca="1">+WORLDCUP!BD66</f>
        <v>Noruega</v>
      </c>
      <c r="J410" s="10" t="str">
        <f ca="1">+WORLDCUP!BD68</f>
        <v>PO 1: COD/JAM/NCL</v>
      </c>
      <c r="N410" s="19" t="s">
        <v>855</v>
      </c>
      <c r="O410" s="19">
        <v>409</v>
      </c>
      <c r="P410" s="19" t="s">
        <v>95</v>
      </c>
      <c r="Q410" s="19" t="s">
        <v>458</v>
      </c>
      <c r="R410" s="19" t="s">
        <v>92</v>
      </c>
      <c r="S410" s="19" t="s">
        <v>93</v>
      </c>
      <c r="T410" s="19" t="s">
        <v>91</v>
      </c>
      <c r="U410" s="19" t="s">
        <v>96</v>
      </c>
      <c r="V410" s="19" t="s">
        <v>457</v>
      </c>
      <c r="W410" s="19" t="s">
        <v>459</v>
      </c>
    </row>
    <row r="411" spans="1:23">
      <c r="A411" s="10" t="s">
        <v>854</v>
      </c>
      <c r="B411" s="10">
        <f ca="1">+IF(A411=WORLDCUP!$BI$112,1,0)</f>
        <v>0</v>
      </c>
      <c r="C411" s="10" t="str">
        <f ca="1">+WORLDCUP!BD65</f>
        <v>Arabia Saudita</v>
      </c>
      <c r="D411" s="10" t="str">
        <f ca="1">+WORLDCUP!BD62</f>
        <v>Curazao</v>
      </c>
      <c r="E411" s="10" t="str">
        <f ca="1">+WORLDCUP!BD59</f>
        <v>Catar</v>
      </c>
      <c r="F411" s="10" t="str">
        <f ca="1">+WORLDCUP!BD60</f>
        <v>Escocia</v>
      </c>
      <c r="G411" s="10" t="str">
        <f ca="1">+WORLDCUP!BD58</f>
        <v>PO D: DEN/MKD/CZE/IRL</v>
      </c>
      <c r="H411" s="10" t="str">
        <f ca="1">+WORLDCUP!BD63</f>
        <v>Japón</v>
      </c>
      <c r="I411" s="10" t="str">
        <f ca="1">+WORLDCUP!BD69</f>
        <v>Ghana</v>
      </c>
      <c r="J411" s="10" t="str">
        <f ca="1">+WORLDCUP!BD68</f>
        <v>PO 1: COD/JAM/NCL</v>
      </c>
      <c r="N411" s="19" t="s">
        <v>854</v>
      </c>
      <c r="O411" s="19">
        <v>410</v>
      </c>
      <c r="P411" s="19" t="s">
        <v>453</v>
      </c>
      <c r="Q411" s="19" t="s">
        <v>95</v>
      </c>
      <c r="R411" s="19" t="s">
        <v>92</v>
      </c>
      <c r="S411" s="19" t="s">
        <v>93</v>
      </c>
      <c r="T411" s="19" t="s">
        <v>91</v>
      </c>
      <c r="U411" s="19" t="s">
        <v>96</v>
      </c>
      <c r="V411" s="19" t="s">
        <v>460</v>
      </c>
      <c r="W411" s="19" t="s">
        <v>459</v>
      </c>
    </row>
    <row r="412" spans="1:23">
      <c r="A412" s="10" t="s">
        <v>853</v>
      </c>
      <c r="B412" s="10">
        <f ca="1">+IF(A412=WORLDCUP!$BI$112,1,0)</f>
        <v>0</v>
      </c>
      <c r="C412" s="10" t="str">
        <f ca="1">+WORLDCUP!BD65</f>
        <v>Arabia Saudita</v>
      </c>
      <c r="D412" s="10" t="str">
        <f ca="1">+WORLDCUP!BD67</f>
        <v>Argelia</v>
      </c>
      <c r="E412" s="10" t="str">
        <f ca="1">+WORLDCUP!BD59</f>
        <v>Catar</v>
      </c>
      <c r="F412" s="10" t="str">
        <f ca="1">+WORLDCUP!BD60</f>
        <v>Escocia</v>
      </c>
      <c r="G412" s="10" t="str">
        <f ca="1">+WORLDCUP!BD58</f>
        <v>PO D: DEN/MKD/CZE/IRL</v>
      </c>
      <c r="H412" s="10" t="str">
        <f ca="1">+WORLDCUP!BD63</f>
        <v>Japón</v>
      </c>
      <c r="I412" s="10" t="str">
        <f ca="1">+WORLDCUP!BD69</f>
        <v>Ghana</v>
      </c>
      <c r="J412" s="10" t="str">
        <f ca="1">+WORLDCUP!BD62</f>
        <v>Curazao</v>
      </c>
      <c r="N412" s="19" t="s">
        <v>853</v>
      </c>
      <c r="O412" s="19">
        <v>411</v>
      </c>
      <c r="P412" s="19" t="s">
        <v>453</v>
      </c>
      <c r="Q412" s="19" t="s">
        <v>458</v>
      </c>
      <c r="R412" s="19" t="s">
        <v>92</v>
      </c>
      <c r="S412" s="19" t="s">
        <v>93</v>
      </c>
      <c r="T412" s="19" t="s">
        <v>91</v>
      </c>
      <c r="U412" s="19" t="s">
        <v>96</v>
      </c>
      <c r="V412" s="19" t="s">
        <v>460</v>
      </c>
      <c r="W412" s="19" t="s">
        <v>95</v>
      </c>
    </row>
    <row r="413" spans="1:23">
      <c r="A413" s="10" t="s">
        <v>852</v>
      </c>
      <c r="B413" s="10">
        <f ca="1">+IF(A413=WORLDCUP!$BI$112,1,0)</f>
        <v>0</v>
      </c>
      <c r="C413" s="10" t="str">
        <f ca="1">+WORLDCUP!BD65</f>
        <v>Arabia Saudita</v>
      </c>
      <c r="D413" s="10" t="str">
        <f ca="1">+WORLDCUP!BD67</f>
        <v>Argelia</v>
      </c>
      <c r="E413" s="10" t="str">
        <f ca="1">+WORLDCUP!BD59</f>
        <v>Catar</v>
      </c>
      <c r="F413" s="10" t="str">
        <f ca="1">+WORLDCUP!BD60</f>
        <v>Escocia</v>
      </c>
      <c r="G413" s="10" t="str">
        <f ca="1">+WORLDCUP!BD58</f>
        <v>PO D: DEN/MKD/CZE/IRL</v>
      </c>
      <c r="H413" s="10" t="str">
        <f ca="1">+WORLDCUP!BD63</f>
        <v>Japón</v>
      </c>
      <c r="I413" s="10" t="str">
        <f ca="1">+WORLDCUP!BD62</f>
        <v>Curazao</v>
      </c>
      <c r="J413" s="10" t="str">
        <f ca="1">+WORLDCUP!BD68</f>
        <v>PO 1: COD/JAM/NCL</v>
      </c>
      <c r="N413" s="19" t="s">
        <v>852</v>
      </c>
      <c r="O413" s="19">
        <v>412</v>
      </c>
      <c r="P413" s="19" t="s">
        <v>453</v>
      </c>
      <c r="Q413" s="19" t="s">
        <v>458</v>
      </c>
      <c r="R413" s="19" t="s">
        <v>92</v>
      </c>
      <c r="S413" s="19" t="s">
        <v>93</v>
      </c>
      <c r="T413" s="19" t="s">
        <v>91</v>
      </c>
      <c r="U413" s="19" t="s">
        <v>96</v>
      </c>
      <c r="V413" s="19" t="s">
        <v>95</v>
      </c>
      <c r="W413" s="19" t="s">
        <v>459</v>
      </c>
    </row>
    <row r="414" spans="1:23">
      <c r="A414" s="10" t="s">
        <v>784</v>
      </c>
      <c r="B414" s="10">
        <f ca="1">+IF(A414=WORLDCUP!$BI$112,1,0)</f>
        <v>0</v>
      </c>
      <c r="C414" s="10" t="str">
        <f ca="1">+WORLDCUP!BD65</f>
        <v>Arabia Saudita</v>
      </c>
      <c r="D414" s="10" t="str">
        <f ca="1">+WORLDCUP!BD62</f>
        <v>Curazao</v>
      </c>
      <c r="E414" s="10" t="str">
        <f ca="1">+WORLDCUP!BD59</f>
        <v>Catar</v>
      </c>
      <c r="F414" s="10" t="str">
        <f ca="1">+WORLDCUP!BD60</f>
        <v>Escocia</v>
      </c>
      <c r="G414" s="10" t="str">
        <f ca="1">+WORLDCUP!BD58</f>
        <v>PO D: DEN/MKD/CZE/IRL</v>
      </c>
      <c r="H414" s="10" t="str">
        <f ca="1">+WORLDCUP!BD63</f>
        <v>Japón</v>
      </c>
      <c r="I414" s="10" t="str">
        <f ca="1">+WORLDCUP!BD69</f>
        <v>Ghana</v>
      </c>
      <c r="J414" s="10" t="str">
        <f ca="1">+WORLDCUP!BD66</f>
        <v>Noruega</v>
      </c>
      <c r="N414" s="19" t="s">
        <v>784</v>
      </c>
      <c r="O414" s="19">
        <v>413</v>
      </c>
      <c r="P414" s="19" t="s">
        <v>453</v>
      </c>
      <c r="Q414" s="19" t="s">
        <v>95</v>
      </c>
      <c r="R414" s="19" t="s">
        <v>92</v>
      </c>
      <c r="S414" s="19" t="s">
        <v>93</v>
      </c>
      <c r="T414" s="19" t="s">
        <v>91</v>
      </c>
      <c r="U414" s="19" t="s">
        <v>96</v>
      </c>
      <c r="V414" s="19" t="s">
        <v>460</v>
      </c>
      <c r="W414" s="19" t="s">
        <v>457</v>
      </c>
    </row>
    <row r="415" spans="1:23">
      <c r="A415" s="10" t="s">
        <v>851</v>
      </c>
      <c r="B415" s="10">
        <f ca="1">+IF(A415=WORLDCUP!$BI$112,1,0)</f>
        <v>0</v>
      </c>
      <c r="C415" s="10" t="str">
        <f ca="1">+WORLDCUP!BD65</f>
        <v>Arabia Saudita</v>
      </c>
      <c r="D415" s="10" t="str">
        <f ca="1">+WORLDCUP!BD62</f>
        <v>Curazao</v>
      </c>
      <c r="E415" s="10" t="str">
        <f ca="1">+WORLDCUP!BD59</f>
        <v>Catar</v>
      </c>
      <c r="F415" s="10" t="str">
        <f ca="1">+WORLDCUP!BD60</f>
        <v>Escocia</v>
      </c>
      <c r="G415" s="10" t="str">
        <f ca="1">+WORLDCUP!BD58</f>
        <v>PO D: DEN/MKD/CZE/IRL</v>
      </c>
      <c r="H415" s="10" t="str">
        <f ca="1">+WORLDCUP!BD63</f>
        <v>Japón</v>
      </c>
      <c r="I415" s="10" t="str">
        <f ca="1">+WORLDCUP!BD66</f>
        <v>Noruega</v>
      </c>
      <c r="J415" s="10" t="str">
        <f ca="1">+WORLDCUP!BD68</f>
        <v>PO 1: COD/JAM/NCL</v>
      </c>
      <c r="N415" s="19" t="s">
        <v>851</v>
      </c>
      <c r="O415" s="19">
        <v>414</v>
      </c>
      <c r="P415" s="19" t="s">
        <v>453</v>
      </c>
      <c r="Q415" s="19" t="s">
        <v>95</v>
      </c>
      <c r="R415" s="19" t="s">
        <v>92</v>
      </c>
      <c r="S415" s="19" t="s">
        <v>93</v>
      </c>
      <c r="T415" s="19" t="s">
        <v>91</v>
      </c>
      <c r="U415" s="19" t="s">
        <v>96</v>
      </c>
      <c r="V415" s="19" t="s">
        <v>457</v>
      </c>
      <c r="W415" s="19" t="s">
        <v>459</v>
      </c>
    </row>
    <row r="416" spans="1:23">
      <c r="A416" s="10" t="s">
        <v>850</v>
      </c>
      <c r="B416" s="10">
        <f ca="1">+IF(A416=WORLDCUP!$BI$112,1,0)</f>
        <v>0</v>
      </c>
      <c r="C416" s="10" t="str">
        <f ca="1">+WORLDCUP!BD65</f>
        <v>Arabia Saudita</v>
      </c>
      <c r="D416" s="10" t="str">
        <f ca="1">+WORLDCUP!BD67</f>
        <v>Argelia</v>
      </c>
      <c r="E416" s="10" t="str">
        <f ca="1">+WORLDCUP!BD59</f>
        <v>Catar</v>
      </c>
      <c r="F416" s="10" t="str">
        <f ca="1">+WORLDCUP!BD60</f>
        <v>Escocia</v>
      </c>
      <c r="G416" s="10" t="str">
        <f ca="1">+WORLDCUP!BD58</f>
        <v>PO D: DEN/MKD/CZE/IRL</v>
      </c>
      <c r="H416" s="10" t="str">
        <f ca="1">+WORLDCUP!BD63</f>
        <v>Japón</v>
      </c>
      <c r="I416" s="10" t="str">
        <f ca="1">+WORLDCUP!BD62</f>
        <v>Curazao</v>
      </c>
      <c r="J416" s="10" t="str">
        <f ca="1">+WORLDCUP!BD66</f>
        <v>Noruega</v>
      </c>
      <c r="N416" s="19" t="s">
        <v>850</v>
      </c>
      <c r="O416" s="19">
        <v>415</v>
      </c>
      <c r="P416" s="19" t="s">
        <v>453</v>
      </c>
      <c r="Q416" s="19" t="s">
        <v>458</v>
      </c>
      <c r="R416" s="19" t="s">
        <v>92</v>
      </c>
      <c r="S416" s="19" t="s">
        <v>93</v>
      </c>
      <c r="T416" s="19" t="s">
        <v>91</v>
      </c>
      <c r="U416" s="19" t="s">
        <v>96</v>
      </c>
      <c r="V416" s="19" t="s">
        <v>95</v>
      </c>
      <c r="W416" s="19" t="s">
        <v>457</v>
      </c>
    </row>
    <row r="417" spans="1:23">
      <c r="A417" s="10" t="s">
        <v>849</v>
      </c>
      <c r="B417" s="10">
        <f ca="1">+IF(A417=WORLDCUP!$BI$112,1,0)</f>
        <v>0</v>
      </c>
      <c r="C417" s="10" t="str">
        <f ca="1">+WORLDCUP!BD62</f>
        <v>Curazao</v>
      </c>
      <c r="D417" s="10" t="str">
        <f ca="1">+WORLDCUP!BD64</f>
        <v>Egipto</v>
      </c>
      <c r="E417" s="10" t="str">
        <f ca="1">+WORLDCUP!BD59</f>
        <v>Catar</v>
      </c>
      <c r="F417" s="10" t="str">
        <f ca="1">+WORLDCUP!BD60</f>
        <v>Escocia</v>
      </c>
      <c r="G417" s="10" t="str">
        <f ca="1">+WORLDCUP!BD58</f>
        <v>PO D: DEN/MKD/CZE/IRL</v>
      </c>
      <c r="H417" s="10" t="str">
        <f ca="1">+WORLDCUP!BD63</f>
        <v>Japón</v>
      </c>
      <c r="I417" s="10" t="str">
        <f ca="1">+WORLDCUP!BD69</f>
        <v>Ghana</v>
      </c>
      <c r="J417" s="10" t="str">
        <f ca="1">+WORLDCUP!BD68</f>
        <v>PO 1: COD/JAM/NCL</v>
      </c>
      <c r="N417" s="19" t="s">
        <v>849</v>
      </c>
      <c r="O417" s="19">
        <v>416</v>
      </c>
      <c r="P417" s="19" t="s">
        <v>95</v>
      </c>
      <c r="Q417" s="19" t="s">
        <v>452</v>
      </c>
      <c r="R417" s="19" t="s">
        <v>92</v>
      </c>
      <c r="S417" s="19" t="s">
        <v>93</v>
      </c>
      <c r="T417" s="19" t="s">
        <v>91</v>
      </c>
      <c r="U417" s="19" t="s">
        <v>96</v>
      </c>
      <c r="V417" s="19" t="s">
        <v>460</v>
      </c>
      <c r="W417" s="19" t="s">
        <v>459</v>
      </c>
    </row>
    <row r="418" spans="1:23">
      <c r="A418" s="10" t="s">
        <v>848</v>
      </c>
      <c r="B418" s="10">
        <f ca="1">+IF(A418=WORLDCUP!$BI$112,1,0)</f>
        <v>0</v>
      </c>
      <c r="C418" s="10" t="str">
        <f ca="1">+WORLDCUP!BD62</f>
        <v>Curazao</v>
      </c>
      <c r="D418" s="10" t="str">
        <f ca="1">+WORLDCUP!BD64</f>
        <v>Egipto</v>
      </c>
      <c r="E418" s="10" t="str">
        <f ca="1">+WORLDCUP!BD59</f>
        <v>Catar</v>
      </c>
      <c r="F418" s="10" t="str">
        <f ca="1">+WORLDCUP!BD60</f>
        <v>Escocia</v>
      </c>
      <c r="G418" s="10" t="str">
        <f ca="1">+WORLDCUP!BD58</f>
        <v>PO D: DEN/MKD/CZE/IRL</v>
      </c>
      <c r="H418" s="10" t="str">
        <f ca="1">+WORLDCUP!BD63</f>
        <v>Japón</v>
      </c>
      <c r="I418" s="10" t="str">
        <f ca="1">+WORLDCUP!BD69</f>
        <v>Ghana</v>
      </c>
      <c r="J418" s="10" t="str">
        <f ca="1">+WORLDCUP!BD67</f>
        <v>Argelia</v>
      </c>
      <c r="N418" s="19" t="s">
        <v>848</v>
      </c>
      <c r="O418" s="19">
        <v>417</v>
      </c>
      <c r="P418" s="19" t="s">
        <v>95</v>
      </c>
      <c r="Q418" s="19" t="s">
        <v>452</v>
      </c>
      <c r="R418" s="19" t="s">
        <v>92</v>
      </c>
      <c r="S418" s="19" t="s">
        <v>93</v>
      </c>
      <c r="T418" s="19" t="s">
        <v>91</v>
      </c>
      <c r="U418" s="19" t="s">
        <v>96</v>
      </c>
      <c r="V418" s="19" t="s">
        <v>460</v>
      </c>
      <c r="W418" s="19" t="s">
        <v>458</v>
      </c>
    </row>
    <row r="419" spans="1:23">
      <c r="A419" s="10" t="s">
        <v>847</v>
      </c>
      <c r="B419" s="10">
        <f ca="1">+IF(A419=WORLDCUP!$BI$112,1,0)</f>
        <v>0</v>
      </c>
      <c r="C419" s="10" t="str">
        <f ca="1">+WORLDCUP!BD62</f>
        <v>Curazao</v>
      </c>
      <c r="D419" s="10" t="str">
        <f ca="1">+WORLDCUP!BD64</f>
        <v>Egipto</v>
      </c>
      <c r="E419" s="10" t="str">
        <f ca="1">+WORLDCUP!BD59</f>
        <v>Catar</v>
      </c>
      <c r="F419" s="10" t="str">
        <f ca="1">+WORLDCUP!BD60</f>
        <v>Escocia</v>
      </c>
      <c r="G419" s="10" t="str">
        <f ca="1">+WORLDCUP!BD58</f>
        <v>PO D: DEN/MKD/CZE/IRL</v>
      </c>
      <c r="H419" s="10" t="str">
        <f ca="1">+WORLDCUP!BD63</f>
        <v>Japón</v>
      </c>
      <c r="I419" s="10" t="str">
        <f ca="1">+WORLDCUP!BD67</f>
        <v>Argelia</v>
      </c>
      <c r="J419" s="10" t="str">
        <f ca="1">+WORLDCUP!BD68</f>
        <v>PO 1: COD/JAM/NCL</v>
      </c>
      <c r="N419" s="19" t="s">
        <v>847</v>
      </c>
      <c r="O419" s="19">
        <v>418</v>
      </c>
      <c r="P419" s="19" t="s">
        <v>95</v>
      </c>
      <c r="Q419" s="19" t="s">
        <v>452</v>
      </c>
      <c r="R419" s="19" t="s">
        <v>92</v>
      </c>
      <c r="S419" s="19" t="s">
        <v>93</v>
      </c>
      <c r="T419" s="19" t="s">
        <v>91</v>
      </c>
      <c r="U419" s="19" t="s">
        <v>96</v>
      </c>
      <c r="V419" s="19" t="s">
        <v>458</v>
      </c>
      <c r="W419" s="19" t="s">
        <v>459</v>
      </c>
    </row>
    <row r="420" spans="1:23">
      <c r="A420" s="10" t="s">
        <v>846</v>
      </c>
      <c r="B420" s="10">
        <f ca="1">+IF(A420=WORLDCUP!$BI$112,1,0)</f>
        <v>0</v>
      </c>
      <c r="C420" s="10" t="str">
        <f ca="1">+WORLDCUP!BD62</f>
        <v>Curazao</v>
      </c>
      <c r="D420" s="10" t="str">
        <f ca="1">+WORLDCUP!BD64</f>
        <v>Egipto</v>
      </c>
      <c r="E420" s="10" t="str">
        <f ca="1">+WORLDCUP!BD59</f>
        <v>Catar</v>
      </c>
      <c r="F420" s="10" t="str">
        <f ca="1">+WORLDCUP!BD60</f>
        <v>Escocia</v>
      </c>
      <c r="G420" s="10" t="str">
        <f ca="1">+WORLDCUP!BD58</f>
        <v>PO D: DEN/MKD/CZE/IRL</v>
      </c>
      <c r="H420" s="10" t="str">
        <f ca="1">+WORLDCUP!BD63</f>
        <v>Japón</v>
      </c>
      <c r="I420" s="10" t="str">
        <f ca="1">+WORLDCUP!BD69</f>
        <v>Ghana</v>
      </c>
      <c r="J420" s="10" t="str">
        <f ca="1">+WORLDCUP!BD66</f>
        <v>Noruega</v>
      </c>
      <c r="N420" s="19" t="s">
        <v>846</v>
      </c>
      <c r="O420" s="19">
        <v>419</v>
      </c>
      <c r="P420" s="19" t="s">
        <v>95</v>
      </c>
      <c r="Q420" s="19" t="s">
        <v>452</v>
      </c>
      <c r="R420" s="19" t="s">
        <v>92</v>
      </c>
      <c r="S420" s="19" t="s">
        <v>93</v>
      </c>
      <c r="T420" s="19" t="s">
        <v>91</v>
      </c>
      <c r="U420" s="19" t="s">
        <v>96</v>
      </c>
      <c r="V420" s="19" t="s">
        <v>460</v>
      </c>
      <c r="W420" s="19" t="s">
        <v>457</v>
      </c>
    </row>
    <row r="421" spans="1:23">
      <c r="A421" s="10" t="s">
        <v>845</v>
      </c>
      <c r="B421" s="10">
        <f ca="1">+IF(A421=WORLDCUP!$BI$112,1,0)</f>
        <v>0</v>
      </c>
      <c r="C421" s="10" t="str">
        <f ca="1">+WORLDCUP!BD62</f>
        <v>Curazao</v>
      </c>
      <c r="D421" s="10" t="str">
        <f ca="1">+WORLDCUP!BD64</f>
        <v>Egipto</v>
      </c>
      <c r="E421" s="10" t="str">
        <f ca="1">+WORLDCUP!BD59</f>
        <v>Catar</v>
      </c>
      <c r="F421" s="10" t="str">
        <f ca="1">+WORLDCUP!BD60</f>
        <v>Escocia</v>
      </c>
      <c r="G421" s="10" t="str">
        <f ca="1">+WORLDCUP!BD58</f>
        <v>PO D: DEN/MKD/CZE/IRL</v>
      </c>
      <c r="H421" s="10" t="str">
        <f ca="1">+WORLDCUP!BD63</f>
        <v>Japón</v>
      </c>
      <c r="I421" s="10" t="str">
        <f ca="1">+WORLDCUP!BD66</f>
        <v>Noruega</v>
      </c>
      <c r="J421" s="10" t="str">
        <f ca="1">+WORLDCUP!BD68</f>
        <v>PO 1: COD/JAM/NCL</v>
      </c>
      <c r="N421" s="19" t="s">
        <v>845</v>
      </c>
      <c r="O421" s="19">
        <v>420</v>
      </c>
      <c r="P421" s="19" t="s">
        <v>95</v>
      </c>
      <c r="Q421" s="19" t="s">
        <v>452</v>
      </c>
      <c r="R421" s="19" t="s">
        <v>92</v>
      </c>
      <c r="S421" s="19" t="s">
        <v>93</v>
      </c>
      <c r="T421" s="19" t="s">
        <v>91</v>
      </c>
      <c r="U421" s="19" t="s">
        <v>96</v>
      </c>
      <c r="V421" s="19" t="s">
        <v>457</v>
      </c>
      <c r="W421" s="19" t="s">
        <v>459</v>
      </c>
    </row>
    <row r="422" spans="1:23">
      <c r="A422" s="10" t="s">
        <v>844</v>
      </c>
      <c r="B422" s="10">
        <f ca="1">+IF(A422=WORLDCUP!$BI$112,1,0)</f>
        <v>0</v>
      </c>
      <c r="C422" s="10" t="str">
        <f ca="1">+WORLDCUP!BD62</f>
        <v>Curazao</v>
      </c>
      <c r="D422" s="10" t="str">
        <f ca="1">+WORLDCUP!BD64</f>
        <v>Egipto</v>
      </c>
      <c r="E422" s="10" t="str">
        <f ca="1">+WORLDCUP!BD59</f>
        <v>Catar</v>
      </c>
      <c r="F422" s="10" t="str">
        <f ca="1">+WORLDCUP!BD60</f>
        <v>Escocia</v>
      </c>
      <c r="G422" s="10" t="str">
        <f ca="1">+WORLDCUP!BD58</f>
        <v>PO D: DEN/MKD/CZE/IRL</v>
      </c>
      <c r="H422" s="10" t="str">
        <f ca="1">+WORLDCUP!BD63</f>
        <v>Japón</v>
      </c>
      <c r="I422" s="10" t="str">
        <f ca="1">+WORLDCUP!BD66</f>
        <v>Noruega</v>
      </c>
      <c r="J422" s="10" t="str">
        <f ca="1">+WORLDCUP!BD67</f>
        <v>Argelia</v>
      </c>
      <c r="N422" s="19" t="s">
        <v>844</v>
      </c>
      <c r="O422" s="19">
        <v>421</v>
      </c>
      <c r="P422" s="19" t="s">
        <v>95</v>
      </c>
      <c r="Q422" s="19" t="s">
        <v>452</v>
      </c>
      <c r="R422" s="19" t="s">
        <v>92</v>
      </c>
      <c r="S422" s="19" t="s">
        <v>93</v>
      </c>
      <c r="T422" s="19" t="s">
        <v>91</v>
      </c>
      <c r="U422" s="19" t="s">
        <v>96</v>
      </c>
      <c r="V422" s="19" t="s">
        <v>457</v>
      </c>
      <c r="W422" s="19" t="s">
        <v>458</v>
      </c>
    </row>
    <row r="423" spans="1:23">
      <c r="A423" s="10" t="s">
        <v>843</v>
      </c>
      <c r="B423" s="10">
        <f ca="1">+IF(A423=WORLDCUP!$BI$112,1,0)</f>
        <v>0</v>
      </c>
      <c r="C423" s="10" t="str">
        <f ca="1">+WORLDCUP!BD65</f>
        <v>Arabia Saudita</v>
      </c>
      <c r="D423" s="10" t="str">
        <f ca="1">+WORLDCUP!BD64</f>
        <v>Egipto</v>
      </c>
      <c r="E423" s="10" t="str">
        <f ca="1">+WORLDCUP!BD59</f>
        <v>Catar</v>
      </c>
      <c r="F423" s="10" t="str">
        <f ca="1">+WORLDCUP!BD60</f>
        <v>Escocia</v>
      </c>
      <c r="G423" s="10" t="str">
        <f ca="1">+WORLDCUP!BD58</f>
        <v>PO D: DEN/MKD/CZE/IRL</v>
      </c>
      <c r="H423" s="10" t="str">
        <f ca="1">+WORLDCUP!BD63</f>
        <v>Japón</v>
      </c>
      <c r="I423" s="10" t="str">
        <f ca="1">+WORLDCUP!BD69</f>
        <v>Ghana</v>
      </c>
      <c r="J423" s="10" t="str">
        <f ca="1">+WORLDCUP!BD62</f>
        <v>Curazao</v>
      </c>
      <c r="N423" s="19" t="s">
        <v>843</v>
      </c>
      <c r="O423" s="19">
        <v>422</v>
      </c>
      <c r="P423" s="19" t="s">
        <v>453</v>
      </c>
      <c r="Q423" s="19" t="s">
        <v>452</v>
      </c>
      <c r="R423" s="19" t="s">
        <v>92</v>
      </c>
      <c r="S423" s="19" t="s">
        <v>93</v>
      </c>
      <c r="T423" s="19" t="s">
        <v>91</v>
      </c>
      <c r="U423" s="19" t="s">
        <v>96</v>
      </c>
      <c r="V423" s="19" t="s">
        <v>460</v>
      </c>
      <c r="W423" s="19" t="s">
        <v>95</v>
      </c>
    </row>
    <row r="424" spans="1:23">
      <c r="A424" s="10" t="s">
        <v>842</v>
      </c>
      <c r="B424" s="10">
        <f ca="1">+IF(A424=WORLDCUP!$BI$112,1,0)</f>
        <v>0</v>
      </c>
      <c r="C424" s="10" t="str">
        <f ca="1">+WORLDCUP!BD65</f>
        <v>Arabia Saudita</v>
      </c>
      <c r="D424" s="10" t="str">
        <f ca="1">+WORLDCUP!BD64</f>
        <v>Egipto</v>
      </c>
      <c r="E424" s="10" t="str">
        <f ca="1">+WORLDCUP!BD59</f>
        <v>Catar</v>
      </c>
      <c r="F424" s="10" t="str">
        <f ca="1">+WORLDCUP!BD60</f>
        <v>Escocia</v>
      </c>
      <c r="G424" s="10" t="str">
        <f ca="1">+WORLDCUP!BD58</f>
        <v>PO D: DEN/MKD/CZE/IRL</v>
      </c>
      <c r="H424" s="10" t="str">
        <f ca="1">+WORLDCUP!BD63</f>
        <v>Japón</v>
      </c>
      <c r="I424" s="10" t="str">
        <f ca="1">+WORLDCUP!BD62</f>
        <v>Curazao</v>
      </c>
      <c r="J424" s="10" t="str">
        <f ca="1">+WORLDCUP!BD68</f>
        <v>PO 1: COD/JAM/NCL</v>
      </c>
      <c r="N424" s="19" t="s">
        <v>842</v>
      </c>
      <c r="O424" s="19">
        <v>423</v>
      </c>
      <c r="P424" s="19" t="s">
        <v>453</v>
      </c>
      <c r="Q424" s="19" t="s">
        <v>452</v>
      </c>
      <c r="R424" s="19" t="s">
        <v>92</v>
      </c>
      <c r="S424" s="19" t="s">
        <v>93</v>
      </c>
      <c r="T424" s="19" t="s">
        <v>91</v>
      </c>
      <c r="U424" s="19" t="s">
        <v>96</v>
      </c>
      <c r="V424" s="19" t="s">
        <v>95</v>
      </c>
      <c r="W424" s="19" t="s">
        <v>459</v>
      </c>
    </row>
    <row r="425" spans="1:23">
      <c r="A425" s="10" t="s">
        <v>841</v>
      </c>
      <c r="B425" s="10">
        <f ca="1">+IF(A425=WORLDCUP!$BI$112,1,0)</f>
        <v>0</v>
      </c>
      <c r="C425" s="10" t="str">
        <f ca="1">+WORLDCUP!BD65</f>
        <v>Arabia Saudita</v>
      </c>
      <c r="D425" s="10" t="str">
        <f ca="1">+WORLDCUP!BD64</f>
        <v>Egipto</v>
      </c>
      <c r="E425" s="10" t="str">
        <f ca="1">+WORLDCUP!BD59</f>
        <v>Catar</v>
      </c>
      <c r="F425" s="10" t="str">
        <f ca="1">+WORLDCUP!BD60</f>
        <v>Escocia</v>
      </c>
      <c r="G425" s="10" t="str">
        <f ca="1">+WORLDCUP!BD58</f>
        <v>PO D: DEN/MKD/CZE/IRL</v>
      </c>
      <c r="H425" s="10" t="str">
        <f ca="1">+WORLDCUP!BD63</f>
        <v>Japón</v>
      </c>
      <c r="I425" s="10" t="str">
        <f ca="1">+WORLDCUP!BD62</f>
        <v>Curazao</v>
      </c>
      <c r="J425" s="10" t="str">
        <f ca="1">+WORLDCUP!BD67</f>
        <v>Argelia</v>
      </c>
      <c r="N425" s="19" t="s">
        <v>841</v>
      </c>
      <c r="O425" s="19">
        <v>424</v>
      </c>
      <c r="P425" s="19" t="s">
        <v>453</v>
      </c>
      <c r="Q425" s="19" t="s">
        <v>452</v>
      </c>
      <c r="R425" s="19" t="s">
        <v>92</v>
      </c>
      <c r="S425" s="19" t="s">
        <v>93</v>
      </c>
      <c r="T425" s="19" t="s">
        <v>91</v>
      </c>
      <c r="U425" s="19" t="s">
        <v>96</v>
      </c>
      <c r="V425" s="19" t="s">
        <v>95</v>
      </c>
      <c r="W425" s="19" t="s">
        <v>458</v>
      </c>
    </row>
    <row r="426" spans="1:23">
      <c r="A426" s="10" t="s">
        <v>840</v>
      </c>
      <c r="B426" s="10">
        <f ca="1">+IF(A426=WORLDCUP!$BI$112,1,0)</f>
        <v>0</v>
      </c>
      <c r="C426" s="10" t="str">
        <f ca="1">+WORLDCUP!BD65</f>
        <v>Arabia Saudita</v>
      </c>
      <c r="D426" s="10" t="str">
        <f ca="1">+WORLDCUP!BD64</f>
        <v>Egipto</v>
      </c>
      <c r="E426" s="10" t="str">
        <f ca="1">+WORLDCUP!BD59</f>
        <v>Catar</v>
      </c>
      <c r="F426" s="10" t="str">
        <f ca="1">+WORLDCUP!BD60</f>
        <v>Escocia</v>
      </c>
      <c r="G426" s="10" t="str">
        <f ca="1">+WORLDCUP!BD58</f>
        <v>PO D: DEN/MKD/CZE/IRL</v>
      </c>
      <c r="H426" s="10" t="str">
        <f ca="1">+WORLDCUP!BD63</f>
        <v>Japón</v>
      </c>
      <c r="I426" s="10" t="str">
        <f ca="1">+WORLDCUP!BD62</f>
        <v>Curazao</v>
      </c>
      <c r="J426" s="10" t="str">
        <f ca="1">+WORLDCUP!BD66</f>
        <v>Noruega</v>
      </c>
      <c r="N426" s="19" t="s">
        <v>840</v>
      </c>
      <c r="O426" s="19">
        <v>425</v>
      </c>
      <c r="P426" s="19" t="s">
        <v>453</v>
      </c>
      <c r="Q426" s="19" t="s">
        <v>452</v>
      </c>
      <c r="R426" s="19" t="s">
        <v>92</v>
      </c>
      <c r="S426" s="19" t="s">
        <v>93</v>
      </c>
      <c r="T426" s="19" t="s">
        <v>91</v>
      </c>
      <c r="U426" s="19" t="s">
        <v>96</v>
      </c>
      <c r="V426" s="19" t="s">
        <v>95</v>
      </c>
      <c r="W426" s="19" t="s">
        <v>457</v>
      </c>
    </row>
    <row r="427" spans="1:23">
      <c r="A427" s="10" t="s">
        <v>839</v>
      </c>
      <c r="B427" s="10">
        <f ca="1">+IF(A427=WORLDCUP!$BI$112,1,0)</f>
        <v>0</v>
      </c>
      <c r="C427" s="10" t="str">
        <f ca="1">+WORLDCUP!BD66</f>
        <v>Noruega</v>
      </c>
      <c r="D427" s="10" t="str">
        <f ca="1">+WORLDCUP!BD67</f>
        <v>Argelia</v>
      </c>
      <c r="E427" s="10" t="str">
        <f ca="1">+WORLDCUP!BD59</f>
        <v>Catar</v>
      </c>
      <c r="F427" s="10" t="str">
        <f ca="1">+WORLDCUP!BD60</f>
        <v>Escocia</v>
      </c>
      <c r="G427" s="10" t="str">
        <f ca="1">+WORLDCUP!BD58</f>
        <v>PO D: DEN/MKD/CZE/IRL</v>
      </c>
      <c r="H427" s="10" t="str">
        <f ca="1">+WORLDCUP!BD61</f>
        <v>Australia</v>
      </c>
      <c r="I427" s="10" t="str">
        <f ca="1">+WORLDCUP!BD69</f>
        <v>Ghana</v>
      </c>
      <c r="J427" s="10" t="str">
        <f ca="1">+WORLDCUP!BD68</f>
        <v>PO 1: COD/JAM/NCL</v>
      </c>
      <c r="N427" s="19" t="s">
        <v>839</v>
      </c>
      <c r="O427" s="19">
        <v>426</v>
      </c>
      <c r="P427" s="19" t="s">
        <v>457</v>
      </c>
      <c r="Q427" s="19" t="s">
        <v>458</v>
      </c>
      <c r="R427" s="19" t="s">
        <v>92</v>
      </c>
      <c r="S427" s="19" t="s">
        <v>93</v>
      </c>
      <c r="T427" s="19" t="s">
        <v>91</v>
      </c>
      <c r="U427" s="19" t="s">
        <v>94</v>
      </c>
      <c r="V427" s="19" t="s">
        <v>460</v>
      </c>
      <c r="W427" s="19" t="s">
        <v>459</v>
      </c>
    </row>
    <row r="428" spans="1:23">
      <c r="A428" s="10" t="s">
        <v>838</v>
      </c>
      <c r="B428" s="10">
        <f ca="1">+IF(A428=WORLDCUP!$BI$112,1,0)</f>
        <v>0</v>
      </c>
      <c r="C428" s="10" t="str">
        <f ca="1">+WORLDCUP!BD65</f>
        <v>Arabia Saudita</v>
      </c>
      <c r="D428" s="10" t="str">
        <f ca="1">+WORLDCUP!BD67</f>
        <v>Argelia</v>
      </c>
      <c r="E428" s="10" t="str">
        <f ca="1">+WORLDCUP!BD59</f>
        <v>Catar</v>
      </c>
      <c r="F428" s="10" t="str">
        <f ca="1">+WORLDCUP!BD60</f>
        <v>Escocia</v>
      </c>
      <c r="G428" s="10" t="str">
        <f ca="1">+WORLDCUP!BD58</f>
        <v>PO D: DEN/MKD/CZE/IRL</v>
      </c>
      <c r="H428" s="10" t="str">
        <f ca="1">+WORLDCUP!BD61</f>
        <v>Australia</v>
      </c>
      <c r="I428" s="10" t="str">
        <f ca="1">+WORLDCUP!BD69</f>
        <v>Ghana</v>
      </c>
      <c r="J428" s="10" t="str">
        <f ca="1">+WORLDCUP!BD68</f>
        <v>PO 1: COD/JAM/NCL</v>
      </c>
      <c r="N428" s="19" t="s">
        <v>838</v>
      </c>
      <c r="O428" s="19">
        <v>427</v>
      </c>
      <c r="P428" s="19" t="s">
        <v>453</v>
      </c>
      <c r="Q428" s="19" t="s">
        <v>458</v>
      </c>
      <c r="R428" s="19" t="s">
        <v>92</v>
      </c>
      <c r="S428" s="19" t="s">
        <v>93</v>
      </c>
      <c r="T428" s="19" t="s">
        <v>91</v>
      </c>
      <c r="U428" s="19" t="s">
        <v>94</v>
      </c>
      <c r="V428" s="19" t="s">
        <v>460</v>
      </c>
      <c r="W428" s="19" t="s">
        <v>459</v>
      </c>
    </row>
    <row r="429" spans="1:23">
      <c r="A429" s="10" t="s">
        <v>837</v>
      </c>
      <c r="B429" s="10">
        <f ca="1">+IF(A429=WORLDCUP!$BI$112,1,0)</f>
        <v>0</v>
      </c>
      <c r="C429" s="10" t="str">
        <f ca="1">+WORLDCUP!BD65</f>
        <v>Arabia Saudita</v>
      </c>
      <c r="D429" s="10" t="str">
        <f ca="1">+WORLDCUP!BD66</f>
        <v>Noruega</v>
      </c>
      <c r="E429" s="10" t="str">
        <f ca="1">+WORLDCUP!BD59</f>
        <v>Catar</v>
      </c>
      <c r="F429" s="10" t="str">
        <f ca="1">+WORLDCUP!BD60</f>
        <v>Escocia</v>
      </c>
      <c r="G429" s="10" t="str">
        <f ca="1">+WORLDCUP!BD58</f>
        <v>PO D: DEN/MKD/CZE/IRL</v>
      </c>
      <c r="H429" s="10" t="str">
        <f ca="1">+WORLDCUP!BD61</f>
        <v>Australia</v>
      </c>
      <c r="I429" s="10" t="str">
        <f ca="1">+WORLDCUP!BD69</f>
        <v>Ghana</v>
      </c>
      <c r="J429" s="10" t="str">
        <f ca="1">+WORLDCUP!BD68</f>
        <v>PO 1: COD/JAM/NCL</v>
      </c>
      <c r="N429" s="19" t="s">
        <v>837</v>
      </c>
      <c r="O429" s="19">
        <v>428</v>
      </c>
      <c r="P429" s="19" t="s">
        <v>453</v>
      </c>
      <c r="Q429" s="19" t="s">
        <v>457</v>
      </c>
      <c r="R429" s="19" t="s">
        <v>92</v>
      </c>
      <c r="S429" s="19" t="s">
        <v>93</v>
      </c>
      <c r="T429" s="19" t="s">
        <v>91</v>
      </c>
      <c r="U429" s="19" t="s">
        <v>94</v>
      </c>
      <c r="V429" s="19" t="s">
        <v>460</v>
      </c>
      <c r="W429" s="19" t="s">
        <v>459</v>
      </c>
    </row>
    <row r="430" spans="1:23">
      <c r="A430" s="10" t="s">
        <v>836</v>
      </c>
      <c r="B430" s="10">
        <f ca="1">+IF(A430=WORLDCUP!$BI$112,1,0)</f>
        <v>0</v>
      </c>
      <c r="C430" s="10" t="str">
        <f ca="1">+WORLDCUP!BD65</f>
        <v>Arabia Saudita</v>
      </c>
      <c r="D430" s="10" t="str">
        <f ca="1">+WORLDCUP!BD67</f>
        <v>Argelia</v>
      </c>
      <c r="E430" s="10" t="str">
        <f ca="1">+WORLDCUP!BD59</f>
        <v>Catar</v>
      </c>
      <c r="F430" s="10" t="str">
        <f ca="1">+WORLDCUP!BD60</f>
        <v>Escocia</v>
      </c>
      <c r="G430" s="10" t="str">
        <f ca="1">+WORLDCUP!BD58</f>
        <v>PO D: DEN/MKD/CZE/IRL</v>
      </c>
      <c r="H430" s="10" t="str">
        <f ca="1">+WORLDCUP!BD61</f>
        <v>Australia</v>
      </c>
      <c r="I430" s="10" t="str">
        <f ca="1">+WORLDCUP!BD69</f>
        <v>Ghana</v>
      </c>
      <c r="J430" s="10" t="str">
        <f ca="1">+WORLDCUP!BD66</f>
        <v>Noruega</v>
      </c>
      <c r="N430" s="19" t="s">
        <v>836</v>
      </c>
      <c r="O430" s="19">
        <v>429</v>
      </c>
      <c r="P430" s="19" t="s">
        <v>453</v>
      </c>
      <c r="Q430" s="19" t="s">
        <v>458</v>
      </c>
      <c r="R430" s="19" t="s">
        <v>92</v>
      </c>
      <c r="S430" s="19" t="s">
        <v>93</v>
      </c>
      <c r="T430" s="19" t="s">
        <v>91</v>
      </c>
      <c r="U430" s="19" t="s">
        <v>94</v>
      </c>
      <c r="V430" s="19" t="s">
        <v>460</v>
      </c>
      <c r="W430" s="19" t="s">
        <v>457</v>
      </c>
    </row>
    <row r="431" spans="1:23">
      <c r="A431" s="10" t="s">
        <v>835</v>
      </c>
      <c r="B431" s="10">
        <f ca="1">+IF(A431=WORLDCUP!$BI$112,1,0)</f>
        <v>0</v>
      </c>
      <c r="C431" s="10" t="str">
        <f ca="1">+WORLDCUP!BD65</f>
        <v>Arabia Saudita</v>
      </c>
      <c r="D431" s="10" t="str">
        <f ca="1">+WORLDCUP!BD67</f>
        <v>Argelia</v>
      </c>
      <c r="E431" s="10" t="str">
        <f ca="1">+WORLDCUP!BD59</f>
        <v>Catar</v>
      </c>
      <c r="F431" s="10" t="str">
        <f ca="1">+WORLDCUP!BD60</f>
        <v>Escocia</v>
      </c>
      <c r="G431" s="10" t="str">
        <f ca="1">+WORLDCUP!BD58</f>
        <v>PO D: DEN/MKD/CZE/IRL</v>
      </c>
      <c r="H431" s="10" t="str">
        <f ca="1">+WORLDCUP!BD61</f>
        <v>Australia</v>
      </c>
      <c r="I431" s="10" t="str">
        <f ca="1">+WORLDCUP!BD66</f>
        <v>Noruega</v>
      </c>
      <c r="J431" s="10" t="str">
        <f ca="1">+WORLDCUP!BD68</f>
        <v>PO 1: COD/JAM/NCL</v>
      </c>
      <c r="N431" s="19" t="s">
        <v>835</v>
      </c>
      <c r="O431" s="19">
        <v>430</v>
      </c>
      <c r="P431" s="19" t="s">
        <v>453</v>
      </c>
      <c r="Q431" s="19" t="s">
        <v>458</v>
      </c>
      <c r="R431" s="19" t="s">
        <v>92</v>
      </c>
      <c r="S431" s="19" t="s">
        <v>93</v>
      </c>
      <c r="T431" s="19" t="s">
        <v>91</v>
      </c>
      <c r="U431" s="19" t="s">
        <v>94</v>
      </c>
      <c r="V431" s="19" t="s">
        <v>457</v>
      </c>
      <c r="W431" s="19" t="s">
        <v>459</v>
      </c>
    </row>
    <row r="432" spans="1:23">
      <c r="A432" s="10" t="s">
        <v>834</v>
      </c>
      <c r="B432" s="10">
        <f ca="1">+IF(A432=WORLDCUP!$BI$112,1,0)</f>
        <v>0</v>
      </c>
      <c r="C432" s="10" t="str">
        <f ca="1">+WORLDCUP!BD60</f>
        <v>Escocia</v>
      </c>
      <c r="D432" s="10" t="str">
        <f ca="1">+WORLDCUP!BD67</f>
        <v>Argelia</v>
      </c>
      <c r="E432" s="10" t="str">
        <f ca="1">+WORLDCUP!BD59</f>
        <v>Catar</v>
      </c>
      <c r="F432" s="10" t="str">
        <f ca="1">+WORLDCUP!BD61</f>
        <v>Australia</v>
      </c>
      <c r="G432" s="10" t="str">
        <f ca="1">+WORLDCUP!BD58</f>
        <v>PO D: DEN/MKD/CZE/IRL</v>
      </c>
      <c r="H432" s="10" t="str">
        <f ca="1">+WORLDCUP!BD64</f>
        <v>Egipto</v>
      </c>
      <c r="I432" s="10" t="str">
        <f ca="1">+WORLDCUP!BD69</f>
        <v>Ghana</v>
      </c>
      <c r="J432" s="10" t="str">
        <f ca="1">+WORLDCUP!BD68</f>
        <v>PO 1: COD/JAM/NCL</v>
      </c>
      <c r="N432" s="19" t="s">
        <v>834</v>
      </c>
      <c r="O432" s="19">
        <v>431</v>
      </c>
      <c r="P432" s="19" t="s">
        <v>93</v>
      </c>
      <c r="Q432" s="19" t="s">
        <v>458</v>
      </c>
      <c r="R432" s="19" t="s">
        <v>92</v>
      </c>
      <c r="S432" s="19" t="s">
        <v>94</v>
      </c>
      <c r="T432" s="19" t="s">
        <v>91</v>
      </c>
      <c r="U432" s="19" t="s">
        <v>452</v>
      </c>
      <c r="V432" s="19" t="s">
        <v>460</v>
      </c>
      <c r="W432" s="19" t="s">
        <v>459</v>
      </c>
    </row>
    <row r="433" spans="1:23">
      <c r="A433" s="10" t="s">
        <v>833</v>
      </c>
      <c r="B433" s="10">
        <f ca="1">+IF(A433=WORLDCUP!$BI$112,1,0)</f>
        <v>0</v>
      </c>
      <c r="C433" s="10" t="str">
        <f ca="1">+WORLDCUP!BD66</f>
        <v>Noruega</v>
      </c>
      <c r="D433" s="10" t="str">
        <f ca="1">+WORLDCUP!BD64</f>
        <v>Egipto</v>
      </c>
      <c r="E433" s="10" t="str">
        <f ca="1">+WORLDCUP!BD59</f>
        <v>Catar</v>
      </c>
      <c r="F433" s="10" t="str">
        <f ca="1">+WORLDCUP!BD60</f>
        <v>Escocia</v>
      </c>
      <c r="G433" s="10" t="str">
        <f ca="1">+WORLDCUP!BD58</f>
        <v>PO D: DEN/MKD/CZE/IRL</v>
      </c>
      <c r="H433" s="10" t="str">
        <f ca="1">+WORLDCUP!BD61</f>
        <v>Australia</v>
      </c>
      <c r="I433" s="10" t="str">
        <f ca="1">+WORLDCUP!BD69</f>
        <v>Ghana</v>
      </c>
      <c r="J433" s="10" t="str">
        <f ca="1">+WORLDCUP!BD68</f>
        <v>PO 1: COD/JAM/NCL</v>
      </c>
      <c r="N433" s="19" t="s">
        <v>833</v>
      </c>
      <c r="O433" s="19">
        <v>432</v>
      </c>
      <c r="P433" s="19" t="s">
        <v>457</v>
      </c>
      <c r="Q433" s="19" t="s">
        <v>452</v>
      </c>
      <c r="R433" s="19" t="s">
        <v>92</v>
      </c>
      <c r="S433" s="19" t="s">
        <v>93</v>
      </c>
      <c r="T433" s="19" t="s">
        <v>91</v>
      </c>
      <c r="U433" s="19" t="s">
        <v>94</v>
      </c>
      <c r="V433" s="19" t="s">
        <v>460</v>
      </c>
      <c r="W433" s="19" t="s">
        <v>459</v>
      </c>
    </row>
    <row r="434" spans="1:23">
      <c r="A434" s="10" t="s">
        <v>832</v>
      </c>
      <c r="B434" s="10">
        <f ca="1">+IF(A434=WORLDCUP!$BI$112,1,0)</f>
        <v>0</v>
      </c>
      <c r="C434" s="10" t="str">
        <f ca="1">+WORLDCUP!BD60</f>
        <v>Escocia</v>
      </c>
      <c r="D434" s="10" t="str">
        <f ca="1">+WORLDCUP!BD67</f>
        <v>Argelia</v>
      </c>
      <c r="E434" s="10" t="str">
        <f ca="1">+WORLDCUP!BD59</f>
        <v>Catar</v>
      </c>
      <c r="F434" s="10" t="str">
        <f ca="1">+WORLDCUP!BD61</f>
        <v>Australia</v>
      </c>
      <c r="G434" s="10" t="str">
        <f ca="1">+WORLDCUP!BD58</f>
        <v>PO D: DEN/MKD/CZE/IRL</v>
      </c>
      <c r="H434" s="10" t="str">
        <f ca="1">+WORLDCUP!BD64</f>
        <v>Egipto</v>
      </c>
      <c r="I434" s="10" t="str">
        <f ca="1">+WORLDCUP!BD69</f>
        <v>Ghana</v>
      </c>
      <c r="J434" s="10" t="str">
        <f ca="1">+WORLDCUP!BD66</f>
        <v>Noruega</v>
      </c>
      <c r="N434" s="19" t="s">
        <v>832</v>
      </c>
      <c r="O434" s="19">
        <v>433</v>
      </c>
      <c r="P434" s="19" t="s">
        <v>93</v>
      </c>
      <c r="Q434" s="19" t="s">
        <v>458</v>
      </c>
      <c r="R434" s="19" t="s">
        <v>92</v>
      </c>
      <c r="S434" s="19" t="s">
        <v>94</v>
      </c>
      <c r="T434" s="19" t="s">
        <v>91</v>
      </c>
      <c r="U434" s="19" t="s">
        <v>452</v>
      </c>
      <c r="V434" s="19" t="s">
        <v>460</v>
      </c>
      <c r="W434" s="19" t="s">
        <v>457</v>
      </c>
    </row>
    <row r="435" spans="1:23">
      <c r="A435" s="10" t="s">
        <v>831</v>
      </c>
      <c r="B435" s="10">
        <f ca="1">+IF(A435=WORLDCUP!$BI$112,1,0)</f>
        <v>0</v>
      </c>
      <c r="C435" s="10" t="str">
        <f ca="1">+WORLDCUP!BD60</f>
        <v>Escocia</v>
      </c>
      <c r="D435" s="10" t="str">
        <f ca="1">+WORLDCUP!BD67</f>
        <v>Argelia</v>
      </c>
      <c r="E435" s="10" t="str">
        <f ca="1">+WORLDCUP!BD59</f>
        <v>Catar</v>
      </c>
      <c r="F435" s="10" t="str">
        <f ca="1">+WORLDCUP!BD61</f>
        <v>Australia</v>
      </c>
      <c r="G435" s="10" t="str">
        <f ca="1">+WORLDCUP!BD58</f>
        <v>PO D: DEN/MKD/CZE/IRL</v>
      </c>
      <c r="H435" s="10" t="str">
        <f ca="1">+WORLDCUP!BD64</f>
        <v>Egipto</v>
      </c>
      <c r="I435" s="10" t="str">
        <f ca="1">+WORLDCUP!BD66</f>
        <v>Noruega</v>
      </c>
      <c r="J435" s="10" t="str">
        <f ca="1">+WORLDCUP!BD68</f>
        <v>PO 1: COD/JAM/NCL</v>
      </c>
      <c r="N435" s="19" t="s">
        <v>831</v>
      </c>
      <c r="O435" s="19">
        <v>434</v>
      </c>
      <c r="P435" s="19" t="s">
        <v>93</v>
      </c>
      <c r="Q435" s="19" t="s">
        <v>458</v>
      </c>
      <c r="R435" s="19" t="s">
        <v>92</v>
      </c>
      <c r="S435" s="19" t="s">
        <v>94</v>
      </c>
      <c r="T435" s="19" t="s">
        <v>91</v>
      </c>
      <c r="U435" s="19" t="s">
        <v>452</v>
      </c>
      <c r="V435" s="19" t="s">
        <v>457</v>
      </c>
      <c r="W435" s="19" t="s">
        <v>459</v>
      </c>
    </row>
    <row r="436" spans="1:23">
      <c r="A436" s="10" t="s">
        <v>830</v>
      </c>
      <c r="B436" s="10">
        <f ca="1">+IF(A436=WORLDCUP!$BI$112,1,0)</f>
        <v>0</v>
      </c>
      <c r="C436" s="10" t="str">
        <f ca="1">+WORLDCUP!BD65</f>
        <v>Arabia Saudita</v>
      </c>
      <c r="D436" s="10" t="str">
        <f ca="1">+WORLDCUP!BD64</f>
        <v>Egipto</v>
      </c>
      <c r="E436" s="10" t="str">
        <f ca="1">+WORLDCUP!BD59</f>
        <v>Catar</v>
      </c>
      <c r="F436" s="10" t="str">
        <f ca="1">+WORLDCUP!BD60</f>
        <v>Escocia</v>
      </c>
      <c r="G436" s="10" t="str">
        <f ca="1">+WORLDCUP!BD58</f>
        <v>PO D: DEN/MKD/CZE/IRL</v>
      </c>
      <c r="H436" s="10" t="str">
        <f ca="1">+WORLDCUP!BD61</f>
        <v>Australia</v>
      </c>
      <c r="I436" s="10" t="str">
        <f ca="1">+WORLDCUP!BD69</f>
        <v>Ghana</v>
      </c>
      <c r="J436" s="10" t="str">
        <f ca="1">+WORLDCUP!BD68</f>
        <v>PO 1: COD/JAM/NCL</v>
      </c>
      <c r="N436" s="19" t="s">
        <v>830</v>
      </c>
      <c r="O436" s="19">
        <v>435</v>
      </c>
      <c r="P436" s="19" t="s">
        <v>453</v>
      </c>
      <c r="Q436" s="19" t="s">
        <v>452</v>
      </c>
      <c r="R436" s="19" t="s">
        <v>92</v>
      </c>
      <c r="S436" s="19" t="s">
        <v>93</v>
      </c>
      <c r="T436" s="19" t="s">
        <v>91</v>
      </c>
      <c r="U436" s="19" t="s">
        <v>94</v>
      </c>
      <c r="V436" s="19" t="s">
        <v>460</v>
      </c>
      <c r="W436" s="19" t="s">
        <v>459</v>
      </c>
    </row>
    <row r="437" spans="1:23">
      <c r="A437" s="10" t="s">
        <v>829</v>
      </c>
      <c r="B437" s="10">
        <f ca="1">+IF(A437=WORLDCUP!$BI$112,1,0)</f>
        <v>0</v>
      </c>
      <c r="C437" s="10" t="str">
        <f ca="1">+WORLDCUP!BD65</f>
        <v>Arabia Saudita</v>
      </c>
      <c r="D437" s="10" t="str">
        <f ca="1">+WORLDCUP!BD64</f>
        <v>Egipto</v>
      </c>
      <c r="E437" s="10" t="str">
        <f ca="1">+WORLDCUP!BD59</f>
        <v>Catar</v>
      </c>
      <c r="F437" s="10" t="str">
        <f ca="1">+WORLDCUP!BD60</f>
        <v>Escocia</v>
      </c>
      <c r="G437" s="10" t="str">
        <f ca="1">+WORLDCUP!BD58</f>
        <v>PO D: DEN/MKD/CZE/IRL</v>
      </c>
      <c r="H437" s="10" t="str">
        <f ca="1">+WORLDCUP!BD61</f>
        <v>Australia</v>
      </c>
      <c r="I437" s="10" t="str">
        <f ca="1">+WORLDCUP!BD69</f>
        <v>Ghana</v>
      </c>
      <c r="J437" s="10" t="str">
        <f ca="1">+WORLDCUP!BD67</f>
        <v>Argelia</v>
      </c>
      <c r="N437" s="19" t="s">
        <v>829</v>
      </c>
      <c r="O437" s="19">
        <v>436</v>
      </c>
      <c r="P437" s="19" t="s">
        <v>453</v>
      </c>
      <c r="Q437" s="19" t="s">
        <v>452</v>
      </c>
      <c r="R437" s="19" t="s">
        <v>92</v>
      </c>
      <c r="S437" s="19" t="s">
        <v>93</v>
      </c>
      <c r="T437" s="19" t="s">
        <v>91</v>
      </c>
      <c r="U437" s="19" t="s">
        <v>94</v>
      </c>
      <c r="V437" s="19" t="s">
        <v>460</v>
      </c>
      <c r="W437" s="19" t="s">
        <v>458</v>
      </c>
    </row>
    <row r="438" spans="1:23">
      <c r="A438" s="10" t="s">
        <v>828</v>
      </c>
      <c r="B438" s="10">
        <f ca="1">+IF(A438=WORLDCUP!$BI$112,1,0)</f>
        <v>0</v>
      </c>
      <c r="C438" s="10" t="str">
        <f ca="1">+WORLDCUP!BD65</f>
        <v>Arabia Saudita</v>
      </c>
      <c r="D438" s="10" t="str">
        <f ca="1">+WORLDCUP!BD64</f>
        <v>Egipto</v>
      </c>
      <c r="E438" s="10" t="str">
        <f ca="1">+WORLDCUP!BD59</f>
        <v>Catar</v>
      </c>
      <c r="F438" s="10" t="str">
        <f ca="1">+WORLDCUP!BD60</f>
        <v>Escocia</v>
      </c>
      <c r="G438" s="10" t="str">
        <f ca="1">+WORLDCUP!BD58</f>
        <v>PO D: DEN/MKD/CZE/IRL</v>
      </c>
      <c r="H438" s="10" t="str">
        <f ca="1">+WORLDCUP!BD61</f>
        <v>Australia</v>
      </c>
      <c r="I438" s="10" t="str">
        <f ca="1">+WORLDCUP!BD67</f>
        <v>Argelia</v>
      </c>
      <c r="J438" s="10" t="str">
        <f ca="1">+WORLDCUP!BD68</f>
        <v>PO 1: COD/JAM/NCL</v>
      </c>
      <c r="N438" s="19" t="s">
        <v>828</v>
      </c>
      <c r="O438" s="19">
        <v>437</v>
      </c>
      <c r="P438" s="19" t="s">
        <v>453</v>
      </c>
      <c r="Q438" s="19" t="s">
        <v>452</v>
      </c>
      <c r="R438" s="19" t="s">
        <v>92</v>
      </c>
      <c r="S438" s="19" t="s">
        <v>93</v>
      </c>
      <c r="T438" s="19" t="s">
        <v>91</v>
      </c>
      <c r="U438" s="19" t="s">
        <v>94</v>
      </c>
      <c r="V438" s="19" t="s">
        <v>458</v>
      </c>
      <c r="W438" s="19" t="s">
        <v>459</v>
      </c>
    </row>
    <row r="439" spans="1:23">
      <c r="A439" s="10" t="s">
        <v>827</v>
      </c>
      <c r="B439" s="10">
        <f ca="1">+IF(A439=WORLDCUP!$BI$112,1,0)</f>
        <v>0</v>
      </c>
      <c r="C439" s="10" t="str">
        <f ca="1">+WORLDCUP!BD65</f>
        <v>Arabia Saudita</v>
      </c>
      <c r="D439" s="10" t="str">
        <f ca="1">+WORLDCUP!BD64</f>
        <v>Egipto</v>
      </c>
      <c r="E439" s="10" t="str">
        <f ca="1">+WORLDCUP!BD59</f>
        <v>Catar</v>
      </c>
      <c r="F439" s="10" t="str">
        <f ca="1">+WORLDCUP!BD60</f>
        <v>Escocia</v>
      </c>
      <c r="G439" s="10" t="str">
        <f ca="1">+WORLDCUP!BD58</f>
        <v>PO D: DEN/MKD/CZE/IRL</v>
      </c>
      <c r="H439" s="10" t="str">
        <f ca="1">+WORLDCUP!BD61</f>
        <v>Australia</v>
      </c>
      <c r="I439" s="10" t="str">
        <f ca="1">+WORLDCUP!BD69</f>
        <v>Ghana</v>
      </c>
      <c r="J439" s="10" t="str">
        <f ca="1">+WORLDCUP!BD66</f>
        <v>Noruega</v>
      </c>
      <c r="N439" s="19" t="s">
        <v>827</v>
      </c>
      <c r="O439" s="19">
        <v>438</v>
      </c>
      <c r="P439" s="19" t="s">
        <v>453</v>
      </c>
      <c r="Q439" s="19" t="s">
        <v>452</v>
      </c>
      <c r="R439" s="19" t="s">
        <v>92</v>
      </c>
      <c r="S439" s="19" t="s">
        <v>93</v>
      </c>
      <c r="T439" s="19" t="s">
        <v>91</v>
      </c>
      <c r="U439" s="19" t="s">
        <v>94</v>
      </c>
      <c r="V439" s="19" t="s">
        <v>460</v>
      </c>
      <c r="W439" s="19" t="s">
        <v>457</v>
      </c>
    </row>
    <row r="440" spans="1:23">
      <c r="A440" s="10" t="s">
        <v>826</v>
      </c>
      <c r="B440" s="10">
        <f ca="1">+IF(A440=WORLDCUP!$BI$112,1,0)</f>
        <v>0</v>
      </c>
      <c r="C440" s="10" t="str">
        <f ca="1">+WORLDCUP!BD65</f>
        <v>Arabia Saudita</v>
      </c>
      <c r="D440" s="10" t="str">
        <f ca="1">+WORLDCUP!BD64</f>
        <v>Egipto</v>
      </c>
      <c r="E440" s="10" t="str">
        <f ca="1">+WORLDCUP!BD59</f>
        <v>Catar</v>
      </c>
      <c r="F440" s="10" t="str">
        <f ca="1">+WORLDCUP!BD60</f>
        <v>Escocia</v>
      </c>
      <c r="G440" s="10" t="str">
        <f ca="1">+WORLDCUP!BD58</f>
        <v>PO D: DEN/MKD/CZE/IRL</v>
      </c>
      <c r="H440" s="10" t="str">
        <f ca="1">+WORLDCUP!BD61</f>
        <v>Australia</v>
      </c>
      <c r="I440" s="10" t="str">
        <f ca="1">+WORLDCUP!BD66</f>
        <v>Noruega</v>
      </c>
      <c r="J440" s="10" t="str">
        <f ca="1">+WORLDCUP!BD68</f>
        <v>PO 1: COD/JAM/NCL</v>
      </c>
      <c r="N440" s="19" t="s">
        <v>826</v>
      </c>
      <c r="O440" s="19">
        <v>439</v>
      </c>
      <c r="P440" s="19" t="s">
        <v>453</v>
      </c>
      <c r="Q440" s="19" t="s">
        <v>452</v>
      </c>
      <c r="R440" s="19" t="s">
        <v>92</v>
      </c>
      <c r="S440" s="19" t="s">
        <v>93</v>
      </c>
      <c r="T440" s="19" t="s">
        <v>91</v>
      </c>
      <c r="U440" s="19" t="s">
        <v>94</v>
      </c>
      <c r="V440" s="19" t="s">
        <v>457</v>
      </c>
      <c r="W440" s="19" t="s">
        <v>459</v>
      </c>
    </row>
    <row r="441" spans="1:23">
      <c r="A441" s="10" t="s">
        <v>825</v>
      </c>
      <c r="B441" s="10">
        <f ca="1">+IF(A441=WORLDCUP!$BI$112,1,0)</f>
        <v>0</v>
      </c>
      <c r="C441" s="10" t="str">
        <f ca="1">+WORLDCUP!BD65</f>
        <v>Arabia Saudita</v>
      </c>
      <c r="D441" s="10" t="str">
        <f ca="1">+WORLDCUP!BD64</f>
        <v>Egipto</v>
      </c>
      <c r="E441" s="10" t="str">
        <f ca="1">+WORLDCUP!BD59</f>
        <v>Catar</v>
      </c>
      <c r="F441" s="10" t="str">
        <f ca="1">+WORLDCUP!BD60</f>
        <v>Escocia</v>
      </c>
      <c r="G441" s="10" t="str">
        <f ca="1">+WORLDCUP!BD58</f>
        <v>PO D: DEN/MKD/CZE/IRL</v>
      </c>
      <c r="H441" s="10" t="str">
        <f ca="1">+WORLDCUP!BD61</f>
        <v>Australia</v>
      </c>
      <c r="I441" s="10" t="str">
        <f ca="1">+WORLDCUP!BD66</f>
        <v>Noruega</v>
      </c>
      <c r="J441" s="10" t="str">
        <f ca="1">+WORLDCUP!BD67</f>
        <v>Argelia</v>
      </c>
      <c r="N441" s="19" t="s">
        <v>825</v>
      </c>
      <c r="O441" s="19">
        <v>440</v>
      </c>
      <c r="P441" s="19" t="s">
        <v>453</v>
      </c>
      <c r="Q441" s="19" t="s">
        <v>452</v>
      </c>
      <c r="R441" s="19" t="s">
        <v>92</v>
      </c>
      <c r="S441" s="19" t="s">
        <v>93</v>
      </c>
      <c r="T441" s="19" t="s">
        <v>91</v>
      </c>
      <c r="U441" s="19" t="s">
        <v>94</v>
      </c>
      <c r="V441" s="19" t="s">
        <v>457</v>
      </c>
      <c r="W441" s="19" t="s">
        <v>458</v>
      </c>
    </row>
    <row r="442" spans="1:23">
      <c r="A442" s="10" t="s">
        <v>824</v>
      </c>
      <c r="B442" s="10">
        <f ca="1">+IF(A442=WORLDCUP!$BI$112,1,0)</f>
        <v>0</v>
      </c>
      <c r="C442" s="10" t="str">
        <f ca="1">+WORLDCUP!BD60</f>
        <v>Escocia</v>
      </c>
      <c r="D442" s="10" t="str">
        <f ca="1">+WORLDCUP!BD67</f>
        <v>Argelia</v>
      </c>
      <c r="E442" s="10" t="str">
        <f ca="1">+WORLDCUP!BD59</f>
        <v>Catar</v>
      </c>
      <c r="F442" s="10" t="str">
        <f ca="1">+WORLDCUP!BD61</f>
        <v>Australia</v>
      </c>
      <c r="G442" s="10" t="str">
        <f ca="1">+WORLDCUP!BD58</f>
        <v>PO D: DEN/MKD/CZE/IRL</v>
      </c>
      <c r="H442" s="10" t="str">
        <f ca="1">+WORLDCUP!BD63</f>
        <v>Japón</v>
      </c>
      <c r="I442" s="10" t="str">
        <f ca="1">+WORLDCUP!BD69</f>
        <v>Ghana</v>
      </c>
      <c r="J442" s="10" t="str">
        <f ca="1">+WORLDCUP!BD68</f>
        <v>PO 1: COD/JAM/NCL</v>
      </c>
      <c r="N442" s="19" t="s">
        <v>824</v>
      </c>
      <c r="O442" s="19">
        <v>441</v>
      </c>
      <c r="P442" s="19" t="s">
        <v>93</v>
      </c>
      <c r="Q442" s="19" t="s">
        <v>458</v>
      </c>
      <c r="R442" s="19" t="s">
        <v>92</v>
      </c>
      <c r="S442" s="19" t="s">
        <v>94</v>
      </c>
      <c r="T442" s="19" t="s">
        <v>91</v>
      </c>
      <c r="U442" s="19" t="s">
        <v>96</v>
      </c>
      <c r="V442" s="19" t="s">
        <v>460</v>
      </c>
      <c r="W442" s="19" t="s">
        <v>459</v>
      </c>
    </row>
    <row r="443" spans="1:23">
      <c r="A443" s="10" t="s">
        <v>823</v>
      </c>
      <c r="B443" s="10">
        <f ca="1">+IF(A443=WORLDCUP!$BI$112,1,0)</f>
        <v>0</v>
      </c>
      <c r="C443" s="10" t="str">
        <f ca="1">+WORLDCUP!BD60</f>
        <v>Escocia</v>
      </c>
      <c r="D443" s="10" t="str">
        <f ca="1">+WORLDCUP!BD66</f>
        <v>Noruega</v>
      </c>
      <c r="E443" s="10" t="str">
        <f ca="1">+WORLDCUP!BD59</f>
        <v>Catar</v>
      </c>
      <c r="F443" s="10" t="str">
        <f ca="1">+WORLDCUP!BD61</f>
        <v>Australia</v>
      </c>
      <c r="G443" s="10" t="str">
        <f ca="1">+WORLDCUP!BD58</f>
        <v>PO D: DEN/MKD/CZE/IRL</v>
      </c>
      <c r="H443" s="10" t="str">
        <f ca="1">+WORLDCUP!BD63</f>
        <v>Japón</v>
      </c>
      <c r="I443" s="10" t="str">
        <f ca="1">+WORLDCUP!BD69</f>
        <v>Ghana</v>
      </c>
      <c r="J443" s="10" t="str">
        <f ca="1">+WORLDCUP!BD68</f>
        <v>PO 1: COD/JAM/NCL</v>
      </c>
      <c r="N443" s="19" t="s">
        <v>823</v>
      </c>
      <c r="O443" s="19">
        <v>442</v>
      </c>
      <c r="P443" s="19" t="s">
        <v>93</v>
      </c>
      <c r="Q443" s="19" t="s">
        <v>457</v>
      </c>
      <c r="R443" s="19" t="s">
        <v>92</v>
      </c>
      <c r="S443" s="19" t="s">
        <v>94</v>
      </c>
      <c r="T443" s="19" t="s">
        <v>91</v>
      </c>
      <c r="U443" s="19" t="s">
        <v>96</v>
      </c>
      <c r="V443" s="19" t="s">
        <v>460</v>
      </c>
      <c r="W443" s="19" t="s">
        <v>459</v>
      </c>
    </row>
    <row r="444" spans="1:23">
      <c r="A444" s="10" t="s">
        <v>822</v>
      </c>
      <c r="B444" s="10">
        <f ca="1">+IF(A444=WORLDCUP!$BI$112,1,0)</f>
        <v>0</v>
      </c>
      <c r="C444" s="10" t="str">
        <f ca="1">+WORLDCUP!BD60</f>
        <v>Escocia</v>
      </c>
      <c r="D444" s="10" t="str">
        <f ca="1">+WORLDCUP!BD67</f>
        <v>Argelia</v>
      </c>
      <c r="E444" s="10" t="str">
        <f ca="1">+WORLDCUP!BD59</f>
        <v>Catar</v>
      </c>
      <c r="F444" s="10" t="str">
        <f ca="1">+WORLDCUP!BD61</f>
        <v>Australia</v>
      </c>
      <c r="G444" s="10" t="str">
        <f ca="1">+WORLDCUP!BD58</f>
        <v>PO D: DEN/MKD/CZE/IRL</v>
      </c>
      <c r="H444" s="10" t="str">
        <f ca="1">+WORLDCUP!BD63</f>
        <v>Japón</v>
      </c>
      <c r="I444" s="10" t="str">
        <f ca="1">+WORLDCUP!BD69</f>
        <v>Ghana</v>
      </c>
      <c r="J444" s="10" t="str">
        <f ca="1">+WORLDCUP!BD66</f>
        <v>Noruega</v>
      </c>
      <c r="N444" s="19" t="s">
        <v>822</v>
      </c>
      <c r="O444" s="19">
        <v>443</v>
      </c>
      <c r="P444" s="19" t="s">
        <v>93</v>
      </c>
      <c r="Q444" s="19" t="s">
        <v>458</v>
      </c>
      <c r="R444" s="19" t="s">
        <v>92</v>
      </c>
      <c r="S444" s="19" t="s">
        <v>94</v>
      </c>
      <c r="T444" s="19" t="s">
        <v>91</v>
      </c>
      <c r="U444" s="19" t="s">
        <v>96</v>
      </c>
      <c r="V444" s="19" t="s">
        <v>460</v>
      </c>
      <c r="W444" s="19" t="s">
        <v>457</v>
      </c>
    </row>
    <row r="445" spans="1:23">
      <c r="A445" s="10" t="s">
        <v>821</v>
      </c>
      <c r="B445" s="10">
        <f ca="1">+IF(A445=WORLDCUP!$BI$112,1,0)</f>
        <v>0</v>
      </c>
      <c r="C445" s="10" t="str">
        <f ca="1">+WORLDCUP!BD60</f>
        <v>Escocia</v>
      </c>
      <c r="D445" s="10" t="str">
        <f ca="1">+WORLDCUP!BD67</f>
        <v>Argelia</v>
      </c>
      <c r="E445" s="10" t="str">
        <f ca="1">+WORLDCUP!BD59</f>
        <v>Catar</v>
      </c>
      <c r="F445" s="10" t="str">
        <f ca="1">+WORLDCUP!BD61</f>
        <v>Australia</v>
      </c>
      <c r="G445" s="10" t="str">
        <f ca="1">+WORLDCUP!BD58</f>
        <v>PO D: DEN/MKD/CZE/IRL</v>
      </c>
      <c r="H445" s="10" t="str">
        <f ca="1">+WORLDCUP!BD63</f>
        <v>Japón</v>
      </c>
      <c r="I445" s="10" t="str">
        <f ca="1">+WORLDCUP!BD66</f>
        <v>Noruega</v>
      </c>
      <c r="J445" s="10" t="str">
        <f ca="1">+WORLDCUP!BD68</f>
        <v>PO 1: COD/JAM/NCL</v>
      </c>
      <c r="N445" s="19" t="s">
        <v>821</v>
      </c>
      <c r="O445" s="19">
        <v>444</v>
      </c>
      <c r="P445" s="19" t="s">
        <v>93</v>
      </c>
      <c r="Q445" s="19" t="s">
        <v>458</v>
      </c>
      <c r="R445" s="19" t="s">
        <v>92</v>
      </c>
      <c r="S445" s="19" t="s">
        <v>94</v>
      </c>
      <c r="T445" s="19" t="s">
        <v>91</v>
      </c>
      <c r="U445" s="19" t="s">
        <v>96</v>
      </c>
      <c r="V445" s="19" t="s">
        <v>457</v>
      </c>
      <c r="W445" s="19" t="s">
        <v>459</v>
      </c>
    </row>
    <row r="446" spans="1:23">
      <c r="A446" s="10" t="s">
        <v>820</v>
      </c>
      <c r="B446" s="10">
        <f ca="1">+IF(A446=WORLDCUP!$BI$112,1,0)</f>
        <v>0</v>
      </c>
      <c r="C446" s="10" t="str">
        <f ca="1">+WORLDCUP!BD65</f>
        <v>Arabia Saudita</v>
      </c>
      <c r="D446" s="10" t="str">
        <f ca="1">+WORLDCUP!BD63</f>
        <v>Japón</v>
      </c>
      <c r="E446" s="10" t="str">
        <f ca="1">+WORLDCUP!BD59</f>
        <v>Catar</v>
      </c>
      <c r="F446" s="10" t="str">
        <f ca="1">+WORLDCUP!BD60</f>
        <v>Escocia</v>
      </c>
      <c r="G446" s="10" t="str">
        <f ca="1">+WORLDCUP!BD58</f>
        <v>PO D: DEN/MKD/CZE/IRL</v>
      </c>
      <c r="H446" s="10" t="str">
        <f ca="1">+WORLDCUP!BD61</f>
        <v>Australia</v>
      </c>
      <c r="I446" s="10" t="str">
        <f ca="1">+WORLDCUP!BD69</f>
        <v>Ghana</v>
      </c>
      <c r="J446" s="10" t="str">
        <f ca="1">+WORLDCUP!BD68</f>
        <v>PO 1: COD/JAM/NCL</v>
      </c>
      <c r="N446" s="19" t="s">
        <v>820</v>
      </c>
      <c r="O446" s="19">
        <v>445</v>
      </c>
      <c r="P446" s="19" t="s">
        <v>453</v>
      </c>
      <c r="Q446" s="19" t="s">
        <v>96</v>
      </c>
      <c r="R446" s="19" t="s">
        <v>92</v>
      </c>
      <c r="S446" s="19" t="s">
        <v>93</v>
      </c>
      <c r="T446" s="19" t="s">
        <v>91</v>
      </c>
      <c r="U446" s="19" t="s">
        <v>94</v>
      </c>
      <c r="V446" s="19" t="s">
        <v>460</v>
      </c>
      <c r="W446" s="19" t="s">
        <v>459</v>
      </c>
    </row>
    <row r="447" spans="1:23">
      <c r="A447" s="10" t="s">
        <v>819</v>
      </c>
      <c r="B447" s="10">
        <f ca="1">+IF(A447=WORLDCUP!$BI$112,1,0)</f>
        <v>0</v>
      </c>
      <c r="C447" s="10" t="str">
        <f ca="1">+WORLDCUP!BD60</f>
        <v>Escocia</v>
      </c>
      <c r="D447" s="10" t="str">
        <f ca="1">+WORLDCUP!BD67</f>
        <v>Argelia</v>
      </c>
      <c r="E447" s="10" t="str">
        <f ca="1">+WORLDCUP!BD59</f>
        <v>Catar</v>
      </c>
      <c r="F447" s="10" t="str">
        <f ca="1">+WORLDCUP!BD61</f>
        <v>Australia</v>
      </c>
      <c r="G447" s="10" t="str">
        <f ca="1">+WORLDCUP!BD58</f>
        <v>PO D: DEN/MKD/CZE/IRL</v>
      </c>
      <c r="H447" s="10" t="str">
        <f ca="1">+WORLDCUP!BD63</f>
        <v>Japón</v>
      </c>
      <c r="I447" s="10" t="str">
        <f ca="1">+WORLDCUP!BD69</f>
        <v>Ghana</v>
      </c>
      <c r="J447" s="10" t="str">
        <f ca="1">+WORLDCUP!BD65</f>
        <v>Arabia Saudita</v>
      </c>
      <c r="N447" s="19" t="s">
        <v>819</v>
      </c>
      <c r="O447" s="19">
        <v>446</v>
      </c>
      <c r="P447" s="19" t="s">
        <v>93</v>
      </c>
      <c r="Q447" s="19" t="s">
        <v>458</v>
      </c>
      <c r="R447" s="19" t="s">
        <v>92</v>
      </c>
      <c r="S447" s="19" t="s">
        <v>94</v>
      </c>
      <c r="T447" s="19" t="s">
        <v>91</v>
      </c>
      <c r="U447" s="19" t="s">
        <v>96</v>
      </c>
      <c r="V447" s="19" t="s">
        <v>460</v>
      </c>
      <c r="W447" s="19" t="s">
        <v>453</v>
      </c>
    </row>
    <row r="448" spans="1:23">
      <c r="A448" s="10" t="s">
        <v>818</v>
      </c>
      <c r="B448" s="10">
        <f ca="1">+IF(A448=WORLDCUP!$BI$112,1,0)</f>
        <v>0</v>
      </c>
      <c r="C448" s="10" t="str">
        <f ca="1">+WORLDCUP!BD65</f>
        <v>Arabia Saudita</v>
      </c>
      <c r="D448" s="10" t="str">
        <f ca="1">+WORLDCUP!BD67</f>
        <v>Argelia</v>
      </c>
      <c r="E448" s="10" t="str">
        <f ca="1">+WORLDCUP!BD59</f>
        <v>Catar</v>
      </c>
      <c r="F448" s="10" t="str">
        <f ca="1">+WORLDCUP!BD60</f>
        <v>Escocia</v>
      </c>
      <c r="G448" s="10" t="str">
        <f ca="1">+WORLDCUP!BD58</f>
        <v>PO D: DEN/MKD/CZE/IRL</v>
      </c>
      <c r="H448" s="10" t="str">
        <f ca="1">+WORLDCUP!BD63</f>
        <v>Japón</v>
      </c>
      <c r="I448" s="10" t="str">
        <f ca="1">+WORLDCUP!BD61</f>
        <v>Australia</v>
      </c>
      <c r="J448" s="10" t="str">
        <f ca="1">+WORLDCUP!BD68</f>
        <v>PO 1: COD/JAM/NCL</v>
      </c>
      <c r="N448" s="19" t="s">
        <v>818</v>
      </c>
      <c r="O448" s="19">
        <v>447</v>
      </c>
      <c r="P448" s="19" t="s">
        <v>453</v>
      </c>
      <c r="Q448" s="19" t="s">
        <v>458</v>
      </c>
      <c r="R448" s="19" t="s">
        <v>92</v>
      </c>
      <c r="S448" s="19" t="s">
        <v>93</v>
      </c>
      <c r="T448" s="19" t="s">
        <v>91</v>
      </c>
      <c r="U448" s="19" t="s">
        <v>96</v>
      </c>
      <c r="V448" s="19" t="s">
        <v>94</v>
      </c>
      <c r="W448" s="19" t="s">
        <v>459</v>
      </c>
    </row>
    <row r="449" spans="1:23">
      <c r="A449" s="10" t="s">
        <v>817</v>
      </c>
      <c r="B449" s="10">
        <f ca="1">+IF(A449=WORLDCUP!$BI$112,1,0)</f>
        <v>0</v>
      </c>
      <c r="C449" s="10" t="str">
        <f ca="1">+WORLDCUP!BD65</f>
        <v>Arabia Saudita</v>
      </c>
      <c r="D449" s="10" t="str">
        <f ca="1">+WORLDCUP!BD63</f>
        <v>Japón</v>
      </c>
      <c r="E449" s="10" t="str">
        <f ca="1">+WORLDCUP!BD59</f>
        <v>Catar</v>
      </c>
      <c r="F449" s="10" t="str">
        <f ca="1">+WORLDCUP!BD60</f>
        <v>Escocia</v>
      </c>
      <c r="G449" s="10" t="str">
        <f ca="1">+WORLDCUP!BD58</f>
        <v>PO D: DEN/MKD/CZE/IRL</v>
      </c>
      <c r="H449" s="10" t="str">
        <f ca="1">+WORLDCUP!BD61</f>
        <v>Australia</v>
      </c>
      <c r="I449" s="10" t="str">
        <f ca="1">+WORLDCUP!BD69</f>
        <v>Ghana</v>
      </c>
      <c r="J449" s="10" t="str">
        <f ca="1">+WORLDCUP!BD66</f>
        <v>Noruega</v>
      </c>
      <c r="N449" s="19" t="s">
        <v>817</v>
      </c>
      <c r="O449" s="19">
        <v>448</v>
      </c>
      <c r="P449" s="19" t="s">
        <v>453</v>
      </c>
      <c r="Q449" s="19" t="s">
        <v>96</v>
      </c>
      <c r="R449" s="19" t="s">
        <v>92</v>
      </c>
      <c r="S449" s="19" t="s">
        <v>93</v>
      </c>
      <c r="T449" s="19" t="s">
        <v>91</v>
      </c>
      <c r="U449" s="19" t="s">
        <v>94</v>
      </c>
      <c r="V449" s="19" t="s">
        <v>460</v>
      </c>
      <c r="W449" s="19" t="s">
        <v>457</v>
      </c>
    </row>
    <row r="450" spans="1:23">
      <c r="A450" s="10" t="s">
        <v>816</v>
      </c>
      <c r="B450" s="10">
        <f ca="1">+IF(A450=WORLDCUP!$BI$112,1,0)</f>
        <v>0</v>
      </c>
      <c r="C450" s="10" t="str">
        <f ca="1">+WORLDCUP!BD65</f>
        <v>Arabia Saudita</v>
      </c>
      <c r="D450" s="10" t="str">
        <f ca="1">+WORLDCUP!BD63</f>
        <v>Japón</v>
      </c>
      <c r="E450" s="10" t="str">
        <f ca="1">+WORLDCUP!BD59</f>
        <v>Catar</v>
      </c>
      <c r="F450" s="10" t="str">
        <f ca="1">+WORLDCUP!BD60</f>
        <v>Escocia</v>
      </c>
      <c r="G450" s="10" t="str">
        <f ca="1">+WORLDCUP!BD58</f>
        <v>PO D: DEN/MKD/CZE/IRL</v>
      </c>
      <c r="H450" s="10" t="str">
        <f ca="1">+WORLDCUP!BD61</f>
        <v>Australia</v>
      </c>
      <c r="I450" s="10" t="str">
        <f ca="1">+WORLDCUP!BD66</f>
        <v>Noruega</v>
      </c>
      <c r="J450" s="10" t="str">
        <f ca="1">+WORLDCUP!BD68</f>
        <v>PO 1: COD/JAM/NCL</v>
      </c>
      <c r="N450" s="19" t="s">
        <v>816</v>
      </c>
      <c r="O450" s="19">
        <v>449</v>
      </c>
      <c r="P450" s="19" t="s">
        <v>453</v>
      </c>
      <c r="Q450" s="19" t="s">
        <v>96</v>
      </c>
      <c r="R450" s="19" t="s">
        <v>92</v>
      </c>
      <c r="S450" s="19" t="s">
        <v>93</v>
      </c>
      <c r="T450" s="19" t="s">
        <v>91</v>
      </c>
      <c r="U450" s="19" t="s">
        <v>94</v>
      </c>
      <c r="V450" s="19" t="s">
        <v>457</v>
      </c>
      <c r="W450" s="19" t="s">
        <v>459</v>
      </c>
    </row>
    <row r="451" spans="1:23">
      <c r="A451" s="10" t="s">
        <v>815</v>
      </c>
      <c r="B451" s="10">
        <f ca="1">+IF(A451=WORLDCUP!$BI$112,1,0)</f>
        <v>0</v>
      </c>
      <c r="C451" s="10" t="str">
        <f ca="1">+WORLDCUP!BD65</f>
        <v>Arabia Saudita</v>
      </c>
      <c r="D451" s="10" t="str">
        <f ca="1">+WORLDCUP!BD67</f>
        <v>Argelia</v>
      </c>
      <c r="E451" s="10" t="str">
        <f ca="1">+WORLDCUP!BD59</f>
        <v>Catar</v>
      </c>
      <c r="F451" s="10" t="str">
        <f ca="1">+WORLDCUP!BD60</f>
        <v>Escocia</v>
      </c>
      <c r="G451" s="10" t="str">
        <f ca="1">+WORLDCUP!BD58</f>
        <v>PO D: DEN/MKD/CZE/IRL</v>
      </c>
      <c r="H451" s="10" t="str">
        <f ca="1">+WORLDCUP!BD63</f>
        <v>Japón</v>
      </c>
      <c r="I451" s="10" t="str">
        <f ca="1">+WORLDCUP!BD61</f>
        <v>Australia</v>
      </c>
      <c r="J451" s="10" t="str">
        <f ca="1">+WORLDCUP!BD66</f>
        <v>Noruega</v>
      </c>
      <c r="N451" s="19" t="s">
        <v>815</v>
      </c>
      <c r="O451" s="19">
        <v>450</v>
      </c>
      <c r="P451" s="19" t="s">
        <v>453</v>
      </c>
      <c r="Q451" s="19" t="s">
        <v>458</v>
      </c>
      <c r="R451" s="19" t="s">
        <v>92</v>
      </c>
      <c r="S451" s="19" t="s">
        <v>93</v>
      </c>
      <c r="T451" s="19" t="s">
        <v>91</v>
      </c>
      <c r="U451" s="19" t="s">
        <v>96</v>
      </c>
      <c r="V451" s="19" t="s">
        <v>94</v>
      </c>
      <c r="W451" s="19" t="s">
        <v>457</v>
      </c>
    </row>
    <row r="452" spans="1:23">
      <c r="A452" s="10" t="s">
        <v>814</v>
      </c>
      <c r="B452" s="10">
        <f ca="1">+IF(A452=WORLDCUP!$BI$112,1,0)</f>
        <v>0</v>
      </c>
      <c r="C452" s="10" t="str">
        <f ca="1">+WORLDCUP!BD60</f>
        <v>Escocia</v>
      </c>
      <c r="D452" s="10" t="str">
        <f ca="1">+WORLDCUP!BD64</f>
        <v>Egipto</v>
      </c>
      <c r="E452" s="10" t="str">
        <f ca="1">+WORLDCUP!BD59</f>
        <v>Catar</v>
      </c>
      <c r="F452" s="10" t="str">
        <f ca="1">+WORLDCUP!BD61</f>
        <v>Australia</v>
      </c>
      <c r="G452" s="10" t="str">
        <f ca="1">+WORLDCUP!BD58</f>
        <v>PO D: DEN/MKD/CZE/IRL</v>
      </c>
      <c r="H452" s="10" t="str">
        <f ca="1">+WORLDCUP!BD63</f>
        <v>Japón</v>
      </c>
      <c r="I452" s="10" t="str">
        <f ca="1">+WORLDCUP!BD69</f>
        <v>Ghana</v>
      </c>
      <c r="J452" s="10" t="str">
        <f ca="1">+WORLDCUP!BD68</f>
        <v>PO 1: COD/JAM/NCL</v>
      </c>
      <c r="N452" s="19" t="s">
        <v>814</v>
      </c>
      <c r="O452" s="19">
        <v>451</v>
      </c>
      <c r="P452" s="19" t="s">
        <v>93</v>
      </c>
      <c r="Q452" s="19" t="s">
        <v>452</v>
      </c>
      <c r="R452" s="19" t="s">
        <v>92</v>
      </c>
      <c r="S452" s="19" t="s">
        <v>94</v>
      </c>
      <c r="T452" s="19" t="s">
        <v>91</v>
      </c>
      <c r="U452" s="19" t="s">
        <v>96</v>
      </c>
      <c r="V452" s="19" t="s">
        <v>460</v>
      </c>
      <c r="W452" s="19" t="s">
        <v>459</v>
      </c>
    </row>
    <row r="453" spans="1:23">
      <c r="A453" s="10" t="s">
        <v>813</v>
      </c>
      <c r="B453" s="10">
        <f ca="1">+IF(A453=WORLDCUP!$BI$112,1,0)</f>
        <v>0</v>
      </c>
      <c r="C453" s="10" t="str">
        <f ca="1">+WORLDCUP!BD60</f>
        <v>Escocia</v>
      </c>
      <c r="D453" s="10" t="str">
        <f ca="1">+WORLDCUP!BD64</f>
        <v>Egipto</v>
      </c>
      <c r="E453" s="10" t="str">
        <f ca="1">+WORLDCUP!BD59</f>
        <v>Catar</v>
      </c>
      <c r="F453" s="10" t="str">
        <f ca="1">+WORLDCUP!BD61</f>
        <v>Australia</v>
      </c>
      <c r="G453" s="10" t="str">
        <f ca="1">+WORLDCUP!BD58</f>
        <v>PO D: DEN/MKD/CZE/IRL</v>
      </c>
      <c r="H453" s="10" t="str">
        <f ca="1">+WORLDCUP!BD63</f>
        <v>Japón</v>
      </c>
      <c r="I453" s="10" t="str">
        <f ca="1">+WORLDCUP!BD69</f>
        <v>Ghana</v>
      </c>
      <c r="J453" s="10" t="str">
        <f ca="1">+WORLDCUP!BD67</f>
        <v>Argelia</v>
      </c>
      <c r="N453" s="19" t="s">
        <v>813</v>
      </c>
      <c r="O453" s="19">
        <v>452</v>
      </c>
      <c r="P453" s="19" t="s">
        <v>93</v>
      </c>
      <c r="Q453" s="19" t="s">
        <v>452</v>
      </c>
      <c r="R453" s="19" t="s">
        <v>92</v>
      </c>
      <c r="S453" s="19" t="s">
        <v>94</v>
      </c>
      <c r="T453" s="19" t="s">
        <v>91</v>
      </c>
      <c r="U453" s="19" t="s">
        <v>96</v>
      </c>
      <c r="V453" s="19" t="s">
        <v>460</v>
      </c>
      <c r="W453" s="19" t="s">
        <v>458</v>
      </c>
    </row>
    <row r="454" spans="1:23">
      <c r="A454" s="10" t="s">
        <v>812</v>
      </c>
      <c r="B454" s="10">
        <f ca="1">+IF(A454=WORLDCUP!$BI$112,1,0)</f>
        <v>0</v>
      </c>
      <c r="C454" s="10" t="str">
        <f ca="1">+WORLDCUP!BD60</f>
        <v>Escocia</v>
      </c>
      <c r="D454" s="10" t="str">
        <f ca="1">+WORLDCUP!BD64</f>
        <v>Egipto</v>
      </c>
      <c r="E454" s="10" t="str">
        <f ca="1">+WORLDCUP!BD59</f>
        <v>Catar</v>
      </c>
      <c r="F454" s="10" t="str">
        <f ca="1">+WORLDCUP!BD61</f>
        <v>Australia</v>
      </c>
      <c r="G454" s="10" t="str">
        <f ca="1">+WORLDCUP!BD58</f>
        <v>PO D: DEN/MKD/CZE/IRL</v>
      </c>
      <c r="H454" s="10" t="str">
        <f ca="1">+WORLDCUP!BD63</f>
        <v>Japón</v>
      </c>
      <c r="I454" s="10" t="str">
        <f ca="1">+WORLDCUP!BD67</f>
        <v>Argelia</v>
      </c>
      <c r="J454" s="10" t="str">
        <f ca="1">+WORLDCUP!BD68</f>
        <v>PO 1: COD/JAM/NCL</v>
      </c>
      <c r="N454" s="19" t="s">
        <v>812</v>
      </c>
      <c r="O454" s="19">
        <v>453</v>
      </c>
      <c r="P454" s="19" t="s">
        <v>93</v>
      </c>
      <c r="Q454" s="19" t="s">
        <v>452</v>
      </c>
      <c r="R454" s="19" t="s">
        <v>92</v>
      </c>
      <c r="S454" s="19" t="s">
        <v>94</v>
      </c>
      <c r="T454" s="19" t="s">
        <v>91</v>
      </c>
      <c r="U454" s="19" t="s">
        <v>96</v>
      </c>
      <c r="V454" s="19" t="s">
        <v>458</v>
      </c>
      <c r="W454" s="19" t="s">
        <v>459</v>
      </c>
    </row>
    <row r="455" spans="1:23">
      <c r="A455" s="10" t="s">
        <v>811</v>
      </c>
      <c r="B455" s="10">
        <f ca="1">+IF(A455=WORLDCUP!$BI$112,1,0)</f>
        <v>0</v>
      </c>
      <c r="C455" s="10" t="str">
        <f ca="1">+WORLDCUP!BD60</f>
        <v>Escocia</v>
      </c>
      <c r="D455" s="10" t="str">
        <f ca="1">+WORLDCUP!BD64</f>
        <v>Egipto</v>
      </c>
      <c r="E455" s="10" t="str">
        <f ca="1">+WORLDCUP!BD59</f>
        <v>Catar</v>
      </c>
      <c r="F455" s="10" t="str">
        <f ca="1">+WORLDCUP!BD61</f>
        <v>Australia</v>
      </c>
      <c r="G455" s="10" t="str">
        <f ca="1">+WORLDCUP!BD58</f>
        <v>PO D: DEN/MKD/CZE/IRL</v>
      </c>
      <c r="H455" s="10" t="str">
        <f ca="1">+WORLDCUP!BD63</f>
        <v>Japón</v>
      </c>
      <c r="I455" s="10" t="str">
        <f ca="1">+WORLDCUP!BD69</f>
        <v>Ghana</v>
      </c>
      <c r="J455" s="10" t="str">
        <f ca="1">+WORLDCUP!BD66</f>
        <v>Noruega</v>
      </c>
      <c r="N455" s="19" t="s">
        <v>811</v>
      </c>
      <c r="O455" s="19">
        <v>454</v>
      </c>
      <c r="P455" s="19" t="s">
        <v>93</v>
      </c>
      <c r="Q455" s="19" t="s">
        <v>452</v>
      </c>
      <c r="R455" s="19" t="s">
        <v>92</v>
      </c>
      <c r="S455" s="19" t="s">
        <v>94</v>
      </c>
      <c r="T455" s="19" t="s">
        <v>91</v>
      </c>
      <c r="U455" s="19" t="s">
        <v>96</v>
      </c>
      <c r="V455" s="19" t="s">
        <v>460</v>
      </c>
      <c r="W455" s="19" t="s">
        <v>457</v>
      </c>
    </row>
    <row r="456" spans="1:23">
      <c r="A456" s="10" t="s">
        <v>810</v>
      </c>
      <c r="B456" s="10">
        <f ca="1">+IF(A456=WORLDCUP!$BI$112,1,0)</f>
        <v>0</v>
      </c>
      <c r="C456" s="10" t="str">
        <f ca="1">+WORLDCUP!BD60</f>
        <v>Escocia</v>
      </c>
      <c r="D456" s="10" t="str">
        <f ca="1">+WORLDCUP!BD64</f>
        <v>Egipto</v>
      </c>
      <c r="E456" s="10" t="str">
        <f ca="1">+WORLDCUP!BD59</f>
        <v>Catar</v>
      </c>
      <c r="F456" s="10" t="str">
        <f ca="1">+WORLDCUP!BD61</f>
        <v>Australia</v>
      </c>
      <c r="G456" s="10" t="str">
        <f ca="1">+WORLDCUP!BD58</f>
        <v>PO D: DEN/MKD/CZE/IRL</v>
      </c>
      <c r="H456" s="10" t="str">
        <f ca="1">+WORLDCUP!BD63</f>
        <v>Japón</v>
      </c>
      <c r="I456" s="10" t="str">
        <f ca="1">+WORLDCUP!BD66</f>
        <v>Noruega</v>
      </c>
      <c r="J456" s="10" t="str">
        <f ca="1">+WORLDCUP!BD68</f>
        <v>PO 1: COD/JAM/NCL</v>
      </c>
      <c r="N456" s="19" t="s">
        <v>810</v>
      </c>
      <c r="O456" s="19">
        <v>455</v>
      </c>
      <c r="P456" s="19" t="s">
        <v>93</v>
      </c>
      <c r="Q456" s="19" t="s">
        <v>452</v>
      </c>
      <c r="R456" s="19" t="s">
        <v>92</v>
      </c>
      <c r="S456" s="19" t="s">
        <v>94</v>
      </c>
      <c r="T456" s="19" t="s">
        <v>91</v>
      </c>
      <c r="U456" s="19" t="s">
        <v>96</v>
      </c>
      <c r="V456" s="19" t="s">
        <v>457</v>
      </c>
      <c r="W456" s="19" t="s">
        <v>459</v>
      </c>
    </row>
    <row r="457" spans="1:23">
      <c r="A457" s="10" t="s">
        <v>809</v>
      </c>
      <c r="B457" s="10">
        <f ca="1">+IF(A457=WORLDCUP!$BI$112,1,0)</f>
        <v>0</v>
      </c>
      <c r="C457" s="10" t="str">
        <f ca="1">+WORLDCUP!BD60</f>
        <v>Escocia</v>
      </c>
      <c r="D457" s="10" t="str">
        <f ca="1">+WORLDCUP!BD64</f>
        <v>Egipto</v>
      </c>
      <c r="E457" s="10" t="str">
        <f ca="1">+WORLDCUP!BD59</f>
        <v>Catar</v>
      </c>
      <c r="F457" s="10" t="str">
        <f ca="1">+WORLDCUP!BD61</f>
        <v>Australia</v>
      </c>
      <c r="G457" s="10" t="str">
        <f ca="1">+WORLDCUP!BD58</f>
        <v>PO D: DEN/MKD/CZE/IRL</v>
      </c>
      <c r="H457" s="10" t="str">
        <f ca="1">+WORLDCUP!BD63</f>
        <v>Japón</v>
      </c>
      <c r="I457" s="10" t="str">
        <f ca="1">+WORLDCUP!BD66</f>
        <v>Noruega</v>
      </c>
      <c r="J457" s="10" t="str">
        <f ca="1">+WORLDCUP!BD67</f>
        <v>Argelia</v>
      </c>
      <c r="N457" s="19" t="s">
        <v>809</v>
      </c>
      <c r="O457" s="19">
        <v>456</v>
      </c>
      <c r="P457" s="19" t="s">
        <v>93</v>
      </c>
      <c r="Q457" s="19" t="s">
        <v>452</v>
      </c>
      <c r="R457" s="19" t="s">
        <v>92</v>
      </c>
      <c r="S457" s="19" t="s">
        <v>94</v>
      </c>
      <c r="T457" s="19" t="s">
        <v>91</v>
      </c>
      <c r="U457" s="19" t="s">
        <v>96</v>
      </c>
      <c r="V457" s="19" t="s">
        <v>457</v>
      </c>
      <c r="W457" s="19" t="s">
        <v>458</v>
      </c>
    </row>
    <row r="458" spans="1:23">
      <c r="A458" s="10" t="s">
        <v>808</v>
      </c>
      <c r="B458" s="10">
        <f ca="1">+IF(A458=WORLDCUP!$BI$112,1,0)</f>
        <v>0</v>
      </c>
      <c r="C458" s="10" t="str">
        <f ca="1">+WORLDCUP!BD60</f>
        <v>Escocia</v>
      </c>
      <c r="D458" s="10" t="str">
        <f ca="1">+WORLDCUP!BD64</f>
        <v>Egipto</v>
      </c>
      <c r="E458" s="10" t="str">
        <f ca="1">+WORLDCUP!BD59</f>
        <v>Catar</v>
      </c>
      <c r="F458" s="10" t="str">
        <f ca="1">+WORLDCUP!BD61</f>
        <v>Australia</v>
      </c>
      <c r="G458" s="10" t="str">
        <f ca="1">+WORLDCUP!BD58</f>
        <v>PO D: DEN/MKD/CZE/IRL</v>
      </c>
      <c r="H458" s="10" t="str">
        <f ca="1">+WORLDCUP!BD63</f>
        <v>Japón</v>
      </c>
      <c r="I458" s="10" t="str">
        <f ca="1">+WORLDCUP!BD69</f>
        <v>Ghana</v>
      </c>
      <c r="J458" s="10" t="str">
        <f ca="1">+WORLDCUP!BD65</f>
        <v>Arabia Saudita</v>
      </c>
      <c r="N458" s="19" t="s">
        <v>808</v>
      </c>
      <c r="O458" s="19">
        <v>457</v>
      </c>
      <c r="P458" s="19" t="s">
        <v>93</v>
      </c>
      <c r="Q458" s="19" t="s">
        <v>452</v>
      </c>
      <c r="R458" s="19" t="s">
        <v>92</v>
      </c>
      <c r="S458" s="19" t="s">
        <v>94</v>
      </c>
      <c r="T458" s="19" t="s">
        <v>91</v>
      </c>
      <c r="U458" s="19" t="s">
        <v>96</v>
      </c>
      <c r="V458" s="19" t="s">
        <v>460</v>
      </c>
      <c r="W458" s="19" t="s">
        <v>453</v>
      </c>
    </row>
    <row r="459" spans="1:23">
      <c r="A459" s="10" t="s">
        <v>807</v>
      </c>
      <c r="B459" s="10">
        <f ca="1">+IF(A459=WORLDCUP!$BI$112,1,0)</f>
        <v>0</v>
      </c>
      <c r="C459" s="10" t="str">
        <f ca="1">+WORLDCUP!BD65</f>
        <v>Arabia Saudita</v>
      </c>
      <c r="D459" s="10" t="str">
        <f ca="1">+WORLDCUP!BD64</f>
        <v>Egipto</v>
      </c>
      <c r="E459" s="10" t="str">
        <f ca="1">+WORLDCUP!BD59</f>
        <v>Catar</v>
      </c>
      <c r="F459" s="10" t="str">
        <f ca="1">+WORLDCUP!BD60</f>
        <v>Escocia</v>
      </c>
      <c r="G459" s="10" t="str">
        <f ca="1">+WORLDCUP!BD58</f>
        <v>PO D: DEN/MKD/CZE/IRL</v>
      </c>
      <c r="H459" s="10" t="str">
        <f ca="1">+WORLDCUP!BD63</f>
        <v>Japón</v>
      </c>
      <c r="I459" s="10" t="str">
        <f ca="1">+WORLDCUP!BD61</f>
        <v>Australia</v>
      </c>
      <c r="J459" s="10" t="str">
        <f ca="1">+WORLDCUP!BD68</f>
        <v>PO 1: COD/JAM/NCL</v>
      </c>
      <c r="N459" s="19" t="s">
        <v>807</v>
      </c>
      <c r="O459" s="19">
        <v>458</v>
      </c>
      <c r="P459" s="19" t="s">
        <v>453</v>
      </c>
      <c r="Q459" s="19" t="s">
        <v>452</v>
      </c>
      <c r="R459" s="19" t="s">
        <v>92</v>
      </c>
      <c r="S459" s="19" t="s">
        <v>93</v>
      </c>
      <c r="T459" s="19" t="s">
        <v>91</v>
      </c>
      <c r="U459" s="19" t="s">
        <v>96</v>
      </c>
      <c r="V459" s="19" t="s">
        <v>94</v>
      </c>
      <c r="W459" s="19" t="s">
        <v>459</v>
      </c>
    </row>
    <row r="460" spans="1:23">
      <c r="A460" s="10" t="s">
        <v>806</v>
      </c>
      <c r="B460" s="10">
        <f ca="1">+IF(A460=WORLDCUP!$BI$112,1,0)</f>
        <v>0</v>
      </c>
      <c r="C460" s="10" t="str">
        <f ca="1">+WORLDCUP!BD65</f>
        <v>Arabia Saudita</v>
      </c>
      <c r="D460" s="10" t="str">
        <f ca="1">+WORLDCUP!BD64</f>
        <v>Egipto</v>
      </c>
      <c r="E460" s="10" t="str">
        <f ca="1">+WORLDCUP!BD59</f>
        <v>Catar</v>
      </c>
      <c r="F460" s="10" t="str">
        <f ca="1">+WORLDCUP!BD60</f>
        <v>Escocia</v>
      </c>
      <c r="G460" s="10" t="str">
        <f ca="1">+WORLDCUP!BD58</f>
        <v>PO D: DEN/MKD/CZE/IRL</v>
      </c>
      <c r="H460" s="10" t="str">
        <f ca="1">+WORLDCUP!BD63</f>
        <v>Japón</v>
      </c>
      <c r="I460" s="10" t="str">
        <f ca="1">+WORLDCUP!BD61</f>
        <v>Australia</v>
      </c>
      <c r="J460" s="10" t="str">
        <f ca="1">+WORLDCUP!BD67</f>
        <v>Argelia</v>
      </c>
      <c r="N460" s="19" t="s">
        <v>806</v>
      </c>
      <c r="O460" s="19">
        <v>459</v>
      </c>
      <c r="P460" s="19" t="s">
        <v>453</v>
      </c>
      <c r="Q460" s="19" t="s">
        <v>452</v>
      </c>
      <c r="R460" s="19" t="s">
        <v>92</v>
      </c>
      <c r="S460" s="19" t="s">
        <v>93</v>
      </c>
      <c r="T460" s="19" t="s">
        <v>91</v>
      </c>
      <c r="U460" s="19" t="s">
        <v>96</v>
      </c>
      <c r="V460" s="19" t="s">
        <v>94</v>
      </c>
      <c r="W460" s="19" t="s">
        <v>458</v>
      </c>
    </row>
    <row r="461" spans="1:23">
      <c r="A461" s="10" t="s">
        <v>805</v>
      </c>
      <c r="B461" s="10">
        <f ca="1">+IF(A461=WORLDCUP!$BI$112,1,0)</f>
        <v>0</v>
      </c>
      <c r="C461" s="10" t="str">
        <f ca="1">+WORLDCUP!BD65</f>
        <v>Arabia Saudita</v>
      </c>
      <c r="D461" s="10" t="str">
        <f ca="1">+WORLDCUP!BD64</f>
        <v>Egipto</v>
      </c>
      <c r="E461" s="10" t="str">
        <f ca="1">+WORLDCUP!BD59</f>
        <v>Catar</v>
      </c>
      <c r="F461" s="10" t="str">
        <f ca="1">+WORLDCUP!BD60</f>
        <v>Escocia</v>
      </c>
      <c r="G461" s="10" t="str">
        <f ca="1">+WORLDCUP!BD58</f>
        <v>PO D: DEN/MKD/CZE/IRL</v>
      </c>
      <c r="H461" s="10" t="str">
        <f ca="1">+WORLDCUP!BD63</f>
        <v>Japón</v>
      </c>
      <c r="I461" s="10" t="str">
        <f ca="1">+WORLDCUP!BD61</f>
        <v>Australia</v>
      </c>
      <c r="J461" s="10" t="str">
        <f ca="1">+WORLDCUP!BD66</f>
        <v>Noruega</v>
      </c>
      <c r="N461" s="19" t="s">
        <v>805</v>
      </c>
      <c r="O461" s="19">
        <v>460</v>
      </c>
      <c r="P461" s="19" t="s">
        <v>453</v>
      </c>
      <c r="Q461" s="19" t="s">
        <v>452</v>
      </c>
      <c r="R461" s="19" t="s">
        <v>92</v>
      </c>
      <c r="S461" s="19" t="s">
        <v>93</v>
      </c>
      <c r="T461" s="19" t="s">
        <v>91</v>
      </c>
      <c r="U461" s="19" t="s">
        <v>96</v>
      </c>
      <c r="V461" s="19" t="s">
        <v>94</v>
      </c>
      <c r="W461" s="19" t="s">
        <v>457</v>
      </c>
    </row>
    <row r="462" spans="1:23">
      <c r="A462" s="10" t="s">
        <v>804</v>
      </c>
      <c r="B462" s="10">
        <f ca="1">+IF(A462=WORLDCUP!$BI$112,1,0)</f>
        <v>0</v>
      </c>
      <c r="C462" s="10" t="str">
        <f ca="1">+WORLDCUP!BD62</f>
        <v>Curazao</v>
      </c>
      <c r="D462" s="10" t="str">
        <f ca="1">+WORLDCUP!BD67</f>
        <v>Argelia</v>
      </c>
      <c r="E462" s="10" t="str">
        <f ca="1">+WORLDCUP!BD59</f>
        <v>Catar</v>
      </c>
      <c r="F462" s="10" t="str">
        <f ca="1">+WORLDCUP!BD60</f>
        <v>Escocia</v>
      </c>
      <c r="G462" s="10" t="str">
        <f ca="1">+WORLDCUP!BD58</f>
        <v>PO D: DEN/MKD/CZE/IRL</v>
      </c>
      <c r="H462" s="10" t="str">
        <f ca="1">+WORLDCUP!BD61</f>
        <v>Australia</v>
      </c>
      <c r="I462" s="10" t="str">
        <f ca="1">+WORLDCUP!BD69</f>
        <v>Ghana</v>
      </c>
      <c r="J462" s="10" t="str">
        <f ca="1">+WORLDCUP!BD68</f>
        <v>PO 1: COD/JAM/NCL</v>
      </c>
      <c r="N462" s="19" t="s">
        <v>804</v>
      </c>
      <c r="O462" s="19">
        <v>461</v>
      </c>
      <c r="P462" s="19" t="s">
        <v>95</v>
      </c>
      <c r="Q462" s="19" t="s">
        <v>458</v>
      </c>
      <c r="R462" s="19" t="s">
        <v>92</v>
      </c>
      <c r="S462" s="19" t="s">
        <v>93</v>
      </c>
      <c r="T462" s="19" t="s">
        <v>91</v>
      </c>
      <c r="U462" s="19" t="s">
        <v>94</v>
      </c>
      <c r="V462" s="19" t="s">
        <v>460</v>
      </c>
      <c r="W462" s="19" t="s">
        <v>459</v>
      </c>
    </row>
    <row r="463" spans="1:23">
      <c r="A463" s="10" t="s">
        <v>803</v>
      </c>
      <c r="B463" s="10">
        <f ca="1">+IF(A463=WORLDCUP!$BI$112,1,0)</f>
        <v>0</v>
      </c>
      <c r="C463" s="10" t="str">
        <f ca="1">+WORLDCUP!BD62</f>
        <v>Curazao</v>
      </c>
      <c r="D463" s="10" t="str">
        <f ca="1">+WORLDCUP!BD66</f>
        <v>Noruega</v>
      </c>
      <c r="E463" s="10" t="str">
        <f ca="1">+WORLDCUP!BD59</f>
        <v>Catar</v>
      </c>
      <c r="F463" s="10" t="str">
        <f ca="1">+WORLDCUP!BD60</f>
        <v>Escocia</v>
      </c>
      <c r="G463" s="10" t="str">
        <f ca="1">+WORLDCUP!BD58</f>
        <v>PO D: DEN/MKD/CZE/IRL</v>
      </c>
      <c r="H463" s="10" t="str">
        <f ca="1">+WORLDCUP!BD61</f>
        <v>Australia</v>
      </c>
      <c r="I463" s="10" t="str">
        <f ca="1">+WORLDCUP!BD69</f>
        <v>Ghana</v>
      </c>
      <c r="J463" s="10" t="str">
        <f ca="1">+WORLDCUP!BD68</f>
        <v>PO 1: COD/JAM/NCL</v>
      </c>
      <c r="N463" s="19" t="s">
        <v>803</v>
      </c>
      <c r="O463" s="19">
        <v>462</v>
      </c>
      <c r="P463" s="19" t="s">
        <v>95</v>
      </c>
      <c r="Q463" s="19" t="s">
        <v>457</v>
      </c>
      <c r="R463" s="19" t="s">
        <v>92</v>
      </c>
      <c r="S463" s="19" t="s">
        <v>93</v>
      </c>
      <c r="T463" s="19" t="s">
        <v>91</v>
      </c>
      <c r="U463" s="19" t="s">
        <v>94</v>
      </c>
      <c r="V463" s="19" t="s">
        <v>460</v>
      </c>
      <c r="W463" s="19" t="s">
        <v>459</v>
      </c>
    </row>
    <row r="464" spans="1:23">
      <c r="A464" s="10" t="s">
        <v>802</v>
      </c>
      <c r="B464" s="10">
        <f ca="1">+IF(A464=WORLDCUP!$BI$112,1,0)</f>
        <v>0</v>
      </c>
      <c r="C464" s="10" t="str">
        <f ca="1">+WORLDCUP!BD62</f>
        <v>Curazao</v>
      </c>
      <c r="D464" s="10" t="str">
        <f ca="1">+WORLDCUP!BD67</f>
        <v>Argelia</v>
      </c>
      <c r="E464" s="10" t="str">
        <f ca="1">+WORLDCUP!BD59</f>
        <v>Catar</v>
      </c>
      <c r="F464" s="10" t="str">
        <f ca="1">+WORLDCUP!BD60</f>
        <v>Escocia</v>
      </c>
      <c r="G464" s="10" t="str">
        <f ca="1">+WORLDCUP!BD58</f>
        <v>PO D: DEN/MKD/CZE/IRL</v>
      </c>
      <c r="H464" s="10" t="str">
        <f ca="1">+WORLDCUP!BD61</f>
        <v>Australia</v>
      </c>
      <c r="I464" s="10" t="str">
        <f ca="1">+WORLDCUP!BD69</f>
        <v>Ghana</v>
      </c>
      <c r="J464" s="10" t="str">
        <f ca="1">+WORLDCUP!BD66</f>
        <v>Noruega</v>
      </c>
      <c r="N464" s="19" t="s">
        <v>802</v>
      </c>
      <c r="O464" s="19">
        <v>463</v>
      </c>
      <c r="P464" s="19" t="s">
        <v>95</v>
      </c>
      <c r="Q464" s="19" t="s">
        <v>458</v>
      </c>
      <c r="R464" s="19" t="s">
        <v>92</v>
      </c>
      <c r="S464" s="19" t="s">
        <v>93</v>
      </c>
      <c r="T464" s="19" t="s">
        <v>91</v>
      </c>
      <c r="U464" s="19" t="s">
        <v>94</v>
      </c>
      <c r="V464" s="19" t="s">
        <v>460</v>
      </c>
      <c r="W464" s="19" t="s">
        <v>457</v>
      </c>
    </row>
    <row r="465" spans="1:23">
      <c r="A465" s="10" t="s">
        <v>801</v>
      </c>
      <c r="B465" s="10">
        <f ca="1">+IF(A465=WORLDCUP!$BI$112,1,0)</f>
        <v>0</v>
      </c>
      <c r="C465" s="10" t="str">
        <f ca="1">+WORLDCUP!BD62</f>
        <v>Curazao</v>
      </c>
      <c r="D465" s="10" t="str">
        <f ca="1">+WORLDCUP!BD67</f>
        <v>Argelia</v>
      </c>
      <c r="E465" s="10" t="str">
        <f ca="1">+WORLDCUP!BD59</f>
        <v>Catar</v>
      </c>
      <c r="F465" s="10" t="str">
        <f ca="1">+WORLDCUP!BD60</f>
        <v>Escocia</v>
      </c>
      <c r="G465" s="10" t="str">
        <f ca="1">+WORLDCUP!BD58</f>
        <v>PO D: DEN/MKD/CZE/IRL</v>
      </c>
      <c r="H465" s="10" t="str">
        <f ca="1">+WORLDCUP!BD61</f>
        <v>Australia</v>
      </c>
      <c r="I465" s="10" t="str">
        <f ca="1">+WORLDCUP!BD66</f>
        <v>Noruega</v>
      </c>
      <c r="J465" s="10" t="str">
        <f ca="1">+WORLDCUP!BD68</f>
        <v>PO 1: COD/JAM/NCL</v>
      </c>
      <c r="N465" s="19" t="s">
        <v>801</v>
      </c>
      <c r="O465" s="19">
        <v>464</v>
      </c>
      <c r="P465" s="19" t="s">
        <v>95</v>
      </c>
      <c r="Q465" s="19" t="s">
        <v>458</v>
      </c>
      <c r="R465" s="19" t="s">
        <v>92</v>
      </c>
      <c r="S465" s="19" t="s">
        <v>93</v>
      </c>
      <c r="T465" s="19" t="s">
        <v>91</v>
      </c>
      <c r="U465" s="19" t="s">
        <v>94</v>
      </c>
      <c r="V465" s="19" t="s">
        <v>457</v>
      </c>
      <c r="W465" s="19" t="s">
        <v>459</v>
      </c>
    </row>
    <row r="466" spans="1:23">
      <c r="A466" s="10" t="s">
        <v>800</v>
      </c>
      <c r="B466" s="10">
        <f ca="1">+IF(A466=WORLDCUP!$BI$112,1,0)</f>
        <v>0</v>
      </c>
      <c r="C466" s="10" t="str">
        <f ca="1">+WORLDCUP!BD65</f>
        <v>Arabia Saudita</v>
      </c>
      <c r="D466" s="10" t="str">
        <f ca="1">+WORLDCUP!BD62</f>
        <v>Curazao</v>
      </c>
      <c r="E466" s="10" t="str">
        <f ca="1">+WORLDCUP!BD59</f>
        <v>Catar</v>
      </c>
      <c r="F466" s="10" t="str">
        <f ca="1">+WORLDCUP!BD60</f>
        <v>Escocia</v>
      </c>
      <c r="G466" s="10" t="str">
        <f ca="1">+WORLDCUP!BD58</f>
        <v>PO D: DEN/MKD/CZE/IRL</v>
      </c>
      <c r="H466" s="10" t="str">
        <f ca="1">+WORLDCUP!BD61</f>
        <v>Australia</v>
      </c>
      <c r="I466" s="10" t="str">
        <f ca="1">+WORLDCUP!BD69</f>
        <v>Ghana</v>
      </c>
      <c r="J466" s="10" t="str">
        <f ca="1">+WORLDCUP!BD68</f>
        <v>PO 1: COD/JAM/NCL</v>
      </c>
      <c r="N466" s="19" t="s">
        <v>800</v>
      </c>
      <c r="O466" s="19">
        <v>465</v>
      </c>
      <c r="P466" s="19" t="s">
        <v>453</v>
      </c>
      <c r="Q466" s="19" t="s">
        <v>95</v>
      </c>
      <c r="R466" s="19" t="s">
        <v>92</v>
      </c>
      <c r="S466" s="19" t="s">
        <v>93</v>
      </c>
      <c r="T466" s="19" t="s">
        <v>91</v>
      </c>
      <c r="U466" s="19" t="s">
        <v>94</v>
      </c>
      <c r="V466" s="19" t="s">
        <v>460</v>
      </c>
      <c r="W466" s="19" t="s">
        <v>459</v>
      </c>
    </row>
    <row r="467" spans="1:23">
      <c r="A467" s="10" t="s">
        <v>799</v>
      </c>
      <c r="B467" s="10">
        <f ca="1">+IF(A467=WORLDCUP!$BI$112,1,0)</f>
        <v>0</v>
      </c>
      <c r="C467" s="10" t="str">
        <f ca="1">+WORLDCUP!BD65</f>
        <v>Arabia Saudita</v>
      </c>
      <c r="D467" s="10" t="str">
        <f ca="1">+WORLDCUP!BD67</f>
        <v>Argelia</v>
      </c>
      <c r="E467" s="10" t="str">
        <f ca="1">+WORLDCUP!BD59</f>
        <v>Catar</v>
      </c>
      <c r="F467" s="10" t="str">
        <f ca="1">+WORLDCUP!BD60</f>
        <v>Escocia</v>
      </c>
      <c r="G467" s="10" t="str">
        <f ca="1">+WORLDCUP!BD58</f>
        <v>PO D: DEN/MKD/CZE/IRL</v>
      </c>
      <c r="H467" s="10" t="str">
        <f ca="1">+WORLDCUP!BD61</f>
        <v>Australia</v>
      </c>
      <c r="I467" s="10" t="str">
        <f ca="1">+WORLDCUP!BD69</f>
        <v>Ghana</v>
      </c>
      <c r="J467" s="10" t="str">
        <f ca="1">+WORLDCUP!BD62</f>
        <v>Curazao</v>
      </c>
      <c r="N467" s="19" t="s">
        <v>799</v>
      </c>
      <c r="O467" s="19">
        <v>466</v>
      </c>
      <c r="P467" s="19" t="s">
        <v>453</v>
      </c>
      <c r="Q467" s="19" t="s">
        <v>458</v>
      </c>
      <c r="R467" s="19" t="s">
        <v>92</v>
      </c>
      <c r="S467" s="19" t="s">
        <v>93</v>
      </c>
      <c r="T467" s="19" t="s">
        <v>91</v>
      </c>
      <c r="U467" s="19" t="s">
        <v>94</v>
      </c>
      <c r="V467" s="19" t="s">
        <v>460</v>
      </c>
      <c r="W467" s="19" t="s">
        <v>95</v>
      </c>
    </row>
    <row r="468" spans="1:23">
      <c r="A468" s="10" t="s">
        <v>798</v>
      </c>
      <c r="B468" s="10">
        <f ca="1">+IF(A468=WORLDCUP!$BI$112,1,0)</f>
        <v>0</v>
      </c>
      <c r="C468" s="10" t="str">
        <f ca="1">+WORLDCUP!BD65</f>
        <v>Arabia Saudita</v>
      </c>
      <c r="D468" s="10" t="str">
        <f ca="1">+WORLDCUP!BD67</f>
        <v>Argelia</v>
      </c>
      <c r="E468" s="10" t="str">
        <f ca="1">+WORLDCUP!BD59</f>
        <v>Catar</v>
      </c>
      <c r="F468" s="10" t="str">
        <f ca="1">+WORLDCUP!BD60</f>
        <v>Escocia</v>
      </c>
      <c r="G468" s="10" t="str">
        <f ca="1">+WORLDCUP!BD58</f>
        <v>PO D: DEN/MKD/CZE/IRL</v>
      </c>
      <c r="H468" s="10" t="str">
        <f ca="1">+WORLDCUP!BD61</f>
        <v>Australia</v>
      </c>
      <c r="I468" s="10" t="str">
        <f ca="1">+WORLDCUP!BD62</f>
        <v>Curazao</v>
      </c>
      <c r="J468" s="10" t="str">
        <f ca="1">+WORLDCUP!BD68</f>
        <v>PO 1: COD/JAM/NCL</v>
      </c>
      <c r="N468" s="19" t="s">
        <v>798</v>
      </c>
      <c r="O468" s="19">
        <v>467</v>
      </c>
      <c r="P468" s="19" t="s">
        <v>453</v>
      </c>
      <c r="Q468" s="19" t="s">
        <v>458</v>
      </c>
      <c r="R468" s="19" t="s">
        <v>92</v>
      </c>
      <c r="S468" s="19" t="s">
        <v>93</v>
      </c>
      <c r="T468" s="19" t="s">
        <v>91</v>
      </c>
      <c r="U468" s="19" t="s">
        <v>94</v>
      </c>
      <c r="V468" s="19" t="s">
        <v>95</v>
      </c>
      <c r="W468" s="19" t="s">
        <v>459</v>
      </c>
    </row>
    <row r="469" spans="1:23">
      <c r="A469" s="10" t="s">
        <v>797</v>
      </c>
      <c r="B469" s="10">
        <f ca="1">+IF(A469=WORLDCUP!$BI$112,1,0)</f>
        <v>0</v>
      </c>
      <c r="C469" s="10" t="str">
        <f ca="1">+WORLDCUP!BD65</f>
        <v>Arabia Saudita</v>
      </c>
      <c r="D469" s="10" t="str">
        <f ca="1">+WORLDCUP!BD62</f>
        <v>Curazao</v>
      </c>
      <c r="E469" s="10" t="str">
        <f ca="1">+WORLDCUP!BD59</f>
        <v>Catar</v>
      </c>
      <c r="F469" s="10" t="str">
        <f ca="1">+WORLDCUP!BD60</f>
        <v>Escocia</v>
      </c>
      <c r="G469" s="10" t="str">
        <f ca="1">+WORLDCUP!BD58</f>
        <v>PO D: DEN/MKD/CZE/IRL</v>
      </c>
      <c r="H469" s="10" t="str">
        <f ca="1">+WORLDCUP!BD61</f>
        <v>Australia</v>
      </c>
      <c r="I469" s="10" t="str">
        <f ca="1">+WORLDCUP!BD69</f>
        <v>Ghana</v>
      </c>
      <c r="J469" s="10" t="str">
        <f ca="1">+WORLDCUP!BD66</f>
        <v>Noruega</v>
      </c>
      <c r="N469" s="19" t="s">
        <v>797</v>
      </c>
      <c r="O469" s="19">
        <v>468</v>
      </c>
      <c r="P469" s="19" t="s">
        <v>453</v>
      </c>
      <c r="Q469" s="19" t="s">
        <v>95</v>
      </c>
      <c r="R469" s="19" t="s">
        <v>92</v>
      </c>
      <c r="S469" s="19" t="s">
        <v>93</v>
      </c>
      <c r="T469" s="19" t="s">
        <v>91</v>
      </c>
      <c r="U469" s="19" t="s">
        <v>94</v>
      </c>
      <c r="V469" s="19" t="s">
        <v>460</v>
      </c>
      <c r="W469" s="19" t="s">
        <v>457</v>
      </c>
    </row>
    <row r="470" spans="1:23">
      <c r="A470" s="10" t="s">
        <v>796</v>
      </c>
      <c r="B470" s="10">
        <f ca="1">+IF(A470=WORLDCUP!$BI$112,1,0)</f>
        <v>0</v>
      </c>
      <c r="C470" s="10" t="str">
        <f ca="1">+WORLDCUP!BD65</f>
        <v>Arabia Saudita</v>
      </c>
      <c r="D470" s="10" t="str">
        <f ca="1">+WORLDCUP!BD62</f>
        <v>Curazao</v>
      </c>
      <c r="E470" s="10" t="str">
        <f ca="1">+WORLDCUP!BD59</f>
        <v>Catar</v>
      </c>
      <c r="F470" s="10" t="str">
        <f ca="1">+WORLDCUP!BD60</f>
        <v>Escocia</v>
      </c>
      <c r="G470" s="10" t="str">
        <f ca="1">+WORLDCUP!BD58</f>
        <v>PO D: DEN/MKD/CZE/IRL</v>
      </c>
      <c r="H470" s="10" t="str">
        <f ca="1">+WORLDCUP!BD61</f>
        <v>Australia</v>
      </c>
      <c r="I470" s="10" t="str">
        <f ca="1">+WORLDCUP!BD66</f>
        <v>Noruega</v>
      </c>
      <c r="J470" s="10" t="str">
        <f ca="1">+WORLDCUP!BD68</f>
        <v>PO 1: COD/JAM/NCL</v>
      </c>
      <c r="N470" s="19" t="s">
        <v>796</v>
      </c>
      <c r="O470" s="19">
        <v>469</v>
      </c>
      <c r="P470" s="19" t="s">
        <v>453</v>
      </c>
      <c r="Q470" s="19" t="s">
        <v>95</v>
      </c>
      <c r="R470" s="19" t="s">
        <v>92</v>
      </c>
      <c r="S470" s="19" t="s">
        <v>93</v>
      </c>
      <c r="T470" s="19" t="s">
        <v>91</v>
      </c>
      <c r="U470" s="19" t="s">
        <v>94</v>
      </c>
      <c r="V470" s="19" t="s">
        <v>457</v>
      </c>
      <c r="W470" s="19" t="s">
        <v>459</v>
      </c>
    </row>
    <row r="471" spans="1:23">
      <c r="A471" s="10" t="s">
        <v>795</v>
      </c>
      <c r="B471" s="10">
        <f ca="1">+IF(A471=WORLDCUP!$BI$112,1,0)</f>
        <v>0</v>
      </c>
      <c r="C471" s="10" t="str">
        <f ca="1">+WORLDCUP!BD65</f>
        <v>Arabia Saudita</v>
      </c>
      <c r="D471" s="10" t="str">
        <f ca="1">+WORLDCUP!BD67</f>
        <v>Argelia</v>
      </c>
      <c r="E471" s="10" t="str">
        <f ca="1">+WORLDCUP!BD59</f>
        <v>Catar</v>
      </c>
      <c r="F471" s="10" t="str">
        <f ca="1">+WORLDCUP!BD60</f>
        <v>Escocia</v>
      </c>
      <c r="G471" s="10" t="str">
        <f ca="1">+WORLDCUP!BD58</f>
        <v>PO D: DEN/MKD/CZE/IRL</v>
      </c>
      <c r="H471" s="10" t="str">
        <f ca="1">+WORLDCUP!BD61</f>
        <v>Australia</v>
      </c>
      <c r="I471" s="10" t="str">
        <f ca="1">+WORLDCUP!BD62</f>
        <v>Curazao</v>
      </c>
      <c r="J471" s="10" t="str">
        <f ca="1">+WORLDCUP!BD66</f>
        <v>Noruega</v>
      </c>
      <c r="N471" s="19" t="s">
        <v>795</v>
      </c>
      <c r="O471" s="19">
        <v>470</v>
      </c>
      <c r="P471" s="19" t="s">
        <v>453</v>
      </c>
      <c r="Q471" s="19" t="s">
        <v>458</v>
      </c>
      <c r="R471" s="19" t="s">
        <v>92</v>
      </c>
      <c r="S471" s="19" t="s">
        <v>93</v>
      </c>
      <c r="T471" s="19" t="s">
        <v>91</v>
      </c>
      <c r="U471" s="19" t="s">
        <v>94</v>
      </c>
      <c r="V471" s="19" t="s">
        <v>95</v>
      </c>
      <c r="W471" s="19" t="s">
        <v>457</v>
      </c>
    </row>
    <row r="472" spans="1:23">
      <c r="A472" s="10" t="s">
        <v>794</v>
      </c>
      <c r="B472" s="10">
        <f ca="1">+IF(A472=WORLDCUP!$BI$112,1,0)</f>
        <v>0</v>
      </c>
      <c r="C472" s="10" t="str">
        <f ca="1">+WORLDCUP!BD62</f>
        <v>Curazao</v>
      </c>
      <c r="D472" s="10" t="str">
        <f ca="1">+WORLDCUP!BD64</f>
        <v>Egipto</v>
      </c>
      <c r="E472" s="10" t="str">
        <f ca="1">+WORLDCUP!BD59</f>
        <v>Catar</v>
      </c>
      <c r="F472" s="10" t="str">
        <f ca="1">+WORLDCUP!BD60</f>
        <v>Escocia</v>
      </c>
      <c r="G472" s="10" t="str">
        <f ca="1">+WORLDCUP!BD58</f>
        <v>PO D: DEN/MKD/CZE/IRL</v>
      </c>
      <c r="H472" s="10" t="str">
        <f ca="1">+WORLDCUP!BD61</f>
        <v>Australia</v>
      </c>
      <c r="I472" s="10" t="str">
        <f ca="1">+WORLDCUP!BD69</f>
        <v>Ghana</v>
      </c>
      <c r="J472" s="10" t="str">
        <f ca="1">+WORLDCUP!BD68</f>
        <v>PO 1: COD/JAM/NCL</v>
      </c>
      <c r="N472" s="19" t="s">
        <v>794</v>
      </c>
      <c r="O472" s="19">
        <v>471</v>
      </c>
      <c r="P472" s="19" t="s">
        <v>95</v>
      </c>
      <c r="Q472" s="19" t="s">
        <v>452</v>
      </c>
      <c r="R472" s="19" t="s">
        <v>92</v>
      </c>
      <c r="S472" s="19" t="s">
        <v>93</v>
      </c>
      <c r="T472" s="19" t="s">
        <v>91</v>
      </c>
      <c r="U472" s="19" t="s">
        <v>94</v>
      </c>
      <c r="V472" s="19" t="s">
        <v>460</v>
      </c>
      <c r="W472" s="19" t="s">
        <v>459</v>
      </c>
    </row>
    <row r="473" spans="1:23">
      <c r="A473" s="10" t="s">
        <v>793</v>
      </c>
      <c r="B473" s="10">
        <f ca="1">+IF(A473=WORLDCUP!$BI$112,1,0)</f>
        <v>0</v>
      </c>
      <c r="C473" s="10" t="str">
        <f ca="1">+WORLDCUP!BD62</f>
        <v>Curazao</v>
      </c>
      <c r="D473" s="10" t="str">
        <f ca="1">+WORLDCUP!BD64</f>
        <v>Egipto</v>
      </c>
      <c r="E473" s="10" t="str">
        <f ca="1">+WORLDCUP!BD59</f>
        <v>Catar</v>
      </c>
      <c r="F473" s="10" t="str">
        <f ca="1">+WORLDCUP!BD60</f>
        <v>Escocia</v>
      </c>
      <c r="G473" s="10" t="str">
        <f ca="1">+WORLDCUP!BD58</f>
        <v>PO D: DEN/MKD/CZE/IRL</v>
      </c>
      <c r="H473" s="10" t="str">
        <f ca="1">+WORLDCUP!BD61</f>
        <v>Australia</v>
      </c>
      <c r="I473" s="10" t="str">
        <f ca="1">+WORLDCUP!BD69</f>
        <v>Ghana</v>
      </c>
      <c r="J473" s="10" t="str">
        <f ca="1">+WORLDCUP!BD67</f>
        <v>Argelia</v>
      </c>
      <c r="N473" s="19" t="s">
        <v>793</v>
      </c>
      <c r="O473" s="19">
        <v>472</v>
      </c>
      <c r="P473" s="19" t="s">
        <v>95</v>
      </c>
      <c r="Q473" s="19" t="s">
        <v>452</v>
      </c>
      <c r="R473" s="19" t="s">
        <v>92</v>
      </c>
      <c r="S473" s="19" t="s">
        <v>93</v>
      </c>
      <c r="T473" s="19" t="s">
        <v>91</v>
      </c>
      <c r="U473" s="19" t="s">
        <v>94</v>
      </c>
      <c r="V473" s="19" t="s">
        <v>460</v>
      </c>
      <c r="W473" s="19" t="s">
        <v>458</v>
      </c>
    </row>
    <row r="474" spans="1:23">
      <c r="A474" s="10" t="s">
        <v>792</v>
      </c>
      <c r="B474" s="10">
        <f ca="1">+IF(A474=WORLDCUP!$BI$112,1,0)</f>
        <v>0</v>
      </c>
      <c r="C474" s="10" t="str">
        <f ca="1">+WORLDCUP!BD62</f>
        <v>Curazao</v>
      </c>
      <c r="D474" s="10" t="str">
        <f ca="1">+WORLDCUP!BD64</f>
        <v>Egipto</v>
      </c>
      <c r="E474" s="10" t="str">
        <f ca="1">+WORLDCUP!BD59</f>
        <v>Catar</v>
      </c>
      <c r="F474" s="10" t="str">
        <f ca="1">+WORLDCUP!BD60</f>
        <v>Escocia</v>
      </c>
      <c r="G474" s="10" t="str">
        <f ca="1">+WORLDCUP!BD58</f>
        <v>PO D: DEN/MKD/CZE/IRL</v>
      </c>
      <c r="H474" s="10" t="str">
        <f ca="1">+WORLDCUP!BD61</f>
        <v>Australia</v>
      </c>
      <c r="I474" s="10" t="str">
        <f ca="1">+WORLDCUP!BD67</f>
        <v>Argelia</v>
      </c>
      <c r="J474" s="10" t="str">
        <f ca="1">+WORLDCUP!BD68</f>
        <v>PO 1: COD/JAM/NCL</v>
      </c>
      <c r="N474" s="19" t="s">
        <v>792</v>
      </c>
      <c r="O474" s="19">
        <v>473</v>
      </c>
      <c r="P474" s="19" t="s">
        <v>95</v>
      </c>
      <c r="Q474" s="19" t="s">
        <v>452</v>
      </c>
      <c r="R474" s="19" t="s">
        <v>92</v>
      </c>
      <c r="S474" s="19" t="s">
        <v>93</v>
      </c>
      <c r="T474" s="19" t="s">
        <v>91</v>
      </c>
      <c r="U474" s="19" t="s">
        <v>94</v>
      </c>
      <c r="V474" s="19" t="s">
        <v>458</v>
      </c>
      <c r="W474" s="19" t="s">
        <v>459</v>
      </c>
    </row>
    <row r="475" spans="1:23">
      <c r="A475" s="10" t="s">
        <v>791</v>
      </c>
      <c r="B475" s="10">
        <f ca="1">+IF(A475=WORLDCUP!$BI$112,1,0)</f>
        <v>0</v>
      </c>
      <c r="C475" s="10" t="str">
        <f ca="1">+WORLDCUP!BD62</f>
        <v>Curazao</v>
      </c>
      <c r="D475" s="10" t="str">
        <f ca="1">+WORLDCUP!BD64</f>
        <v>Egipto</v>
      </c>
      <c r="E475" s="10" t="str">
        <f ca="1">+WORLDCUP!BD59</f>
        <v>Catar</v>
      </c>
      <c r="F475" s="10" t="str">
        <f ca="1">+WORLDCUP!BD60</f>
        <v>Escocia</v>
      </c>
      <c r="G475" s="10" t="str">
        <f ca="1">+WORLDCUP!BD58</f>
        <v>PO D: DEN/MKD/CZE/IRL</v>
      </c>
      <c r="H475" s="10" t="str">
        <f ca="1">+WORLDCUP!BD61</f>
        <v>Australia</v>
      </c>
      <c r="I475" s="10" t="str">
        <f ca="1">+WORLDCUP!BD69</f>
        <v>Ghana</v>
      </c>
      <c r="J475" s="10" t="str">
        <f ca="1">+WORLDCUP!BD66</f>
        <v>Noruega</v>
      </c>
      <c r="N475" s="19" t="s">
        <v>791</v>
      </c>
      <c r="O475" s="19">
        <v>474</v>
      </c>
      <c r="P475" s="19" t="s">
        <v>95</v>
      </c>
      <c r="Q475" s="19" t="s">
        <v>452</v>
      </c>
      <c r="R475" s="19" t="s">
        <v>92</v>
      </c>
      <c r="S475" s="19" t="s">
        <v>93</v>
      </c>
      <c r="T475" s="19" t="s">
        <v>91</v>
      </c>
      <c r="U475" s="19" t="s">
        <v>94</v>
      </c>
      <c r="V475" s="19" t="s">
        <v>460</v>
      </c>
      <c r="W475" s="19" t="s">
        <v>457</v>
      </c>
    </row>
    <row r="476" spans="1:23">
      <c r="A476" s="10" t="s">
        <v>790</v>
      </c>
      <c r="B476" s="10">
        <f ca="1">+IF(A476=WORLDCUP!$BI$112,1,0)</f>
        <v>0</v>
      </c>
      <c r="C476" s="10" t="str">
        <f ca="1">+WORLDCUP!BD62</f>
        <v>Curazao</v>
      </c>
      <c r="D476" s="10" t="str">
        <f ca="1">+WORLDCUP!BD64</f>
        <v>Egipto</v>
      </c>
      <c r="E476" s="10" t="str">
        <f ca="1">+WORLDCUP!BD59</f>
        <v>Catar</v>
      </c>
      <c r="F476" s="10" t="str">
        <f ca="1">+WORLDCUP!BD60</f>
        <v>Escocia</v>
      </c>
      <c r="G476" s="10" t="str">
        <f ca="1">+WORLDCUP!BD58</f>
        <v>PO D: DEN/MKD/CZE/IRL</v>
      </c>
      <c r="H476" s="10" t="str">
        <f ca="1">+WORLDCUP!BD61</f>
        <v>Australia</v>
      </c>
      <c r="I476" s="10" t="str">
        <f ca="1">+WORLDCUP!BD66</f>
        <v>Noruega</v>
      </c>
      <c r="J476" s="10" t="str">
        <f ca="1">+WORLDCUP!BD68</f>
        <v>PO 1: COD/JAM/NCL</v>
      </c>
      <c r="N476" s="19" t="s">
        <v>790</v>
      </c>
      <c r="O476" s="19">
        <v>475</v>
      </c>
      <c r="P476" s="19" t="s">
        <v>95</v>
      </c>
      <c r="Q476" s="19" t="s">
        <v>452</v>
      </c>
      <c r="R476" s="19" t="s">
        <v>92</v>
      </c>
      <c r="S476" s="19" t="s">
        <v>93</v>
      </c>
      <c r="T476" s="19" t="s">
        <v>91</v>
      </c>
      <c r="U476" s="19" t="s">
        <v>94</v>
      </c>
      <c r="V476" s="19" t="s">
        <v>457</v>
      </c>
      <c r="W476" s="19" t="s">
        <v>459</v>
      </c>
    </row>
    <row r="477" spans="1:23">
      <c r="A477" s="10" t="s">
        <v>789</v>
      </c>
      <c r="B477" s="10">
        <f ca="1">+IF(A477=WORLDCUP!$BI$112,1,0)</f>
        <v>0</v>
      </c>
      <c r="C477" s="10" t="str">
        <f ca="1">+WORLDCUP!BD62</f>
        <v>Curazao</v>
      </c>
      <c r="D477" s="10" t="str">
        <f ca="1">+WORLDCUP!BD64</f>
        <v>Egipto</v>
      </c>
      <c r="E477" s="10" t="str">
        <f ca="1">+WORLDCUP!BD59</f>
        <v>Catar</v>
      </c>
      <c r="F477" s="10" t="str">
        <f ca="1">+WORLDCUP!BD60</f>
        <v>Escocia</v>
      </c>
      <c r="G477" s="10" t="str">
        <f ca="1">+WORLDCUP!BD58</f>
        <v>PO D: DEN/MKD/CZE/IRL</v>
      </c>
      <c r="H477" s="10" t="str">
        <f ca="1">+WORLDCUP!BD61</f>
        <v>Australia</v>
      </c>
      <c r="I477" s="10" t="str">
        <f ca="1">+WORLDCUP!BD66</f>
        <v>Noruega</v>
      </c>
      <c r="J477" s="10" t="str">
        <f ca="1">+WORLDCUP!BD67</f>
        <v>Argelia</v>
      </c>
      <c r="N477" s="19" t="s">
        <v>789</v>
      </c>
      <c r="O477" s="19">
        <v>476</v>
      </c>
      <c r="P477" s="19" t="s">
        <v>95</v>
      </c>
      <c r="Q477" s="19" t="s">
        <v>452</v>
      </c>
      <c r="R477" s="19" t="s">
        <v>92</v>
      </c>
      <c r="S477" s="19" t="s">
        <v>93</v>
      </c>
      <c r="T477" s="19" t="s">
        <v>91</v>
      </c>
      <c r="U477" s="19" t="s">
        <v>94</v>
      </c>
      <c r="V477" s="19" t="s">
        <v>457</v>
      </c>
      <c r="W477" s="19" t="s">
        <v>458</v>
      </c>
    </row>
    <row r="478" spans="1:23">
      <c r="A478" s="10" t="s">
        <v>788</v>
      </c>
      <c r="B478" s="10">
        <f ca="1">+IF(A478=WORLDCUP!$BI$112,1,0)</f>
        <v>0</v>
      </c>
      <c r="C478" s="10" t="str">
        <f ca="1">+WORLDCUP!BD65</f>
        <v>Arabia Saudita</v>
      </c>
      <c r="D478" s="10" t="str">
        <f ca="1">+WORLDCUP!BD64</f>
        <v>Egipto</v>
      </c>
      <c r="E478" s="10" t="str">
        <f ca="1">+WORLDCUP!BD59</f>
        <v>Catar</v>
      </c>
      <c r="F478" s="10" t="str">
        <f ca="1">+WORLDCUP!BD60</f>
        <v>Escocia</v>
      </c>
      <c r="G478" s="10" t="str">
        <f ca="1">+WORLDCUP!BD58</f>
        <v>PO D: DEN/MKD/CZE/IRL</v>
      </c>
      <c r="H478" s="10" t="str">
        <f ca="1">+WORLDCUP!BD61</f>
        <v>Australia</v>
      </c>
      <c r="I478" s="10" t="str">
        <f ca="1">+WORLDCUP!BD69</f>
        <v>Ghana</v>
      </c>
      <c r="J478" s="10" t="str">
        <f ca="1">+WORLDCUP!BD62</f>
        <v>Curazao</v>
      </c>
      <c r="N478" s="19" t="s">
        <v>788</v>
      </c>
      <c r="O478" s="19">
        <v>477</v>
      </c>
      <c r="P478" s="19" t="s">
        <v>453</v>
      </c>
      <c r="Q478" s="19" t="s">
        <v>452</v>
      </c>
      <c r="R478" s="19" t="s">
        <v>92</v>
      </c>
      <c r="S478" s="19" t="s">
        <v>93</v>
      </c>
      <c r="T478" s="19" t="s">
        <v>91</v>
      </c>
      <c r="U478" s="19" t="s">
        <v>94</v>
      </c>
      <c r="V478" s="19" t="s">
        <v>460</v>
      </c>
      <c r="W478" s="19" t="s">
        <v>95</v>
      </c>
    </row>
    <row r="479" spans="1:23">
      <c r="A479" s="10" t="s">
        <v>787</v>
      </c>
      <c r="B479" s="10">
        <f ca="1">+IF(A479=WORLDCUP!$BI$112,1,0)</f>
        <v>0</v>
      </c>
      <c r="C479" s="10" t="str">
        <f ca="1">+WORLDCUP!BD65</f>
        <v>Arabia Saudita</v>
      </c>
      <c r="D479" s="10" t="str">
        <f ca="1">+WORLDCUP!BD64</f>
        <v>Egipto</v>
      </c>
      <c r="E479" s="10" t="str">
        <f ca="1">+WORLDCUP!BD59</f>
        <v>Catar</v>
      </c>
      <c r="F479" s="10" t="str">
        <f ca="1">+WORLDCUP!BD60</f>
        <v>Escocia</v>
      </c>
      <c r="G479" s="10" t="str">
        <f ca="1">+WORLDCUP!BD58</f>
        <v>PO D: DEN/MKD/CZE/IRL</v>
      </c>
      <c r="H479" s="10" t="str">
        <f ca="1">+WORLDCUP!BD61</f>
        <v>Australia</v>
      </c>
      <c r="I479" s="10" t="str">
        <f ca="1">+WORLDCUP!BD62</f>
        <v>Curazao</v>
      </c>
      <c r="J479" s="10" t="str">
        <f ca="1">+WORLDCUP!BD68</f>
        <v>PO 1: COD/JAM/NCL</v>
      </c>
      <c r="N479" s="19" t="s">
        <v>787</v>
      </c>
      <c r="O479" s="19">
        <v>478</v>
      </c>
      <c r="P479" s="19" t="s">
        <v>453</v>
      </c>
      <c r="Q479" s="19" t="s">
        <v>452</v>
      </c>
      <c r="R479" s="19" t="s">
        <v>92</v>
      </c>
      <c r="S479" s="19" t="s">
        <v>93</v>
      </c>
      <c r="T479" s="19" t="s">
        <v>91</v>
      </c>
      <c r="U479" s="19" t="s">
        <v>94</v>
      </c>
      <c r="V479" s="19" t="s">
        <v>95</v>
      </c>
      <c r="W479" s="19" t="s">
        <v>459</v>
      </c>
    </row>
    <row r="480" spans="1:23">
      <c r="A480" s="10" t="s">
        <v>786</v>
      </c>
      <c r="B480" s="10">
        <f ca="1">+IF(A480=WORLDCUP!$BI$112,1,0)</f>
        <v>0</v>
      </c>
      <c r="C480" s="10" t="str">
        <f ca="1">+WORLDCUP!BD65</f>
        <v>Arabia Saudita</v>
      </c>
      <c r="D480" s="10" t="str">
        <f ca="1">+WORLDCUP!BD64</f>
        <v>Egipto</v>
      </c>
      <c r="E480" s="10" t="str">
        <f ca="1">+WORLDCUP!BD59</f>
        <v>Catar</v>
      </c>
      <c r="F480" s="10" t="str">
        <f ca="1">+WORLDCUP!BD60</f>
        <v>Escocia</v>
      </c>
      <c r="G480" s="10" t="str">
        <f ca="1">+WORLDCUP!BD58</f>
        <v>PO D: DEN/MKD/CZE/IRL</v>
      </c>
      <c r="H480" s="10" t="str">
        <f ca="1">+WORLDCUP!BD61</f>
        <v>Australia</v>
      </c>
      <c r="I480" s="10" t="str">
        <f ca="1">+WORLDCUP!BD62</f>
        <v>Curazao</v>
      </c>
      <c r="J480" s="10" t="str">
        <f ca="1">+WORLDCUP!BD67</f>
        <v>Argelia</v>
      </c>
      <c r="N480" s="19" t="s">
        <v>786</v>
      </c>
      <c r="O480" s="19">
        <v>479</v>
      </c>
      <c r="P480" s="19" t="s">
        <v>453</v>
      </c>
      <c r="Q480" s="19" t="s">
        <v>452</v>
      </c>
      <c r="R480" s="19" t="s">
        <v>92</v>
      </c>
      <c r="S480" s="19" t="s">
        <v>93</v>
      </c>
      <c r="T480" s="19" t="s">
        <v>91</v>
      </c>
      <c r="U480" s="19" t="s">
        <v>94</v>
      </c>
      <c r="V480" s="19" t="s">
        <v>95</v>
      </c>
      <c r="W480" s="19" t="s">
        <v>458</v>
      </c>
    </row>
    <row r="481" spans="1:23">
      <c r="A481" s="10" t="s">
        <v>785</v>
      </c>
      <c r="B481" s="10">
        <f ca="1">+IF(A481=WORLDCUP!$BI$112,1,0)</f>
        <v>0</v>
      </c>
      <c r="C481" s="10" t="str">
        <f ca="1">+WORLDCUP!BD65</f>
        <v>Arabia Saudita</v>
      </c>
      <c r="D481" s="10" t="str">
        <f ca="1">+WORLDCUP!BD64</f>
        <v>Egipto</v>
      </c>
      <c r="E481" s="10" t="str">
        <f ca="1">+WORLDCUP!BD59</f>
        <v>Catar</v>
      </c>
      <c r="F481" s="10" t="str">
        <f ca="1">+WORLDCUP!BD60</f>
        <v>Escocia</v>
      </c>
      <c r="G481" s="10" t="str">
        <f ca="1">+WORLDCUP!BD58</f>
        <v>PO D: DEN/MKD/CZE/IRL</v>
      </c>
      <c r="H481" s="10" t="str">
        <f ca="1">+WORLDCUP!BD61</f>
        <v>Australia</v>
      </c>
      <c r="I481" s="10" t="str">
        <f ca="1">+WORLDCUP!BD62</f>
        <v>Curazao</v>
      </c>
      <c r="J481" s="10" t="str">
        <f ca="1">+WORLDCUP!BD66</f>
        <v>Noruega</v>
      </c>
      <c r="N481" s="19" t="s">
        <v>785</v>
      </c>
      <c r="O481" s="19">
        <v>480</v>
      </c>
      <c r="P481" s="19" t="s">
        <v>453</v>
      </c>
      <c r="Q481" s="19" t="s">
        <v>452</v>
      </c>
      <c r="R481" s="19" t="s">
        <v>92</v>
      </c>
      <c r="S481" s="19" t="s">
        <v>93</v>
      </c>
      <c r="T481" s="19" t="s">
        <v>91</v>
      </c>
      <c r="U481" s="19" t="s">
        <v>94</v>
      </c>
      <c r="V481" s="19" t="s">
        <v>95</v>
      </c>
      <c r="W481" s="19" t="s">
        <v>457</v>
      </c>
    </row>
    <row r="482" spans="1:23">
      <c r="A482" s="10" t="s">
        <v>476</v>
      </c>
      <c r="B482" s="10">
        <f ca="1">+IF(A482=WORLDCUP!$BI$112,1,0)</f>
        <v>0</v>
      </c>
      <c r="C482" s="10" t="str">
        <f ca="1">+WORLDCUP!BD60</f>
        <v>Escocia</v>
      </c>
      <c r="D482" s="10" t="str">
        <f ca="1">+WORLDCUP!BD62</f>
        <v>Curazao</v>
      </c>
      <c r="E482" s="10" t="str">
        <f ca="1">+WORLDCUP!BD59</f>
        <v>Catar</v>
      </c>
      <c r="F482" s="10" t="str">
        <f ca="1">+WORLDCUP!BD61</f>
        <v>Australia</v>
      </c>
      <c r="G482" s="10" t="str">
        <f ca="1">+WORLDCUP!BD58</f>
        <v>PO D: DEN/MKD/CZE/IRL</v>
      </c>
      <c r="H482" s="10" t="str">
        <f ca="1">+WORLDCUP!BD63</f>
        <v>Japón</v>
      </c>
      <c r="I482" s="10" t="str">
        <f ca="1">+WORLDCUP!BD69</f>
        <v>Ghana</v>
      </c>
      <c r="J482" s="10" t="str">
        <f ca="1">+WORLDCUP!BD68</f>
        <v>PO 1: COD/JAM/NCL</v>
      </c>
      <c r="N482" s="19" t="s">
        <v>476</v>
      </c>
      <c r="O482" s="19">
        <v>481</v>
      </c>
      <c r="P482" s="19" t="s">
        <v>93</v>
      </c>
      <c r="Q482" s="19" t="s">
        <v>95</v>
      </c>
      <c r="R482" s="19" t="s">
        <v>92</v>
      </c>
      <c r="S482" s="19" t="s">
        <v>94</v>
      </c>
      <c r="T482" s="19" t="s">
        <v>91</v>
      </c>
      <c r="U482" s="19" t="s">
        <v>96</v>
      </c>
      <c r="V482" s="19" t="s">
        <v>460</v>
      </c>
      <c r="W482" s="19" t="s">
        <v>459</v>
      </c>
    </row>
    <row r="483" spans="1:23">
      <c r="A483" s="10" t="s">
        <v>475</v>
      </c>
      <c r="B483" s="10">
        <f ca="1">+IF(A483=WORLDCUP!$BI$112,1,0)</f>
        <v>0</v>
      </c>
      <c r="C483" s="10" t="str">
        <f ca="1">+WORLDCUP!BD60</f>
        <v>Escocia</v>
      </c>
      <c r="D483" s="10" t="str">
        <f ca="1">+WORLDCUP!BD67</f>
        <v>Argelia</v>
      </c>
      <c r="E483" s="10" t="str">
        <f ca="1">+WORLDCUP!BD59</f>
        <v>Catar</v>
      </c>
      <c r="F483" s="10" t="str">
        <f ca="1">+WORLDCUP!BD61</f>
        <v>Australia</v>
      </c>
      <c r="G483" s="10" t="str">
        <f ca="1">+WORLDCUP!BD58</f>
        <v>PO D: DEN/MKD/CZE/IRL</v>
      </c>
      <c r="H483" s="10" t="str">
        <f ca="1">+WORLDCUP!BD63</f>
        <v>Japón</v>
      </c>
      <c r="I483" s="10" t="str">
        <f ca="1">+WORLDCUP!BD69</f>
        <v>Ghana</v>
      </c>
      <c r="J483" s="10" t="str">
        <f ca="1">+WORLDCUP!BD62</f>
        <v>Curazao</v>
      </c>
      <c r="N483" s="19" t="s">
        <v>475</v>
      </c>
      <c r="O483" s="19">
        <v>482</v>
      </c>
      <c r="P483" s="19" t="s">
        <v>93</v>
      </c>
      <c r="Q483" s="19" t="s">
        <v>458</v>
      </c>
      <c r="R483" s="19" t="s">
        <v>92</v>
      </c>
      <c r="S483" s="19" t="s">
        <v>94</v>
      </c>
      <c r="T483" s="19" t="s">
        <v>91</v>
      </c>
      <c r="U483" s="19" t="s">
        <v>96</v>
      </c>
      <c r="V483" s="19" t="s">
        <v>460</v>
      </c>
      <c r="W483" s="19" t="s">
        <v>95</v>
      </c>
    </row>
    <row r="484" spans="1:23">
      <c r="A484" s="10" t="s">
        <v>474</v>
      </c>
      <c r="B484" s="10">
        <f ca="1">+IF(A484=WORLDCUP!$BI$112,1,0)</f>
        <v>0</v>
      </c>
      <c r="C484" s="10" t="str">
        <f ca="1">+WORLDCUP!BD60</f>
        <v>Escocia</v>
      </c>
      <c r="D484" s="10" t="str">
        <f ca="1">+WORLDCUP!BD67</f>
        <v>Argelia</v>
      </c>
      <c r="E484" s="10" t="str">
        <f ca="1">+WORLDCUP!BD59</f>
        <v>Catar</v>
      </c>
      <c r="F484" s="10" t="str">
        <f ca="1">+WORLDCUP!BD61</f>
        <v>Australia</v>
      </c>
      <c r="G484" s="10" t="str">
        <f ca="1">+WORLDCUP!BD58</f>
        <v>PO D: DEN/MKD/CZE/IRL</v>
      </c>
      <c r="H484" s="10" t="str">
        <f ca="1">+WORLDCUP!BD63</f>
        <v>Japón</v>
      </c>
      <c r="I484" s="10" t="str">
        <f ca="1">+WORLDCUP!BD62</f>
        <v>Curazao</v>
      </c>
      <c r="J484" s="10" t="str">
        <f ca="1">+WORLDCUP!BD68</f>
        <v>PO 1: COD/JAM/NCL</v>
      </c>
      <c r="N484" s="19" t="s">
        <v>474</v>
      </c>
      <c r="O484" s="19">
        <v>483</v>
      </c>
      <c r="P484" s="19" t="s">
        <v>93</v>
      </c>
      <c r="Q484" s="19" t="s">
        <v>458</v>
      </c>
      <c r="R484" s="19" t="s">
        <v>92</v>
      </c>
      <c r="S484" s="19" t="s">
        <v>94</v>
      </c>
      <c r="T484" s="19" t="s">
        <v>91</v>
      </c>
      <c r="U484" s="19" t="s">
        <v>96</v>
      </c>
      <c r="V484" s="19" t="s">
        <v>95</v>
      </c>
      <c r="W484" s="19" t="s">
        <v>459</v>
      </c>
    </row>
    <row r="485" spans="1:23">
      <c r="A485" s="10" t="s">
        <v>473</v>
      </c>
      <c r="B485" s="10">
        <f ca="1">+IF(A485=WORLDCUP!$BI$112,1,0)</f>
        <v>0</v>
      </c>
      <c r="C485" s="10" t="str">
        <f ca="1">+WORLDCUP!BD60</f>
        <v>Escocia</v>
      </c>
      <c r="D485" s="10" t="str">
        <f ca="1">+WORLDCUP!BD62</f>
        <v>Curazao</v>
      </c>
      <c r="E485" s="10" t="str">
        <f ca="1">+WORLDCUP!BD59</f>
        <v>Catar</v>
      </c>
      <c r="F485" s="10" t="str">
        <f ca="1">+WORLDCUP!BD61</f>
        <v>Australia</v>
      </c>
      <c r="G485" s="10" t="str">
        <f ca="1">+WORLDCUP!BD58</f>
        <v>PO D: DEN/MKD/CZE/IRL</v>
      </c>
      <c r="H485" s="10" t="str">
        <f ca="1">+WORLDCUP!BD63</f>
        <v>Japón</v>
      </c>
      <c r="I485" s="10" t="str">
        <f ca="1">+WORLDCUP!BD69</f>
        <v>Ghana</v>
      </c>
      <c r="J485" s="10" t="str">
        <f ca="1">+WORLDCUP!BD66</f>
        <v>Noruega</v>
      </c>
      <c r="N485" s="19" t="s">
        <v>473</v>
      </c>
      <c r="O485" s="19">
        <v>484</v>
      </c>
      <c r="P485" s="19" t="s">
        <v>93</v>
      </c>
      <c r="Q485" s="19" t="s">
        <v>95</v>
      </c>
      <c r="R485" s="19" t="s">
        <v>92</v>
      </c>
      <c r="S485" s="19" t="s">
        <v>94</v>
      </c>
      <c r="T485" s="19" t="s">
        <v>91</v>
      </c>
      <c r="U485" s="19" t="s">
        <v>96</v>
      </c>
      <c r="V485" s="19" t="s">
        <v>460</v>
      </c>
      <c r="W485" s="19" t="s">
        <v>457</v>
      </c>
    </row>
    <row r="486" spans="1:23">
      <c r="A486" s="10" t="s">
        <v>472</v>
      </c>
      <c r="B486" s="10">
        <f ca="1">+IF(A486=WORLDCUP!$BI$112,1,0)</f>
        <v>0</v>
      </c>
      <c r="C486" s="10" t="str">
        <f ca="1">+WORLDCUP!BD60</f>
        <v>Escocia</v>
      </c>
      <c r="D486" s="10" t="str">
        <f ca="1">+WORLDCUP!BD62</f>
        <v>Curazao</v>
      </c>
      <c r="E486" s="10" t="str">
        <f ca="1">+WORLDCUP!BD59</f>
        <v>Catar</v>
      </c>
      <c r="F486" s="10" t="str">
        <f ca="1">+WORLDCUP!BD61</f>
        <v>Australia</v>
      </c>
      <c r="G486" s="10" t="str">
        <f ca="1">+WORLDCUP!BD58</f>
        <v>PO D: DEN/MKD/CZE/IRL</v>
      </c>
      <c r="H486" s="10" t="str">
        <f ca="1">+WORLDCUP!BD63</f>
        <v>Japón</v>
      </c>
      <c r="I486" s="10" t="str">
        <f ca="1">+WORLDCUP!BD66</f>
        <v>Noruega</v>
      </c>
      <c r="J486" s="10" t="str">
        <f ca="1">+WORLDCUP!BD68</f>
        <v>PO 1: COD/JAM/NCL</v>
      </c>
      <c r="N486" s="19" t="s">
        <v>472</v>
      </c>
      <c r="O486" s="19">
        <v>485</v>
      </c>
      <c r="P486" s="19" t="s">
        <v>93</v>
      </c>
      <c r="Q486" s="19" t="s">
        <v>95</v>
      </c>
      <c r="R486" s="19" t="s">
        <v>92</v>
      </c>
      <c r="S486" s="19" t="s">
        <v>94</v>
      </c>
      <c r="T486" s="19" t="s">
        <v>91</v>
      </c>
      <c r="U486" s="19" t="s">
        <v>96</v>
      </c>
      <c r="V486" s="19" t="s">
        <v>457</v>
      </c>
      <c r="W486" s="19" t="s">
        <v>459</v>
      </c>
    </row>
    <row r="487" spans="1:23">
      <c r="A487" s="10" t="s">
        <v>471</v>
      </c>
      <c r="B487" s="10">
        <f ca="1">+IF(A487=WORLDCUP!$BI$112,1,0)</f>
        <v>0</v>
      </c>
      <c r="C487" s="10" t="str">
        <f ca="1">+WORLDCUP!BD60</f>
        <v>Escocia</v>
      </c>
      <c r="D487" s="10" t="str">
        <f ca="1">+WORLDCUP!BD67</f>
        <v>Argelia</v>
      </c>
      <c r="E487" s="10" t="str">
        <f ca="1">+WORLDCUP!BD59</f>
        <v>Catar</v>
      </c>
      <c r="F487" s="10" t="str">
        <f ca="1">+WORLDCUP!BD61</f>
        <v>Australia</v>
      </c>
      <c r="G487" s="10" t="str">
        <f ca="1">+WORLDCUP!BD58</f>
        <v>PO D: DEN/MKD/CZE/IRL</v>
      </c>
      <c r="H487" s="10" t="str">
        <f ca="1">+WORLDCUP!BD63</f>
        <v>Japón</v>
      </c>
      <c r="I487" s="10" t="str">
        <f ca="1">+WORLDCUP!BD62</f>
        <v>Curazao</v>
      </c>
      <c r="J487" s="10" t="str">
        <f ca="1">+WORLDCUP!BD66</f>
        <v>Noruega</v>
      </c>
      <c r="N487" s="19" t="s">
        <v>471</v>
      </c>
      <c r="O487" s="19">
        <v>486</v>
      </c>
      <c r="P487" s="19" t="s">
        <v>93</v>
      </c>
      <c r="Q487" s="19" t="s">
        <v>458</v>
      </c>
      <c r="R487" s="19" t="s">
        <v>92</v>
      </c>
      <c r="S487" s="19" t="s">
        <v>94</v>
      </c>
      <c r="T487" s="19" t="s">
        <v>91</v>
      </c>
      <c r="U487" s="19" t="s">
        <v>96</v>
      </c>
      <c r="V487" s="19" t="s">
        <v>95</v>
      </c>
      <c r="W487" s="19" t="s">
        <v>457</v>
      </c>
    </row>
    <row r="488" spans="1:23">
      <c r="A488" s="10" t="s">
        <v>470</v>
      </c>
      <c r="B488" s="10">
        <f ca="1">+IF(A488=WORLDCUP!$BI$112,1,0)</f>
        <v>0</v>
      </c>
      <c r="C488" s="10" t="str">
        <f ca="1">+WORLDCUP!BD65</f>
        <v>Arabia Saudita</v>
      </c>
      <c r="D488" s="10" t="str">
        <f ca="1">+WORLDCUP!BD63</f>
        <v>Japón</v>
      </c>
      <c r="E488" s="10" t="str">
        <f ca="1">+WORLDCUP!BD59</f>
        <v>Catar</v>
      </c>
      <c r="F488" s="10" t="str">
        <f ca="1">+WORLDCUP!BD60</f>
        <v>Escocia</v>
      </c>
      <c r="G488" s="10" t="str">
        <f ca="1">+WORLDCUP!BD58</f>
        <v>PO D: DEN/MKD/CZE/IRL</v>
      </c>
      <c r="H488" s="10" t="str">
        <f ca="1">+WORLDCUP!BD61</f>
        <v>Australia</v>
      </c>
      <c r="I488" s="10" t="str">
        <f ca="1">+WORLDCUP!BD69</f>
        <v>Ghana</v>
      </c>
      <c r="J488" s="10" t="str">
        <f ca="1">+WORLDCUP!BD62</f>
        <v>Curazao</v>
      </c>
      <c r="N488" s="19" t="s">
        <v>470</v>
      </c>
      <c r="O488" s="19">
        <v>487</v>
      </c>
      <c r="P488" s="19" t="s">
        <v>453</v>
      </c>
      <c r="Q488" s="19" t="s">
        <v>96</v>
      </c>
      <c r="R488" s="19" t="s">
        <v>92</v>
      </c>
      <c r="S488" s="19" t="s">
        <v>93</v>
      </c>
      <c r="T488" s="19" t="s">
        <v>91</v>
      </c>
      <c r="U488" s="19" t="s">
        <v>94</v>
      </c>
      <c r="V488" s="19" t="s">
        <v>460</v>
      </c>
      <c r="W488" s="19" t="s">
        <v>95</v>
      </c>
    </row>
    <row r="489" spans="1:23">
      <c r="A489" s="10" t="s">
        <v>469</v>
      </c>
      <c r="B489" s="10">
        <f ca="1">+IF(A489=WORLDCUP!$BI$112,1,0)</f>
        <v>0</v>
      </c>
      <c r="C489" s="10" t="str">
        <f ca="1">+WORLDCUP!BD65</f>
        <v>Arabia Saudita</v>
      </c>
      <c r="D489" s="10" t="str">
        <f ca="1">+WORLDCUP!BD62</f>
        <v>Curazao</v>
      </c>
      <c r="E489" s="10" t="str">
        <f ca="1">+WORLDCUP!BD59</f>
        <v>Catar</v>
      </c>
      <c r="F489" s="10" t="str">
        <f ca="1">+WORLDCUP!BD60</f>
        <v>Escocia</v>
      </c>
      <c r="G489" s="10" t="str">
        <f ca="1">+WORLDCUP!BD58</f>
        <v>PO D: DEN/MKD/CZE/IRL</v>
      </c>
      <c r="H489" s="10" t="str">
        <f ca="1">+WORLDCUP!BD63</f>
        <v>Japón</v>
      </c>
      <c r="I489" s="10" t="str">
        <f ca="1">+WORLDCUP!BD61</f>
        <v>Australia</v>
      </c>
      <c r="J489" s="10" t="str">
        <f ca="1">+WORLDCUP!BD68</f>
        <v>PO 1: COD/JAM/NCL</v>
      </c>
      <c r="N489" s="19" t="s">
        <v>469</v>
      </c>
      <c r="O489" s="19">
        <v>488</v>
      </c>
      <c r="P489" s="19" t="s">
        <v>453</v>
      </c>
      <c r="Q489" s="19" t="s">
        <v>95</v>
      </c>
      <c r="R489" s="19" t="s">
        <v>92</v>
      </c>
      <c r="S489" s="19" t="s">
        <v>93</v>
      </c>
      <c r="T489" s="19" t="s">
        <v>91</v>
      </c>
      <c r="U489" s="19" t="s">
        <v>96</v>
      </c>
      <c r="V489" s="19" t="s">
        <v>94</v>
      </c>
      <c r="W489" s="19" t="s">
        <v>459</v>
      </c>
    </row>
    <row r="490" spans="1:23">
      <c r="A490" s="10" t="s">
        <v>468</v>
      </c>
      <c r="B490" s="10">
        <f ca="1">+IF(A490=WORLDCUP!$BI$112,1,0)</f>
        <v>0</v>
      </c>
      <c r="C490" s="10" t="str">
        <f ca="1">+WORLDCUP!BD65</f>
        <v>Arabia Saudita</v>
      </c>
      <c r="D490" s="10" t="str">
        <f ca="1">+WORLDCUP!BD67</f>
        <v>Argelia</v>
      </c>
      <c r="E490" s="10" t="str">
        <f ca="1">+WORLDCUP!BD59</f>
        <v>Catar</v>
      </c>
      <c r="F490" s="10" t="str">
        <f ca="1">+WORLDCUP!BD60</f>
        <v>Escocia</v>
      </c>
      <c r="G490" s="10" t="str">
        <f ca="1">+WORLDCUP!BD58</f>
        <v>PO D: DEN/MKD/CZE/IRL</v>
      </c>
      <c r="H490" s="10" t="str">
        <f ca="1">+WORLDCUP!BD63</f>
        <v>Japón</v>
      </c>
      <c r="I490" s="10" t="str">
        <f ca="1">+WORLDCUP!BD61</f>
        <v>Australia</v>
      </c>
      <c r="J490" s="10" t="str">
        <f ca="1">+WORLDCUP!BD62</f>
        <v>Curazao</v>
      </c>
      <c r="N490" s="19" t="s">
        <v>468</v>
      </c>
      <c r="O490" s="19">
        <v>489</v>
      </c>
      <c r="P490" s="19" t="s">
        <v>453</v>
      </c>
      <c r="Q490" s="19" t="s">
        <v>458</v>
      </c>
      <c r="R490" s="19" t="s">
        <v>92</v>
      </c>
      <c r="S490" s="19" t="s">
        <v>93</v>
      </c>
      <c r="T490" s="19" t="s">
        <v>91</v>
      </c>
      <c r="U490" s="19" t="s">
        <v>96</v>
      </c>
      <c r="V490" s="19" t="s">
        <v>94</v>
      </c>
      <c r="W490" s="19" t="s">
        <v>95</v>
      </c>
    </row>
    <row r="491" spans="1:23">
      <c r="A491" s="10" t="s">
        <v>467</v>
      </c>
      <c r="B491" s="10">
        <f ca="1">+IF(A491=WORLDCUP!$BI$112,1,0)</f>
        <v>0</v>
      </c>
      <c r="C491" s="10" t="str">
        <f ca="1">+WORLDCUP!BD65</f>
        <v>Arabia Saudita</v>
      </c>
      <c r="D491" s="10" t="str">
        <f ca="1">+WORLDCUP!BD62</f>
        <v>Curazao</v>
      </c>
      <c r="E491" s="10" t="str">
        <f ca="1">+WORLDCUP!BD59</f>
        <v>Catar</v>
      </c>
      <c r="F491" s="10" t="str">
        <f ca="1">+WORLDCUP!BD60</f>
        <v>Escocia</v>
      </c>
      <c r="G491" s="10" t="str">
        <f ca="1">+WORLDCUP!BD58</f>
        <v>PO D: DEN/MKD/CZE/IRL</v>
      </c>
      <c r="H491" s="10" t="str">
        <f ca="1">+WORLDCUP!BD63</f>
        <v>Japón</v>
      </c>
      <c r="I491" s="10" t="str">
        <f ca="1">+WORLDCUP!BD61</f>
        <v>Australia</v>
      </c>
      <c r="J491" s="10" t="str">
        <f ca="1">+WORLDCUP!BD66</f>
        <v>Noruega</v>
      </c>
      <c r="N491" s="19" t="s">
        <v>467</v>
      </c>
      <c r="O491" s="19">
        <v>490</v>
      </c>
      <c r="P491" s="19" t="s">
        <v>453</v>
      </c>
      <c r="Q491" s="19" t="s">
        <v>95</v>
      </c>
      <c r="R491" s="19" t="s">
        <v>92</v>
      </c>
      <c r="S491" s="19" t="s">
        <v>93</v>
      </c>
      <c r="T491" s="19" t="s">
        <v>91</v>
      </c>
      <c r="U491" s="19" t="s">
        <v>96</v>
      </c>
      <c r="V491" s="19" t="s">
        <v>94</v>
      </c>
      <c r="W491" s="19" t="s">
        <v>457</v>
      </c>
    </row>
    <row r="492" spans="1:23">
      <c r="A492" s="10" t="s">
        <v>466</v>
      </c>
      <c r="B492" s="10">
        <f ca="1">+IF(A492=WORLDCUP!$BI$112,1,0)</f>
        <v>0</v>
      </c>
      <c r="C492" s="10" t="str">
        <f ca="1">+WORLDCUP!BD60</f>
        <v>Escocia</v>
      </c>
      <c r="D492" s="10" t="str">
        <f ca="1">+WORLDCUP!BD64</f>
        <v>Egipto</v>
      </c>
      <c r="E492" s="10" t="str">
        <f ca="1">+WORLDCUP!BD59</f>
        <v>Catar</v>
      </c>
      <c r="F492" s="10" t="str">
        <f ca="1">+WORLDCUP!BD61</f>
        <v>Australia</v>
      </c>
      <c r="G492" s="10" t="str">
        <f ca="1">+WORLDCUP!BD58</f>
        <v>PO D: DEN/MKD/CZE/IRL</v>
      </c>
      <c r="H492" s="10" t="str">
        <f ca="1">+WORLDCUP!BD63</f>
        <v>Japón</v>
      </c>
      <c r="I492" s="10" t="str">
        <f ca="1">+WORLDCUP!BD69</f>
        <v>Ghana</v>
      </c>
      <c r="J492" s="10" t="str">
        <f ca="1">+WORLDCUP!BD62</f>
        <v>Curazao</v>
      </c>
      <c r="N492" s="19" t="s">
        <v>466</v>
      </c>
      <c r="O492" s="19">
        <v>491</v>
      </c>
      <c r="P492" s="19" t="s">
        <v>93</v>
      </c>
      <c r="Q492" s="19" t="s">
        <v>452</v>
      </c>
      <c r="R492" s="19" t="s">
        <v>92</v>
      </c>
      <c r="S492" s="19" t="s">
        <v>94</v>
      </c>
      <c r="T492" s="19" t="s">
        <v>91</v>
      </c>
      <c r="U492" s="19" t="s">
        <v>96</v>
      </c>
      <c r="V492" s="19" t="s">
        <v>460</v>
      </c>
      <c r="W492" s="19" t="s">
        <v>95</v>
      </c>
    </row>
    <row r="493" spans="1:23">
      <c r="A493" s="10" t="s">
        <v>465</v>
      </c>
      <c r="B493" s="10">
        <f ca="1">+IF(A493=WORLDCUP!$BI$112,1,0)</f>
        <v>0</v>
      </c>
      <c r="C493" s="10" t="str">
        <f ca="1">+WORLDCUP!BD60</f>
        <v>Escocia</v>
      </c>
      <c r="D493" s="10" t="str">
        <f ca="1">+WORLDCUP!BD64</f>
        <v>Egipto</v>
      </c>
      <c r="E493" s="10" t="str">
        <f ca="1">+WORLDCUP!BD59</f>
        <v>Catar</v>
      </c>
      <c r="F493" s="10" t="str">
        <f ca="1">+WORLDCUP!BD61</f>
        <v>Australia</v>
      </c>
      <c r="G493" s="10" t="str">
        <f ca="1">+WORLDCUP!BD58</f>
        <v>PO D: DEN/MKD/CZE/IRL</v>
      </c>
      <c r="H493" s="10" t="str">
        <f ca="1">+WORLDCUP!BD63</f>
        <v>Japón</v>
      </c>
      <c r="I493" s="10" t="str">
        <f ca="1">+WORLDCUP!BD62</f>
        <v>Curazao</v>
      </c>
      <c r="J493" s="10" t="str">
        <f ca="1">+WORLDCUP!BD68</f>
        <v>PO 1: COD/JAM/NCL</v>
      </c>
      <c r="N493" s="19" t="s">
        <v>465</v>
      </c>
      <c r="O493" s="19">
        <v>492</v>
      </c>
      <c r="P493" s="19" t="s">
        <v>93</v>
      </c>
      <c r="Q493" s="19" t="s">
        <v>452</v>
      </c>
      <c r="R493" s="19" t="s">
        <v>92</v>
      </c>
      <c r="S493" s="19" t="s">
        <v>94</v>
      </c>
      <c r="T493" s="19" t="s">
        <v>91</v>
      </c>
      <c r="U493" s="19" t="s">
        <v>96</v>
      </c>
      <c r="V493" s="19" t="s">
        <v>95</v>
      </c>
      <c r="W493" s="19" t="s">
        <v>459</v>
      </c>
    </row>
    <row r="494" spans="1:23">
      <c r="A494" s="10" t="s">
        <v>464</v>
      </c>
      <c r="B494" s="10">
        <f ca="1">+IF(A494=WORLDCUP!$BI$112,1,0)</f>
        <v>0</v>
      </c>
      <c r="C494" s="10" t="str">
        <f ca="1">+WORLDCUP!BD60</f>
        <v>Escocia</v>
      </c>
      <c r="D494" s="10" t="str">
        <f ca="1">+WORLDCUP!BD64</f>
        <v>Egipto</v>
      </c>
      <c r="E494" s="10" t="str">
        <f ca="1">+WORLDCUP!BD59</f>
        <v>Catar</v>
      </c>
      <c r="F494" s="10" t="str">
        <f ca="1">+WORLDCUP!BD61</f>
        <v>Australia</v>
      </c>
      <c r="G494" s="10" t="str">
        <f ca="1">+WORLDCUP!BD58</f>
        <v>PO D: DEN/MKD/CZE/IRL</v>
      </c>
      <c r="H494" s="10" t="str">
        <f ca="1">+WORLDCUP!BD63</f>
        <v>Japón</v>
      </c>
      <c r="I494" s="10" t="str">
        <f ca="1">+WORLDCUP!BD62</f>
        <v>Curazao</v>
      </c>
      <c r="J494" s="10" t="str">
        <f ca="1">+WORLDCUP!BD67</f>
        <v>Argelia</v>
      </c>
      <c r="N494" s="19" t="s">
        <v>464</v>
      </c>
      <c r="O494" s="19">
        <v>493</v>
      </c>
      <c r="P494" s="19" t="s">
        <v>93</v>
      </c>
      <c r="Q494" s="19" t="s">
        <v>452</v>
      </c>
      <c r="R494" s="19" t="s">
        <v>92</v>
      </c>
      <c r="S494" s="19" t="s">
        <v>94</v>
      </c>
      <c r="T494" s="19" t="s">
        <v>91</v>
      </c>
      <c r="U494" s="19" t="s">
        <v>96</v>
      </c>
      <c r="V494" s="19" t="s">
        <v>95</v>
      </c>
      <c r="W494" s="19" t="s">
        <v>458</v>
      </c>
    </row>
    <row r="495" spans="1:23">
      <c r="A495" s="10" t="s">
        <v>463</v>
      </c>
      <c r="B495" s="10">
        <f ca="1">+IF(A495=WORLDCUP!$BI$112,1,0)</f>
        <v>0</v>
      </c>
      <c r="C495" s="10" t="str">
        <f ca="1">+WORLDCUP!BD60</f>
        <v>Escocia</v>
      </c>
      <c r="D495" s="10" t="str">
        <f ca="1">+WORLDCUP!BD64</f>
        <v>Egipto</v>
      </c>
      <c r="E495" s="10" t="str">
        <f ca="1">+WORLDCUP!BD59</f>
        <v>Catar</v>
      </c>
      <c r="F495" s="10" t="str">
        <f ca="1">+WORLDCUP!BD61</f>
        <v>Australia</v>
      </c>
      <c r="G495" s="10" t="str">
        <f ca="1">+WORLDCUP!BD58</f>
        <v>PO D: DEN/MKD/CZE/IRL</v>
      </c>
      <c r="H495" s="10" t="str">
        <f ca="1">+WORLDCUP!BD63</f>
        <v>Japón</v>
      </c>
      <c r="I495" s="10" t="str">
        <f ca="1">+WORLDCUP!BD62</f>
        <v>Curazao</v>
      </c>
      <c r="J495" s="10" t="str">
        <f ca="1">+WORLDCUP!BD66</f>
        <v>Noruega</v>
      </c>
      <c r="N495" s="19" t="s">
        <v>463</v>
      </c>
      <c r="O495" s="19">
        <v>494</v>
      </c>
      <c r="P495" s="19" t="s">
        <v>93</v>
      </c>
      <c r="Q495" s="19" t="s">
        <v>452</v>
      </c>
      <c r="R495" s="19" t="s">
        <v>92</v>
      </c>
      <c r="S495" s="19" t="s">
        <v>94</v>
      </c>
      <c r="T495" s="19" t="s">
        <v>91</v>
      </c>
      <c r="U495" s="19" t="s">
        <v>96</v>
      </c>
      <c r="V495" s="19" t="s">
        <v>95</v>
      </c>
      <c r="W495" s="19" t="s">
        <v>457</v>
      </c>
    </row>
    <row r="496" spans="1:23">
      <c r="A496" s="10" t="s">
        <v>462</v>
      </c>
      <c r="B496" s="10">
        <f ca="1">+IF(A496=WORLDCUP!$BI$112,1,0)</f>
        <v>0</v>
      </c>
      <c r="C496" s="10" t="str">
        <f ca="1">+WORLDCUP!BD65</f>
        <v>Arabia Saudita</v>
      </c>
      <c r="D496" s="10" t="str">
        <f ca="1">+WORLDCUP!BD64</f>
        <v>Egipto</v>
      </c>
      <c r="E496" s="10" t="str">
        <f ca="1">+WORLDCUP!BD59</f>
        <v>Catar</v>
      </c>
      <c r="F496" s="10" t="str">
        <f ca="1">+WORLDCUP!BD60</f>
        <v>Escocia</v>
      </c>
      <c r="G496" s="10" t="str">
        <f ca="1">+WORLDCUP!BD58</f>
        <v>PO D: DEN/MKD/CZE/IRL</v>
      </c>
      <c r="H496" s="10" t="str">
        <f ca="1">+WORLDCUP!BD63</f>
        <v>Japón</v>
      </c>
      <c r="I496" s="10" t="str">
        <f ca="1">+WORLDCUP!BD61</f>
        <v>Australia</v>
      </c>
      <c r="J496" s="10" t="str">
        <f ca="1">+WORLDCUP!BD62</f>
        <v>Curazao</v>
      </c>
      <c r="N496" s="19" t="s">
        <v>462</v>
      </c>
      <c r="O496" s="19">
        <v>495</v>
      </c>
      <c r="P496" s="19" t="s">
        <v>453</v>
      </c>
      <c r="Q496" s="19" t="s">
        <v>452</v>
      </c>
      <c r="R496" s="19" t="s">
        <v>92</v>
      </c>
      <c r="S496" s="19" t="s">
        <v>93</v>
      </c>
      <c r="T496" s="19" t="s">
        <v>91</v>
      </c>
      <c r="U496" s="19" t="s">
        <v>96</v>
      </c>
      <c r="V496" s="19" t="s">
        <v>94</v>
      </c>
      <c r="W496" s="19" t="s">
        <v>95</v>
      </c>
    </row>
    <row r="497" spans="1:10">
      <c r="A497" s="429" t="s">
        <v>740</v>
      </c>
      <c r="B497" s="429" t="str">
        <f ca="1">+IF(AND(WORLDCUP!$H$113=144,SUM(Combinaciones!$B$2:$B$496)=1),"OK",IF(AND(WORLDCUP!$H$113=144,SUM(Combinaciones!$B$2:$B$496)=0),"Error1",IF(AND(WORLDCUP!$H$113&lt;&gt;144,SUM(Combinaciones!$B$2:$B$496)=1),"Error2",IF(AND(WORLDCUP!$H$113&lt;&gt;144,SUM(Combinaciones!$B$2:$B$496)=0),"Faltan partidos","OTRA COSA"))))</f>
        <v>OK</v>
      </c>
      <c r="C497" s="10"/>
      <c r="D497" s="10"/>
      <c r="E497" s="10"/>
      <c r="F497" s="10"/>
      <c r="G497" s="10"/>
      <c r="H497" s="10"/>
      <c r="I497" s="10"/>
      <c r="J497" s="10"/>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 priority="1" stopIfTrue="1">
      <formula>IF($B2=1,1,0)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PE8159"/>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6" style="6" customWidth="1"/>
    <col min="2" max="2" width="13.33203125" style="6" customWidth="1"/>
    <col min="3" max="3" width="32.77734375" style="6" customWidth="1"/>
    <col min="4" max="4" width="0.44140625" style="6" customWidth="1"/>
    <col min="5" max="5" width="10.77734375" style="6"/>
    <col min="6" max="6" width="0.44140625" style="6" customWidth="1"/>
    <col min="7" max="9" width="10.77734375" style="6"/>
    <col min="10" max="10" width="10.77734375" style="6" customWidth="1"/>
    <col min="11" max="11" width="4" style="6" customWidth="1"/>
    <col min="12" max="12" width="19.109375" style="6" customWidth="1"/>
    <col min="13" max="410" width="10.77734375" style="6"/>
    <col min="411" max="417" width="10.77734375" style="419"/>
    <col min="418" max="421" width="10.77734375" style="425"/>
    <col min="422" max="16384" width="10.77734375" style="6"/>
  </cols>
  <sheetData>
    <row r="1" spans="1:421">
      <c r="A1" s="235"/>
      <c r="B1" s="235"/>
      <c r="C1" s="235"/>
      <c r="D1" s="235"/>
      <c r="E1" s="237"/>
      <c r="F1" s="237"/>
      <c r="G1" s="237"/>
      <c r="H1" s="237"/>
      <c r="I1" s="237"/>
      <c r="J1" s="237"/>
      <c r="K1" s="236"/>
      <c r="L1" s="236"/>
      <c r="M1" s="236"/>
      <c r="N1" s="236"/>
      <c r="O1" s="236"/>
      <c r="P1" s="236"/>
      <c r="Q1" s="236"/>
    </row>
    <row r="2" spans="1:421">
      <c r="A2" s="235"/>
      <c r="B2" s="274" t="str">
        <f>Idiomas!D79</f>
        <v>Limitación de responsabilidad:</v>
      </c>
      <c r="C2" s="238"/>
      <c r="D2" s="238"/>
      <c r="E2" s="239"/>
      <c r="F2" s="239"/>
      <c r="G2" s="239"/>
      <c r="H2" s="239"/>
      <c r="I2" s="239"/>
      <c r="J2" s="239"/>
      <c r="K2" s="236"/>
      <c r="L2" s="274" t="s">
        <v>195</v>
      </c>
      <c r="M2" s="236"/>
      <c r="N2" s="236"/>
      <c r="O2" s="236"/>
      <c r="P2" s="236"/>
      <c r="Q2" s="236"/>
    </row>
    <row r="3" spans="1:421" s="5" customFormat="1">
      <c r="A3" s="235"/>
      <c r="B3" s="733" t="str">
        <f>Idiomas!D76</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34"/>
      <c r="D3" s="734"/>
      <c r="E3" s="734"/>
      <c r="F3" s="734"/>
      <c r="G3" s="734"/>
      <c r="H3" s="734"/>
      <c r="I3" s="734"/>
      <c r="J3" s="735"/>
      <c r="K3" s="236"/>
      <c r="L3" s="351"/>
      <c r="M3" s="352"/>
      <c r="N3" s="352"/>
      <c r="O3" s="352"/>
      <c r="P3" s="352"/>
      <c r="Q3" s="352"/>
      <c r="R3" s="352"/>
      <c r="S3" s="352"/>
      <c r="T3" s="353"/>
      <c r="U3" s="6"/>
      <c r="V3" s="6"/>
      <c r="W3" s="6"/>
      <c r="X3" s="6"/>
      <c r="Y3" s="6"/>
      <c r="Z3" s="6"/>
      <c r="AA3" s="6"/>
      <c r="AB3" s="6"/>
      <c r="AC3" s="6"/>
      <c r="AD3" s="6"/>
      <c r="AE3" s="6"/>
      <c r="AF3" s="6"/>
      <c r="AG3" s="6"/>
      <c r="AH3" s="6"/>
      <c r="AI3" s="6"/>
      <c r="AJ3" s="6"/>
      <c r="AK3" s="6"/>
      <c r="AL3" s="6"/>
      <c r="AM3" s="6"/>
      <c r="OU3" s="420"/>
      <c r="OV3" s="420"/>
      <c r="OW3" s="420"/>
      <c r="OX3" s="420"/>
      <c r="OY3" s="420"/>
      <c r="OZ3" s="420"/>
      <c r="PA3" s="420"/>
      <c r="PB3" s="426"/>
      <c r="PC3" s="426"/>
      <c r="PD3" s="426"/>
      <c r="PE3" s="426"/>
    </row>
    <row r="4" spans="1:421" s="5" customFormat="1">
      <c r="A4" s="235"/>
      <c r="B4" s="736"/>
      <c r="C4" s="737"/>
      <c r="D4" s="737"/>
      <c r="E4" s="737"/>
      <c r="F4" s="737"/>
      <c r="G4" s="737"/>
      <c r="H4" s="737"/>
      <c r="I4" s="737"/>
      <c r="J4" s="738"/>
      <c r="K4" s="236"/>
      <c r="L4" s="350" t="str">
        <f>+Idiomas!D81</f>
        <v>· Selecciona el idioma y la zona horaria</v>
      </c>
      <c r="M4" s="247"/>
      <c r="N4" s="247"/>
      <c r="O4" s="247"/>
      <c r="P4" s="247"/>
      <c r="Q4" s="247"/>
      <c r="R4" s="247"/>
      <c r="S4" s="247"/>
      <c r="T4" s="354"/>
      <c r="U4" s="6"/>
      <c r="V4" s="6"/>
      <c r="W4" s="6"/>
      <c r="X4" s="6"/>
      <c r="Y4" s="6"/>
      <c r="Z4" s="6"/>
      <c r="AA4" s="6"/>
      <c r="AB4" s="6"/>
      <c r="AC4" s="6"/>
      <c r="AD4" s="6"/>
      <c r="AE4" s="6"/>
      <c r="AF4" s="6"/>
      <c r="AG4" s="6"/>
      <c r="AH4" s="6"/>
      <c r="AI4" s="6"/>
      <c r="AJ4" s="6"/>
      <c r="AK4" s="6"/>
      <c r="AL4" s="6"/>
      <c r="AM4" s="6"/>
      <c r="OU4" s="420"/>
      <c r="OV4" s="420"/>
      <c r="OW4" s="420"/>
      <c r="OX4" s="420"/>
      <c r="OY4" s="420"/>
      <c r="OZ4" s="420"/>
      <c r="PA4" s="420"/>
      <c r="PB4" s="426"/>
      <c r="PC4" s="426"/>
      <c r="PD4" s="426"/>
      <c r="PE4" s="426"/>
    </row>
    <row r="5" spans="1:421" s="5" customFormat="1">
      <c r="A5" s="235"/>
      <c r="B5" s="736"/>
      <c r="C5" s="737"/>
      <c r="D5" s="737"/>
      <c r="E5" s="737"/>
      <c r="F5" s="737"/>
      <c r="G5" s="737"/>
      <c r="H5" s="737"/>
      <c r="I5" s="737"/>
      <c r="J5" s="738"/>
      <c r="K5" s="236"/>
      <c r="L5" s="350" t="str">
        <f>+Idiomas!D82</f>
        <v>· Si vas a participar en una porra escribe tu nombre</v>
      </c>
      <c r="M5" s="247"/>
      <c r="N5" s="247"/>
      <c r="O5" s="247"/>
      <c r="P5" s="247"/>
      <c r="Q5" s="247"/>
      <c r="R5" s="247"/>
      <c r="S5" s="247"/>
      <c r="T5" s="354"/>
      <c r="U5" s="6"/>
      <c r="V5" s="6"/>
      <c r="W5" s="6"/>
      <c r="X5" s="6"/>
      <c r="Y5" s="6"/>
      <c r="Z5" s="6"/>
      <c r="AA5" s="6"/>
      <c r="AB5" s="6"/>
      <c r="AC5" s="6"/>
      <c r="AD5" s="6"/>
      <c r="AE5" s="6"/>
      <c r="AF5" s="6"/>
      <c r="AG5" s="6"/>
      <c r="AH5" s="6"/>
      <c r="AI5" s="6"/>
      <c r="AJ5" s="6"/>
      <c r="AK5" s="6"/>
      <c r="AL5" s="6"/>
      <c r="AM5" s="6"/>
      <c r="OU5" s="420"/>
      <c r="OV5" s="420"/>
      <c r="OW5" s="420"/>
      <c r="OX5" s="420"/>
      <c r="OY5" s="420"/>
      <c r="OZ5" s="420"/>
      <c r="PA5" s="420"/>
      <c r="PB5" s="426"/>
      <c r="PC5" s="426"/>
      <c r="PD5" s="426"/>
      <c r="PE5" s="426"/>
    </row>
    <row r="6" spans="1:421" s="5" customFormat="1">
      <c r="A6" s="235"/>
      <c r="B6" s="736"/>
      <c r="C6" s="737"/>
      <c r="D6" s="737"/>
      <c r="E6" s="737"/>
      <c r="F6" s="737"/>
      <c r="G6" s="737"/>
      <c r="H6" s="737"/>
      <c r="I6" s="737"/>
      <c r="J6" s="738"/>
      <c r="K6" s="236"/>
      <c r="L6" s="350" t="str">
        <f>+Idiomas!D83</f>
        <v>· Si vas a organizar una porra, puedes descargar el archivo excel de administración desde aquí</v>
      </c>
      <c r="M6" s="247"/>
      <c r="N6" s="247"/>
      <c r="O6" s="247"/>
      <c r="P6" s="247"/>
      <c r="Q6" s="247"/>
      <c r="R6" s="247"/>
      <c r="S6" s="247"/>
      <c r="T6" s="354"/>
      <c r="U6" s="6"/>
      <c r="V6" s="6"/>
      <c r="W6" s="6"/>
      <c r="X6" s="6"/>
      <c r="Y6" s="6"/>
      <c r="Z6" s="6"/>
      <c r="AA6" s="6"/>
      <c r="AB6" s="6"/>
      <c r="AC6" s="6"/>
      <c r="AD6" s="6"/>
      <c r="AE6" s="6"/>
      <c r="AF6" s="6"/>
      <c r="AG6" s="6"/>
      <c r="AH6" s="6"/>
      <c r="AI6" s="6"/>
      <c r="AJ6" s="6"/>
      <c r="AK6" s="6"/>
      <c r="AL6" s="6"/>
      <c r="AM6" s="6"/>
      <c r="OU6" s="420"/>
      <c r="OV6" s="420"/>
      <c r="OW6" s="420"/>
      <c r="OX6" s="420"/>
      <c r="OY6" s="420"/>
      <c r="OZ6" s="420"/>
      <c r="PA6" s="420"/>
      <c r="PB6" s="426"/>
      <c r="PC6" s="426"/>
      <c r="PD6" s="426"/>
      <c r="PE6" s="426"/>
    </row>
    <row r="7" spans="1:421" s="5" customFormat="1">
      <c r="A7" s="235"/>
      <c r="B7" s="736"/>
      <c r="C7" s="737"/>
      <c r="D7" s="737"/>
      <c r="E7" s="737"/>
      <c r="F7" s="737"/>
      <c r="G7" s="737"/>
      <c r="H7" s="737"/>
      <c r="I7" s="737"/>
      <c r="J7" s="738"/>
      <c r="K7" s="236"/>
      <c r="L7" s="355"/>
      <c r="M7" s="356"/>
      <c r="N7" s="356"/>
      <c r="O7" s="356"/>
      <c r="P7" s="356"/>
      <c r="Q7" s="356"/>
      <c r="R7" s="356"/>
      <c r="S7" s="356"/>
      <c r="T7" s="357"/>
      <c r="U7" s="6"/>
      <c r="V7" s="6"/>
      <c r="W7" s="6"/>
      <c r="X7" s="6"/>
      <c r="Y7" s="6"/>
      <c r="Z7" s="6"/>
      <c r="AA7" s="6"/>
      <c r="AB7" s="6"/>
      <c r="AC7" s="6"/>
      <c r="AD7" s="6"/>
      <c r="AE7" s="6"/>
      <c r="AF7" s="6"/>
      <c r="AG7" s="6"/>
      <c r="AH7" s="6"/>
      <c r="AI7" s="6"/>
      <c r="AJ7" s="6"/>
      <c r="AK7" s="6"/>
      <c r="AL7" s="6"/>
      <c r="AM7" s="6"/>
      <c r="OU7" s="420"/>
      <c r="OV7" s="420"/>
      <c r="OW7" s="420"/>
      <c r="OX7" s="420"/>
      <c r="OY7" s="420"/>
      <c r="OZ7" s="420"/>
      <c r="PA7" s="420"/>
      <c r="PB7" s="426"/>
      <c r="PC7" s="426"/>
      <c r="PD7" s="426"/>
      <c r="PE7" s="426"/>
    </row>
    <row r="8" spans="1:421" s="5" customFormat="1">
      <c r="A8" s="235"/>
      <c r="B8" s="736"/>
      <c r="C8" s="737"/>
      <c r="D8" s="737"/>
      <c r="E8" s="737"/>
      <c r="F8" s="737"/>
      <c r="G8" s="737"/>
      <c r="H8" s="737"/>
      <c r="I8" s="737"/>
      <c r="J8" s="738"/>
      <c r="K8" s="236"/>
      <c r="U8" s="6"/>
      <c r="V8" s="6"/>
      <c r="W8" s="6"/>
      <c r="X8" s="6"/>
      <c r="Y8" s="6"/>
      <c r="Z8" s="6"/>
      <c r="AA8" s="6"/>
      <c r="AB8" s="6"/>
      <c r="AC8" s="6"/>
      <c r="AD8" s="6"/>
      <c r="AE8" s="6"/>
      <c r="AF8" s="6"/>
      <c r="AG8" s="6"/>
      <c r="AH8" s="6"/>
      <c r="AI8" s="6"/>
      <c r="AJ8" s="6"/>
      <c r="AK8" s="6"/>
      <c r="AL8" s="6"/>
      <c r="AM8" s="6"/>
      <c r="OU8" s="420"/>
      <c r="OV8" s="420"/>
      <c r="OW8" s="420"/>
      <c r="OX8" s="420"/>
      <c r="OY8" s="420"/>
      <c r="OZ8" s="420"/>
      <c r="PA8" s="420"/>
      <c r="PB8" s="426"/>
      <c r="PC8" s="426"/>
      <c r="PD8" s="426"/>
      <c r="PE8" s="426"/>
    </row>
    <row r="9" spans="1:421" s="5" customFormat="1">
      <c r="A9" s="235"/>
      <c r="B9" s="736"/>
      <c r="C9" s="737"/>
      <c r="D9" s="737"/>
      <c r="E9" s="737"/>
      <c r="F9" s="737"/>
      <c r="G9" s="737"/>
      <c r="H9" s="737"/>
      <c r="I9" s="737"/>
      <c r="J9" s="738"/>
      <c r="K9" s="236"/>
      <c r="L9" s="274" t="s">
        <v>497</v>
      </c>
      <c r="U9" s="6"/>
      <c r="V9" s="6"/>
      <c r="W9" s="6"/>
      <c r="X9" s="6"/>
      <c r="Y9" s="6"/>
      <c r="Z9" s="6"/>
      <c r="AA9" s="6"/>
      <c r="AB9" s="6"/>
      <c r="AC9" s="6"/>
      <c r="AD9" s="6"/>
      <c r="AE9" s="6"/>
      <c r="AF9" s="6"/>
      <c r="AG9" s="6"/>
      <c r="AH9" s="6"/>
      <c r="AI9" s="6"/>
      <c r="AJ9" s="6"/>
      <c r="AK9" s="6"/>
      <c r="AL9" s="6"/>
      <c r="AM9" s="6"/>
      <c r="OU9" s="420"/>
      <c r="OV9" s="420"/>
      <c r="OW9" s="420"/>
      <c r="OX9" s="420"/>
      <c r="OY9" s="420"/>
      <c r="OZ9" s="420"/>
      <c r="PA9" s="420"/>
      <c r="PB9" s="426"/>
      <c r="PC9" s="426"/>
      <c r="PD9" s="426"/>
      <c r="PE9" s="426"/>
    </row>
    <row r="10" spans="1:421" s="5" customFormat="1">
      <c r="A10" s="235"/>
      <c r="B10" s="736"/>
      <c r="C10" s="737"/>
      <c r="D10" s="737"/>
      <c r="E10" s="737"/>
      <c r="F10" s="737"/>
      <c r="G10" s="737"/>
      <c r="H10" s="737"/>
      <c r="I10" s="737"/>
      <c r="J10" s="738"/>
      <c r="K10" s="236"/>
      <c r="L10" s="351"/>
      <c r="M10" s="352"/>
      <c r="N10" s="352"/>
      <c r="O10" s="352"/>
      <c r="P10" s="352"/>
      <c r="Q10" s="352"/>
      <c r="R10" s="352"/>
      <c r="S10" s="352"/>
      <c r="T10" s="353"/>
      <c r="U10" s="6"/>
      <c r="V10" s="6"/>
      <c r="W10" s="6"/>
      <c r="X10" s="6"/>
      <c r="Y10" s="6"/>
      <c r="Z10" s="6"/>
      <c r="AA10" s="6"/>
      <c r="AB10" s="6"/>
      <c r="AC10" s="6"/>
      <c r="AD10" s="6"/>
      <c r="AE10" s="6"/>
      <c r="AF10" s="6"/>
      <c r="AG10" s="6"/>
      <c r="AH10" s="6"/>
      <c r="AI10" s="6"/>
      <c r="AJ10" s="6"/>
      <c r="AK10" s="6"/>
      <c r="AL10" s="6"/>
      <c r="AM10" s="6"/>
      <c r="OU10" s="420"/>
      <c r="OV10" s="420"/>
      <c r="OW10" s="420"/>
      <c r="OX10" s="420"/>
      <c r="OY10" s="420"/>
      <c r="OZ10" s="420"/>
      <c r="PA10" s="420"/>
      <c r="PB10" s="426"/>
      <c r="PC10" s="426"/>
      <c r="PD10" s="426"/>
      <c r="PE10" s="426"/>
    </row>
    <row r="11" spans="1:421" s="5" customFormat="1">
      <c r="A11" s="235"/>
      <c r="B11" s="736"/>
      <c r="C11" s="737"/>
      <c r="D11" s="737"/>
      <c r="E11" s="737"/>
      <c r="F11" s="737"/>
      <c r="G11" s="737"/>
      <c r="H11" s="737"/>
      <c r="I11" s="737"/>
      <c r="J11" s="738"/>
      <c r="K11" s="236"/>
      <c r="L11" s="350" t="str">
        <f>+Idiomas!D84</f>
        <v>· Rellena los cuadros grises con los resultados de la fase de grupos para cada grupo</v>
      </c>
      <c r="M11" s="247"/>
      <c r="N11" s="247"/>
      <c r="O11" s="247"/>
      <c r="P11" s="247"/>
      <c r="Q11" s="247"/>
      <c r="R11" s="247"/>
      <c r="S11" s="247"/>
      <c r="T11" s="354"/>
      <c r="U11" s="6"/>
      <c r="V11" s="6"/>
      <c r="W11" s="6"/>
      <c r="X11" s="6"/>
      <c r="Y11" s="6"/>
      <c r="Z11" s="6"/>
      <c r="AA11" s="6"/>
      <c r="AB11" s="6"/>
      <c r="AC11" s="6"/>
      <c r="AD11" s="6"/>
      <c r="AE11" s="6"/>
      <c r="AF11" s="6"/>
      <c r="AG11" s="6"/>
      <c r="AH11" s="6"/>
      <c r="AI11" s="6"/>
      <c r="AJ11" s="6"/>
      <c r="AK11" s="6"/>
      <c r="AL11" s="6"/>
      <c r="AM11" s="6"/>
      <c r="OU11" s="420"/>
      <c r="OV11" s="420"/>
      <c r="OW11" s="420"/>
      <c r="OX11" s="420"/>
      <c r="OY11" s="420"/>
      <c r="OZ11" s="420"/>
      <c r="PA11" s="420"/>
      <c r="PB11" s="426"/>
      <c r="PC11" s="426"/>
      <c r="PD11" s="426"/>
      <c r="PE11" s="426"/>
    </row>
    <row r="12" spans="1:421" s="5" customFormat="1">
      <c r="A12" s="235"/>
      <c r="B12" s="739"/>
      <c r="C12" s="740"/>
      <c r="D12" s="740"/>
      <c r="E12" s="740"/>
      <c r="F12" s="740"/>
      <c r="G12" s="740"/>
      <c r="H12" s="740"/>
      <c r="I12" s="740"/>
      <c r="J12" s="741"/>
      <c r="K12" s="236"/>
      <c r="L12" s="350" t="str">
        <f>+Idiomas!D85</f>
        <v>· En caso de empate en la posición de un grupo o en los mejores terceros, puedes seleccionar el orden de los empatados</v>
      </c>
      <c r="M12" s="247"/>
      <c r="N12" s="247"/>
      <c r="O12" s="247"/>
      <c r="P12" s="247"/>
      <c r="Q12" s="247"/>
      <c r="R12" s="247"/>
      <c r="S12" s="247"/>
      <c r="T12" s="354"/>
      <c r="U12" s="6"/>
      <c r="V12" s="6"/>
      <c r="W12" s="6"/>
      <c r="X12" s="6"/>
      <c r="Y12" s="6"/>
      <c r="Z12" s="6"/>
      <c r="AA12" s="6"/>
      <c r="AB12" s="6"/>
      <c r="AC12" s="6"/>
      <c r="AD12" s="6"/>
      <c r="AE12" s="6"/>
      <c r="AF12" s="6"/>
      <c r="AG12" s="6"/>
      <c r="AH12" s="6"/>
      <c r="AI12" s="6"/>
      <c r="AJ12" s="6"/>
      <c r="AK12" s="6"/>
      <c r="AL12" s="6"/>
      <c r="AM12" s="6"/>
      <c r="OU12" s="420"/>
      <c r="OV12" s="420"/>
      <c r="OW12" s="420"/>
      <c r="OX12" s="420"/>
      <c r="OY12" s="420"/>
      <c r="OZ12" s="420"/>
      <c r="PA12" s="420"/>
      <c r="PB12" s="426"/>
      <c r="PC12" s="426"/>
      <c r="PD12" s="426"/>
      <c r="PE12" s="426"/>
    </row>
    <row r="13" spans="1:421" s="5" customFormat="1">
      <c r="A13" s="235"/>
      <c r="B13" s="240"/>
      <c r="C13" s="240"/>
      <c r="D13" s="240"/>
      <c r="E13" s="240"/>
      <c r="F13" s="240"/>
      <c r="G13" s="240"/>
      <c r="H13" s="240"/>
      <c r="I13" s="240"/>
      <c r="J13" s="240"/>
      <c r="K13" s="236"/>
      <c r="L13" s="350" t="str">
        <f>+Idiomas!D86</f>
        <v>· Las eliminatorias se establecen de forma automática</v>
      </c>
      <c r="M13" s="247"/>
      <c r="N13" s="247"/>
      <c r="O13" s="247"/>
      <c r="P13" s="247"/>
      <c r="Q13" s="247"/>
      <c r="R13" s="247"/>
      <c r="S13" s="247"/>
      <c r="T13" s="354"/>
      <c r="U13" s="6"/>
      <c r="V13" s="6"/>
      <c r="W13" s="6"/>
      <c r="X13" s="6"/>
      <c r="Y13" s="6"/>
      <c r="Z13" s="6"/>
      <c r="AA13" s="6"/>
      <c r="AB13" s="6"/>
      <c r="AC13" s="6"/>
      <c r="AD13" s="6"/>
      <c r="AE13" s="6"/>
      <c r="AF13" s="6"/>
      <c r="AG13" s="6"/>
      <c r="AH13" s="6"/>
      <c r="AI13" s="6"/>
      <c r="AJ13" s="6"/>
      <c r="AK13" s="6"/>
      <c r="AL13" s="6"/>
      <c r="AM13" s="6"/>
      <c r="OU13" s="420"/>
      <c r="OV13" s="420"/>
      <c r="OW13" s="420"/>
      <c r="OX13" s="420"/>
      <c r="OY13" s="420"/>
      <c r="OZ13" s="420"/>
      <c r="PA13" s="420"/>
      <c r="PB13" s="426"/>
      <c r="PC13" s="426"/>
      <c r="PD13" s="426"/>
      <c r="PE13" s="426"/>
    </row>
    <row r="14" spans="1:421" s="5" customFormat="1">
      <c r="A14" s="235"/>
      <c r="B14" s="243"/>
      <c r="C14" s="244"/>
      <c r="D14" s="244"/>
      <c r="E14" s="244"/>
      <c r="F14" s="244"/>
      <c r="G14" s="244"/>
      <c r="H14" s="244"/>
      <c r="I14" s="244"/>
      <c r="J14" s="245"/>
      <c r="K14" s="236"/>
      <c r="L14" s="350" t="str">
        <f>+Idiomas!D87</f>
        <v>· Rellena los resultados de las fases eliminatorias. En caso de empate, se abren dos celdas a los lados para poner el resultado de los penaltis</v>
      </c>
      <c r="M14" s="247"/>
      <c r="N14" s="247"/>
      <c r="O14" s="247"/>
      <c r="P14" s="247"/>
      <c r="Q14" s="247"/>
      <c r="R14" s="247"/>
      <c r="S14" s="247"/>
      <c r="T14" s="354"/>
      <c r="U14" s="6"/>
      <c r="V14" s="6"/>
      <c r="W14" s="6"/>
      <c r="X14" s="6"/>
      <c r="Y14" s="6"/>
      <c r="Z14" s="6"/>
      <c r="AA14" s="6"/>
      <c r="AB14" s="6"/>
      <c r="AC14" s="6"/>
      <c r="AD14" s="6"/>
      <c r="AE14" s="6"/>
      <c r="AF14" s="6"/>
      <c r="AG14" s="6"/>
      <c r="AH14" s="6"/>
      <c r="AI14" s="6"/>
      <c r="AJ14" s="6"/>
      <c r="AK14" s="6"/>
      <c r="AL14" s="6"/>
      <c r="AM14" s="6"/>
      <c r="OU14" s="420"/>
      <c r="OV14" s="420"/>
      <c r="OW14" s="420"/>
      <c r="OX14" s="420"/>
      <c r="OY14" s="420"/>
      <c r="OZ14" s="420"/>
      <c r="PA14" s="420"/>
      <c r="PB14" s="426"/>
      <c r="PC14" s="426"/>
      <c r="PD14" s="426"/>
      <c r="PE14" s="426"/>
    </row>
    <row r="15" spans="1:421" s="5" customFormat="1">
      <c r="A15" s="235"/>
      <c r="B15" s="275" t="str">
        <f>Idiomas!D77</f>
        <v>Autor:</v>
      </c>
      <c r="C15" s="246" t="s">
        <v>27</v>
      </c>
      <c r="D15" s="246"/>
      <c r="E15" s="246" t="s">
        <v>1333</v>
      </c>
      <c r="F15" s="247"/>
      <c r="G15" s="246" t="s">
        <v>1334</v>
      </c>
      <c r="H15" s="247"/>
      <c r="I15" s="248"/>
      <c r="J15" s="249"/>
      <c r="K15" s="236"/>
      <c r="L15" s="350" t="str">
        <f>+Idiomas!D88</f>
        <v>· Si vas a participar en una porra, rellenar los mejores jugadores y los máximos goleadores</v>
      </c>
      <c r="M15" s="247"/>
      <c r="N15" s="247"/>
      <c r="O15" s="247"/>
      <c r="P15" s="247"/>
      <c r="Q15" s="247"/>
      <c r="R15" s="247"/>
      <c r="S15" s="247"/>
      <c r="T15" s="354"/>
      <c r="U15" s="6"/>
      <c r="V15" s="6"/>
      <c r="W15" s="6"/>
      <c r="X15" s="6"/>
      <c r="Y15" s="6"/>
      <c r="Z15" s="6"/>
      <c r="AA15" s="6"/>
      <c r="AB15" s="6"/>
      <c r="AC15" s="6"/>
      <c r="AD15" s="6"/>
      <c r="AE15" s="6"/>
      <c r="AF15" s="6"/>
      <c r="AG15" s="6"/>
      <c r="AH15" s="6"/>
      <c r="AI15" s="6"/>
      <c r="AJ15" s="6"/>
      <c r="AK15" s="6"/>
      <c r="AL15" s="6"/>
      <c r="AM15" s="6"/>
      <c r="OU15" s="420"/>
      <c r="OV15" s="420"/>
      <c r="OW15" s="420"/>
      <c r="OX15" s="420"/>
      <c r="OY15" s="420"/>
      <c r="OZ15" s="420"/>
      <c r="PA15" s="420"/>
      <c r="PB15" s="426"/>
      <c r="PC15" s="426"/>
      <c r="PD15" s="426"/>
      <c r="PE15" s="426"/>
    </row>
    <row r="16" spans="1:421" s="5" customFormat="1">
      <c r="A16" s="235"/>
      <c r="B16" s="276" t="str">
        <f>Idiomas!D78</f>
        <v>Útima versión</v>
      </c>
      <c r="C16" s="250">
        <v>45997</v>
      </c>
      <c r="D16" s="250"/>
      <c r="E16" s="251"/>
      <c r="F16" s="251"/>
      <c r="G16" s="251"/>
      <c r="H16" s="251"/>
      <c r="I16" s="252"/>
      <c r="J16" s="253"/>
      <c r="K16" s="236"/>
      <c r="L16" s="355"/>
      <c r="M16" s="356"/>
      <c r="N16" s="356"/>
      <c r="O16" s="356"/>
      <c r="P16" s="356"/>
      <c r="Q16" s="356"/>
      <c r="R16" s="356"/>
      <c r="S16" s="356"/>
      <c r="T16" s="357"/>
      <c r="U16" s="6"/>
      <c r="V16" s="6"/>
      <c r="W16" s="6"/>
      <c r="X16" s="6"/>
      <c r="Y16" s="6"/>
      <c r="Z16" s="6"/>
      <c r="AA16" s="6"/>
      <c r="AB16" s="6"/>
      <c r="AC16" s="6"/>
      <c r="AD16" s="6"/>
      <c r="AE16" s="6"/>
      <c r="AF16" s="6"/>
      <c r="AG16" s="6"/>
      <c r="AH16" s="6"/>
      <c r="AI16" s="6"/>
      <c r="AJ16" s="6"/>
      <c r="AK16" s="6"/>
      <c r="AL16" s="6"/>
      <c r="AM16" s="6"/>
      <c r="OU16" s="420"/>
      <c r="OV16" s="420"/>
      <c r="OW16" s="420"/>
      <c r="OX16" s="420"/>
      <c r="OY16" s="420"/>
      <c r="OZ16" s="420"/>
      <c r="PA16" s="420"/>
      <c r="PB16" s="426"/>
      <c r="PC16" s="426"/>
      <c r="PD16" s="426"/>
      <c r="PE16" s="426"/>
    </row>
    <row r="17" spans="1:421" s="5" customFormat="1">
      <c r="A17" s="235"/>
      <c r="B17" s="254"/>
      <c r="C17" s="255"/>
      <c r="D17" s="255"/>
      <c r="E17" s="255"/>
      <c r="F17" s="255"/>
      <c r="G17" s="255"/>
      <c r="H17" s="255"/>
      <c r="I17" s="255"/>
      <c r="J17" s="256"/>
      <c r="K17" s="236"/>
      <c r="U17" s="6"/>
      <c r="V17" s="6"/>
      <c r="W17" s="6"/>
      <c r="X17" s="6"/>
      <c r="Y17" s="6"/>
      <c r="Z17" s="6"/>
      <c r="AA17" s="6"/>
      <c r="AB17" s="6"/>
      <c r="AC17" s="6"/>
      <c r="AD17" s="6"/>
      <c r="AE17" s="6"/>
      <c r="AF17" s="6"/>
      <c r="AG17" s="6"/>
      <c r="AH17" s="6"/>
      <c r="AI17" s="6"/>
      <c r="AJ17" s="6"/>
      <c r="AK17" s="6"/>
      <c r="AL17" s="6"/>
      <c r="AM17" s="6"/>
      <c r="OU17" s="420"/>
      <c r="OV17" s="420"/>
      <c r="OW17" s="420"/>
      <c r="OX17" s="420"/>
      <c r="OY17" s="420"/>
      <c r="OZ17" s="420"/>
      <c r="PA17" s="420"/>
      <c r="PB17" s="426"/>
      <c r="PC17" s="426"/>
      <c r="PD17" s="426"/>
      <c r="PE17" s="426"/>
    </row>
    <row r="18" spans="1:421" s="5" customFormat="1">
      <c r="A18" s="235"/>
      <c r="B18" s="241"/>
      <c r="C18" s="241"/>
      <c r="D18" s="241"/>
      <c r="E18" s="242"/>
      <c r="F18" s="242"/>
      <c r="G18" s="235"/>
      <c r="H18" s="235"/>
      <c r="I18" s="235"/>
      <c r="J18" s="235"/>
      <c r="K18" s="236"/>
      <c r="L18" s="274" t="s">
        <v>450</v>
      </c>
      <c r="U18" s="6"/>
      <c r="V18" s="6"/>
      <c r="W18" s="6"/>
      <c r="X18" s="6"/>
      <c r="Y18" s="6"/>
      <c r="Z18" s="6"/>
      <c r="AA18" s="6"/>
      <c r="AB18" s="6"/>
      <c r="AC18" s="6"/>
      <c r="AD18" s="6"/>
      <c r="AE18" s="6"/>
      <c r="AF18" s="6"/>
      <c r="AG18" s="6"/>
      <c r="AH18" s="6"/>
      <c r="AI18" s="6"/>
      <c r="AJ18" s="6"/>
      <c r="AK18" s="6"/>
      <c r="AL18" s="6"/>
      <c r="AM18" s="6"/>
      <c r="OU18" s="420"/>
      <c r="OV18" s="420"/>
      <c r="OW18" s="420"/>
      <c r="OX18" s="420"/>
      <c r="OY18" s="420"/>
      <c r="OZ18" s="420"/>
      <c r="PA18" s="420"/>
      <c r="PB18" s="426"/>
      <c r="PC18" s="426"/>
      <c r="PD18" s="426"/>
      <c r="PE18" s="426"/>
    </row>
    <row r="19" spans="1:421" s="5" customFormat="1" ht="19.95" customHeight="1">
      <c r="A19" s="236"/>
      <c r="B19" s="257"/>
      <c r="C19" s="259" t="str">
        <f>Idiomas!D80</f>
        <v>PARA DESCARGAR, CLICK EN</v>
      </c>
      <c r="D19" s="259"/>
      <c r="E19" s="331">
        <v>2</v>
      </c>
      <c r="F19" s="258"/>
      <c r="G19" s="259"/>
      <c r="H19" s="260"/>
      <c r="I19" s="260"/>
      <c r="J19" s="261"/>
      <c r="K19" s="236"/>
      <c r="L19" s="351"/>
      <c r="M19" s="352"/>
      <c r="N19" s="352"/>
      <c r="O19" s="352"/>
      <c r="P19" s="352"/>
      <c r="Q19" s="352"/>
      <c r="R19" s="352"/>
      <c r="S19" s="352"/>
      <c r="T19" s="353"/>
      <c r="U19" s="6"/>
      <c r="V19" s="6"/>
      <c r="W19" s="6"/>
      <c r="X19" s="6"/>
      <c r="Y19" s="6"/>
      <c r="Z19" s="6"/>
      <c r="AA19" s="6"/>
      <c r="AB19" s="6"/>
      <c r="AC19" s="6"/>
      <c r="AD19" s="6"/>
      <c r="AE19" s="6"/>
      <c r="AF19" s="6"/>
      <c r="AG19" s="6"/>
      <c r="AH19" s="6"/>
      <c r="AI19" s="6"/>
      <c r="AJ19" s="6"/>
      <c r="AK19" s="6"/>
      <c r="AL19" s="6"/>
      <c r="AM19" s="6"/>
      <c r="OU19" s="420"/>
      <c r="OV19" s="420"/>
      <c r="OW19" s="420"/>
      <c r="OX19" s="420"/>
      <c r="OY19" s="420"/>
      <c r="OZ19" s="420"/>
      <c r="PA19" s="420"/>
      <c r="PB19" s="426"/>
      <c r="PC19" s="426"/>
      <c r="PD19" s="426"/>
      <c r="PE19" s="426"/>
    </row>
    <row r="20" spans="1:421" s="5" customFormat="1">
      <c r="A20" s="236"/>
      <c r="B20" s="266"/>
      <c r="C20" s="277" t="s">
        <v>1387</v>
      </c>
      <c r="D20" s="277"/>
      <c r="E20" s="278" t="s">
        <v>230</v>
      </c>
      <c r="F20" s="278"/>
      <c r="G20" s="278" t="s">
        <v>366</v>
      </c>
      <c r="H20" s="262"/>
      <c r="I20" s="262"/>
      <c r="J20" s="253"/>
      <c r="K20" s="236"/>
      <c r="L20" s="350" t="str">
        <f>+Idiomas!D91</f>
        <v>· En esta hoja no hay que escribir nada</v>
      </c>
      <c r="M20" s="247"/>
      <c r="N20" s="247"/>
      <c r="O20" s="247"/>
      <c r="P20" s="247"/>
      <c r="Q20" s="247"/>
      <c r="R20" s="247"/>
      <c r="S20" s="247"/>
      <c r="T20" s="354"/>
      <c r="U20" s="6"/>
      <c r="V20" s="6"/>
      <c r="W20" s="6"/>
      <c r="X20" s="6"/>
      <c r="Y20" s="6"/>
      <c r="Z20" s="6"/>
      <c r="AA20" s="6"/>
      <c r="AB20" s="6"/>
      <c r="AC20" s="6"/>
      <c r="AD20" s="6"/>
      <c r="AE20" s="6"/>
      <c r="AF20" s="6"/>
      <c r="AG20" s="6"/>
      <c r="AH20" s="6"/>
      <c r="AI20" s="6"/>
      <c r="AJ20" s="6"/>
      <c r="AK20" s="6"/>
      <c r="AL20" s="6"/>
      <c r="AM20" s="6"/>
      <c r="OU20" s="420"/>
      <c r="OV20" s="420"/>
      <c r="OW20" s="420"/>
      <c r="OX20" s="420"/>
      <c r="OY20" s="420"/>
      <c r="OZ20" s="420"/>
      <c r="PA20" s="420"/>
      <c r="PB20" s="426"/>
      <c r="PC20" s="426"/>
      <c r="PD20" s="426"/>
      <c r="PE20" s="426"/>
    </row>
    <row r="21" spans="1:421" s="272" customFormat="1" ht="19.95" customHeight="1">
      <c r="A21" s="267"/>
      <c r="B21" s="268"/>
      <c r="C21" s="273" t="s">
        <v>1332</v>
      </c>
      <c r="D21" s="282"/>
      <c r="E21" s="279">
        <v>2</v>
      </c>
      <c r="F21" s="282"/>
      <c r="G21" s="279">
        <v>2</v>
      </c>
      <c r="H21" s="269"/>
      <c r="I21" s="262"/>
      <c r="J21" s="270"/>
      <c r="K21" s="267"/>
      <c r="L21" s="350" t="str">
        <f>+Idiomas!D92</f>
        <v>· Sirve para que el organizador de la porra, copie estos resultados y los pegue en el archivo de administrador</v>
      </c>
      <c r="M21" s="247"/>
      <c r="N21" s="247"/>
      <c r="O21" s="247"/>
      <c r="P21" s="247"/>
      <c r="Q21" s="247"/>
      <c r="R21" s="247"/>
      <c r="S21" s="247"/>
      <c r="T21" s="354"/>
      <c r="U21" s="271"/>
      <c r="V21" s="271"/>
      <c r="W21" s="271"/>
      <c r="X21" s="271"/>
      <c r="Y21" s="271"/>
      <c r="Z21" s="271"/>
      <c r="AA21" s="271"/>
      <c r="AB21" s="271"/>
      <c r="AC21" s="271"/>
      <c r="AD21" s="271"/>
      <c r="AE21" s="271"/>
      <c r="AF21" s="271"/>
      <c r="AG21" s="271"/>
      <c r="AH21" s="271"/>
      <c r="AI21" s="271"/>
      <c r="AJ21" s="271"/>
      <c r="AK21" s="271"/>
      <c r="AL21" s="271"/>
      <c r="AM21" s="271"/>
      <c r="OU21" s="421"/>
      <c r="OV21" s="421"/>
      <c r="OW21" s="421"/>
      <c r="OX21" s="421"/>
      <c r="OY21" s="421"/>
      <c r="OZ21" s="421"/>
      <c r="PA21" s="421"/>
      <c r="PB21" s="427"/>
      <c r="PC21" s="427"/>
      <c r="PD21" s="427"/>
      <c r="PE21" s="427"/>
    </row>
    <row r="22" spans="1:421" s="272" customFormat="1" ht="1.95" customHeight="1">
      <c r="A22" s="267"/>
      <c r="B22" s="268"/>
      <c r="C22" s="269"/>
      <c r="D22" s="269"/>
      <c r="E22" s="269"/>
      <c r="F22" s="269"/>
      <c r="G22" s="269"/>
      <c r="H22" s="269"/>
      <c r="I22" s="262"/>
      <c r="J22" s="270"/>
      <c r="K22" s="267"/>
      <c r="L22" s="350"/>
      <c r="M22" s="247"/>
      <c r="N22" s="247"/>
      <c r="O22" s="247"/>
      <c r="P22" s="247"/>
      <c r="Q22" s="247"/>
      <c r="R22" s="247"/>
      <c r="S22" s="247"/>
      <c r="T22" s="354"/>
      <c r="U22" s="271"/>
      <c r="V22" s="271"/>
      <c r="W22" s="271"/>
      <c r="X22" s="271"/>
      <c r="Y22" s="271"/>
      <c r="Z22" s="271"/>
      <c r="AA22" s="271"/>
      <c r="AB22" s="271"/>
      <c r="AC22" s="271"/>
      <c r="AD22" s="271"/>
      <c r="AE22" s="271"/>
      <c r="AF22" s="271"/>
      <c r="AG22" s="271"/>
      <c r="AH22" s="271"/>
      <c r="AI22" s="271"/>
      <c r="AJ22" s="271"/>
      <c r="AK22" s="271"/>
      <c r="AL22" s="271"/>
      <c r="AM22" s="271"/>
      <c r="OU22" s="421"/>
      <c r="OV22" s="421"/>
      <c r="OW22" s="421"/>
      <c r="OX22" s="421"/>
      <c r="OY22" s="421"/>
      <c r="OZ22" s="421"/>
      <c r="PA22" s="421"/>
      <c r="PB22" s="427"/>
      <c r="PC22" s="427"/>
      <c r="PD22" s="427"/>
      <c r="PE22" s="427"/>
    </row>
    <row r="23" spans="1:421" s="272" customFormat="1" ht="19.95" customHeight="1">
      <c r="A23" s="267"/>
      <c r="B23" s="268"/>
      <c r="C23" s="273" t="s">
        <v>1314</v>
      </c>
      <c r="D23" s="282"/>
      <c r="E23" s="280">
        <v>2</v>
      </c>
      <c r="F23" s="282"/>
      <c r="G23" s="280">
        <v>2</v>
      </c>
      <c r="H23" s="269"/>
      <c r="I23" s="269"/>
      <c r="J23" s="270"/>
      <c r="K23" s="267"/>
      <c r="L23" s="355"/>
      <c r="M23" s="356"/>
      <c r="N23" s="356"/>
      <c r="O23" s="356"/>
      <c r="P23" s="356"/>
      <c r="Q23" s="356"/>
      <c r="R23" s="356"/>
      <c r="S23" s="356"/>
      <c r="T23" s="357"/>
      <c r="U23" s="271"/>
      <c r="V23" s="271"/>
      <c r="W23" s="271"/>
      <c r="X23" s="271"/>
      <c r="Y23" s="271"/>
      <c r="Z23" s="271"/>
      <c r="AA23" s="271"/>
      <c r="AB23" s="271"/>
      <c r="AC23" s="271"/>
      <c r="AD23" s="271"/>
      <c r="AE23" s="271"/>
      <c r="AF23" s="271"/>
      <c r="AG23" s="271"/>
      <c r="AH23" s="271"/>
      <c r="AI23" s="271"/>
      <c r="AJ23" s="271"/>
      <c r="AK23" s="271"/>
      <c r="AL23" s="271"/>
      <c r="AM23" s="271"/>
      <c r="OU23" s="421"/>
      <c r="OV23" s="421"/>
      <c r="OW23" s="421"/>
      <c r="OX23" s="421"/>
      <c r="OY23" s="421"/>
      <c r="OZ23" s="421"/>
      <c r="PA23" s="421"/>
      <c r="PB23" s="427"/>
      <c r="PC23" s="427"/>
      <c r="PD23" s="427"/>
      <c r="PE23" s="427"/>
    </row>
    <row r="24" spans="1:421" s="272" customFormat="1" ht="1.95" customHeight="1">
      <c r="A24" s="267"/>
      <c r="B24" s="268"/>
      <c r="C24" s="269"/>
      <c r="D24" s="269"/>
      <c r="E24" s="269"/>
      <c r="F24" s="269"/>
      <c r="G24" s="269"/>
      <c r="H24" s="269"/>
      <c r="I24" s="269"/>
      <c r="J24" s="270"/>
      <c r="K24" s="267"/>
      <c r="U24" s="271"/>
      <c r="V24" s="271"/>
      <c r="W24" s="271"/>
      <c r="X24" s="271"/>
      <c r="Y24" s="271"/>
      <c r="Z24" s="271"/>
      <c r="AA24" s="271"/>
      <c r="AB24" s="271"/>
      <c r="AC24" s="271"/>
      <c r="AD24" s="271"/>
      <c r="AE24" s="271"/>
      <c r="AF24" s="271"/>
      <c r="AG24" s="271"/>
      <c r="AH24" s="271"/>
      <c r="AI24" s="271"/>
      <c r="AJ24" s="271"/>
      <c r="AK24" s="271"/>
      <c r="AL24" s="271"/>
      <c r="AM24" s="271"/>
      <c r="OU24" s="421"/>
      <c r="OV24" s="421"/>
      <c r="OW24" s="421"/>
      <c r="OX24" s="421"/>
      <c r="OY24" s="421"/>
      <c r="OZ24" s="421"/>
      <c r="PA24" s="421"/>
      <c r="PB24" s="427"/>
      <c r="PC24" s="427"/>
      <c r="PD24" s="427"/>
      <c r="PE24" s="427"/>
    </row>
    <row r="25" spans="1:421" s="272" customFormat="1" ht="19.95" customHeight="1">
      <c r="A25" s="267"/>
      <c r="B25" s="268"/>
      <c r="C25" s="273" t="s">
        <v>1281</v>
      </c>
      <c r="D25" s="282"/>
      <c r="E25" s="280">
        <v>2</v>
      </c>
      <c r="F25" s="282"/>
      <c r="G25" s="281">
        <v>0</v>
      </c>
      <c r="H25" s="269"/>
      <c r="I25" s="269"/>
      <c r="J25" s="270"/>
      <c r="K25" s="267"/>
      <c r="L25" s="358" t="s">
        <v>1320</v>
      </c>
      <c r="U25" s="271"/>
      <c r="V25" s="271"/>
      <c r="W25" s="271"/>
      <c r="X25" s="271"/>
      <c r="Y25" s="271"/>
      <c r="Z25" s="271"/>
      <c r="AA25" s="271"/>
      <c r="AB25" s="271"/>
      <c r="AC25" s="271"/>
      <c r="AD25" s="271"/>
      <c r="AE25" s="271"/>
      <c r="AF25" s="271"/>
      <c r="AG25" s="271"/>
      <c r="AH25" s="271"/>
      <c r="AI25" s="271"/>
      <c r="AJ25" s="271"/>
      <c r="AK25" s="271"/>
      <c r="AL25" s="271"/>
      <c r="AM25" s="271"/>
      <c r="OU25" s="421"/>
      <c r="OV25" s="421"/>
      <c r="OW25" s="421"/>
      <c r="OX25" s="421"/>
      <c r="OY25" s="421"/>
      <c r="OZ25" s="421"/>
      <c r="PA25" s="421"/>
      <c r="PB25" s="427"/>
      <c r="PC25" s="427"/>
      <c r="PD25" s="427"/>
      <c r="PE25" s="427"/>
    </row>
    <row r="26" spans="1:421" s="272" customFormat="1" ht="1.95" customHeight="1">
      <c r="A26" s="267"/>
      <c r="B26" s="268"/>
      <c r="C26" s="269"/>
      <c r="D26" s="269"/>
      <c r="E26" s="269"/>
      <c r="F26" s="269"/>
      <c r="G26" s="269"/>
      <c r="H26" s="269"/>
      <c r="I26" s="269"/>
      <c r="J26" s="270"/>
      <c r="K26" s="267"/>
      <c r="U26" s="271"/>
      <c r="V26" s="271"/>
      <c r="W26" s="271"/>
      <c r="X26" s="271"/>
      <c r="Y26" s="271"/>
      <c r="Z26" s="271"/>
      <c r="AA26" s="271"/>
      <c r="AB26" s="271"/>
      <c r="AC26" s="271"/>
      <c r="AD26" s="271"/>
      <c r="AE26" s="271"/>
      <c r="AF26" s="271"/>
      <c r="AG26" s="271"/>
      <c r="AH26" s="271"/>
      <c r="AI26" s="271"/>
      <c r="AJ26" s="271"/>
      <c r="AK26" s="271"/>
      <c r="AL26" s="271"/>
      <c r="AM26" s="271"/>
      <c r="OU26" s="421"/>
      <c r="OV26" s="421"/>
      <c r="OW26" s="421"/>
      <c r="OX26" s="421"/>
      <c r="OY26" s="421"/>
      <c r="OZ26" s="421"/>
      <c r="PA26" s="421"/>
      <c r="PB26" s="427"/>
      <c r="PC26" s="427"/>
      <c r="PD26" s="427"/>
      <c r="PE26" s="427"/>
    </row>
    <row r="27" spans="1:421" s="272" customFormat="1" ht="19.95" customHeight="1">
      <c r="A27" s="267"/>
      <c r="B27" s="268"/>
      <c r="C27" s="273" t="s">
        <v>1282</v>
      </c>
      <c r="D27" s="282"/>
      <c r="E27" s="280">
        <v>2</v>
      </c>
      <c r="F27" s="282"/>
      <c r="G27" s="281">
        <v>0</v>
      </c>
      <c r="H27" s="269"/>
      <c r="I27" s="269"/>
      <c r="J27" s="270"/>
      <c r="K27" s="267"/>
      <c r="L27" s="351" t="str">
        <f>+Idiomas!D93</f>
        <v>· En esta hoja se muestran de un vistazo todos los resultados introducidos en la hoja WORLDCUP, en esta hoja no se rellena nada.</v>
      </c>
      <c r="M27" s="352"/>
      <c r="N27" s="352"/>
      <c r="O27" s="352"/>
      <c r="P27" s="352"/>
      <c r="Q27" s="352"/>
      <c r="R27" s="352"/>
      <c r="S27" s="352"/>
      <c r="T27" s="353"/>
      <c r="U27" s="271"/>
      <c r="V27" s="271"/>
      <c r="W27" s="271"/>
      <c r="X27" s="271"/>
      <c r="Y27" s="271"/>
      <c r="Z27" s="271"/>
      <c r="AA27" s="271"/>
      <c r="AB27" s="271"/>
      <c r="AC27" s="271"/>
      <c r="AD27" s="271"/>
      <c r="AE27" s="271"/>
      <c r="AF27" s="271"/>
      <c r="AG27" s="271"/>
      <c r="AH27" s="271"/>
      <c r="AI27" s="271"/>
      <c r="AJ27" s="271"/>
      <c r="AK27" s="271"/>
      <c r="AL27" s="271"/>
      <c r="AM27" s="271"/>
      <c r="OU27" s="421"/>
      <c r="OV27" s="421"/>
      <c r="OW27" s="421"/>
      <c r="OX27" s="421"/>
      <c r="OY27" s="421"/>
      <c r="OZ27" s="421"/>
      <c r="PA27" s="421"/>
      <c r="PB27" s="427"/>
      <c r="PC27" s="427"/>
      <c r="PD27" s="427"/>
      <c r="PE27" s="427"/>
    </row>
    <row r="28" spans="1:421" s="272" customFormat="1" ht="1.95" customHeight="1">
      <c r="A28" s="267"/>
      <c r="B28" s="268"/>
      <c r="C28" s="269"/>
      <c r="D28" s="269"/>
      <c r="E28" s="269"/>
      <c r="F28" s="269"/>
      <c r="G28" s="269"/>
      <c r="H28" s="269"/>
      <c r="I28" s="269"/>
      <c r="J28" s="270"/>
      <c r="K28" s="267"/>
      <c r="L28" s="407"/>
      <c r="M28" s="408"/>
      <c r="N28" s="408"/>
      <c r="O28" s="408"/>
      <c r="P28" s="408"/>
      <c r="Q28" s="408"/>
      <c r="R28" s="408"/>
      <c r="S28" s="408"/>
      <c r="T28" s="409"/>
      <c r="U28" s="271"/>
      <c r="V28" s="271"/>
      <c r="W28" s="271"/>
      <c r="X28" s="271"/>
      <c r="Y28" s="271"/>
      <c r="Z28" s="271"/>
      <c r="AA28" s="271"/>
      <c r="AB28" s="271"/>
      <c r="AC28" s="271"/>
      <c r="AD28" s="271"/>
      <c r="AE28" s="271"/>
      <c r="AF28" s="271"/>
      <c r="AG28" s="271"/>
      <c r="AH28" s="271"/>
      <c r="AI28" s="271"/>
      <c r="AJ28" s="271"/>
      <c r="AK28" s="271"/>
      <c r="AL28" s="271"/>
      <c r="AM28" s="271"/>
      <c r="OU28" s="421"/>
      <c r="OV28" s="421"/>
      <c r="OW28" s="421"/>
      <c r="OX28" s="421"/>
      <c r="OY28" s="421"/>
      <c r="OZ28" s="421"/>
      <c r="PA28" s="421"/>
      <c r="PB28" s="427"/>
      <c r="PC28" s="427"/>
      <c r="PD28" s="427"/>
      <c r="PE28" s="427"/>
    </row>
    <row r="29" spans="1:421" s="272" customFormat="1" ht="19.95" customHeight="1">
      <c r="A29" s="267"/>
      <c r="B29" s="268"/>
      <c r="C29" s="273" t="s">
        <v>1283</v>
      </c>
      <c r="D29" s="282"/>
      <c r="E29" s="281">
        <v>0</v>
      </c>
      <c r="F29" s="282"/>
      <c r="G29" s="280">
        <v>2</v>
      </c>
      <c r="H29" s="269"/>
      <c r="I29" s="269"/>
      <c r="J29" s="270"/>
      <c r="K29" s="267"/>
      <c r="U29" s="271"/>
      <c r="V29" s="271"/>
      <c r="W29" s="271"/>
      <c r="X29" s="271"/>
      <c r="Y29" s="271"/>
      <c r="Z29" s="271"/>
      <c r="AA29" s="271"/>
      <c r="AB29" s="271"/>
      <c r="AC29" s="271"/>
      <c r="AD29" s="271"/>
      <c r="AE29" s="271"/>
      <c r="AF29" s="271"/>
      <c r="AG29" s="271"/>
      <c r="AH29" s="271"/>
      <c r="AI29" s="271"/>
      <c r="AJ29" s="271"/>
      <c r="AK29" s="271"/>
      <c r="AL29" s="271"/>
      <c r="AM29" s="271"/>
      <c r="OU29" s="421"/>
      <c r="OV29" s="421"/>
      <c r="OW29" s="421"/>
      <c r="OX29" s="421"/>
      <c r="OY29" s="421"/>
      <c r="OZ29" s="421"/>
      <c r="PA29" s="421"/>
      <c r="PB29" s="427"/>
      <c r="PC29" s="427"/>
      <c r="PD29" s="427"/>
      <c r="PE29" s="427"/>
    </row>
    <row r="30" spans="1:421" s="272" customFormat="1" ht="1.95" customHeight="1">
      <c r="A30" s="267"/>
      <c r="B30" s="268"/>
      <c r="C30" s="269"/>
      <c r="D30" s="269"/>
      <c r="E30" s="269"/>
      <c r="F30" s="269"/>
      <c r="G30" s="269"/>
      <c r="H30" s="269"/>
      <c r="I30" s="269"/>
      <c r="J30" s="270"/>
      <c r="K30" s="267"/>
      <c r="U30" s="271"/>
      <c r="V30" s="271"/>
      <c r="W30" s="271"/>
      <c r="X30" s="271"/>
      <c r="Y30" s="271"/>
      <c r="Z30" s="271"/>
      <c r="AA30" s="271"/>
      <c r="AB30" s="271"/>
      <c r="AC30" s="271"/>
      <c r="AD30" s="271"/>
      <c r="AE30" s="271"/>
      <c r="AF30" s="271"/>
      <c r="AG30" s="271"/>
      <c r="AH30" s="271"/>
      <c r="AI30" s="271"/>
      <c r="AJ30" s="271"/>
      <c r="AK30" s="271"/>
      <c r="AL30" s="271"/>
      <c r="AM30" s="271"/>
      <c r="OU30" s="421"/>
      <c r="OV30" s="421"/>
      <c r="OW30" s="421"/>
      <c r="OX30" s="421"/>
      <c r="OY30" s="421"/>
      <c r="OZ30" s="421"/>
      <c r="PA30" s="421"/>
      <c r="PB30" s="427"/>
      <c r="PC30" s="427"/>
      <c r="PD30" s="427"/>
      <c r="PE30" s="427"/>
    </row>
    <row r="31" spans="1:421" s="272" customFormat="1" ht="19.95" customHeight="1">
      <c r="A31" s="267"/>
      <c r="B31" s="268"/>
      <c r="C31" s="273" t="s">
        <v>1284</v>
      </c>
      <c r="D31" s="282"/>
      <c r="E31" s="280">
        <v>2</v>
      </c>
      <c r="F31" s="282"/>
      <c r="G31" s="281">
        <v>0</v>
      </c>
      <c r="H31" s="269"/>
      <c r="I31" s="269"/>
      <c r="J31" s="270"/>
      <c r="K31" s="267"/>
      <c r="U31" s="267"/>
      <c r="V31" s="271"/>
      <c r="W31" s="271"/>
      <c r="X31" s="271"/>
      <c r="Y31" s="271"/>
      <c r="Z31" s="271"/>
      <c r="AA31" s="271"/>
      <c r="AB31" s="271"/>
      <c r="AC31" s="271"/>
      <c r="AD31" s="271"/>
      <c r="AE31" s="271"/>
      <c r="AF31" s="271"/>
      <c r="AG31" s="271"/>
      <c r="AH31" s="271"/>
      <c r="AI31" s="271"/>
      <c r="AJ31" s="271"/>
      <c r="AK31" s="271"/>
      <c r="AL31" s="271"/>
      <c r="AM31" s="271"/>
      <c r="OU31" s="421"/>
      <c r="OV31" s="421"/>
      <c r="OW31" s="421"/>
      <c r="OX31" s="421"/>
      <c r="OY31" s="421"/>
      <c r="OZ31" s="421"/>
      <c r="PA31" s="421"/>
      <c r="PB31" s="427"/>
      <c r="PC31" s="427"/>
      <c r="PD31" s="427"/>
      <c r="PE31" s="427"/>
    </row>
    <row r="32" spans="1:421" s="5" customFormat="1">
      <c r="A32" s="236"/>
      <c r="B32" s="263"/>
      <c r="C32" s="264"/>
      <c r="D32" s="264"/>
      <c r="E32" s="264"/>
      <c r="F32" s="264"/>
      <c r="G32" s="264"/>
      <c r="H32" s="264"/>
      <c r="I32" s="264"/>
      <c r="J32" s="265"/>
      <c r="K32" s="236"/>
      <c r="L32" s="272"/>
      <c r="M32" s="272"/>
      <c r="N32" s="272"/>
      <c r="O32" s="272"/>
      <c r="P32" s="272"/>
      <c r="Q32" s="272"/>
      <c r="R32" s="272"/>
      <c r="S32" s="272"/>
      <c r="T32" s="272"/>
      <c r="U32" s="6"/>
      <c r="V32" s="6"/>
      <c r="W32" s="6"/>
      <c r="X32" s="6"/>
      <c r="Y32" s="6"/>
      <c r="Z32" s="6"/>
      <c r="AA32" s="6"/>
      <c r="AB32" s="6"/>
      <c r="AC32" s="6"/>
      <c r="AD32" s="6"/>
      <c r="AE32" s="6"/>
      <c r="AF32" s="6"/>
      <c r="AG32" s="6"/>
      <c r="AH32" s="6"/>
      <c r="AI32" s="6"/>
      <c r="AJ32" s="6"/>
      <c r="AK32" s="6"/>
      <c r="AL32" s="6"/>
      <c r="AM32" s="6"/>
      <c r="OU32" s="420"/>
      <c r="OV32" s="420"/>
      <c r="OW32" s="420"/>
      <c r="OX32" s="420"/>
      <c r="OY32" s="420"/>
      <c r="OZ32" s="420"/>
      <c r="PA32" s="420"/>
      <c r="PB32" s="426"/>
      <c r="PC32" s="426"/>
      <c r="PD32" s="426"/>
      <c r="PE32" s="426"/>
    </row>
    <row r="33" spans="1:421" s="5" customFormat="1" ht="15" thickBot="1">
      <c r="A33" s="236"/>
      <c r="K33" s="236"/>
      <c r="U33" s="6"/>
      <c r="V33" s="6"/>
      <c r="W33" s="6"/>
      <c r="X33" s="6"/>
      <c r="Y33" s="6"/>
      <c r="Z33" s="6"/>
      <c r="AA33" s="6"/>
      <c r="AB33" s="6"/>
      <c r="AC33" s="6"/>
      <c r="AD33" s="6"/>
      <c r="AE33" s="6"/>
      <c r="AF33" s="6"/>
      <c r="AG33" s="6"/>
      <c r="AH33" s="6"/>
      <c r="AI33" s="6"/>
      <c r="AJ33" s="6"/>
      <c r="AK33" s="6"/>
      <c r="AL33" s="6"/>
      <c r="AM33" s="6"/>
      <c r="OU33" s="420"/>
      <c r="OV33" s="420"/>
      <c r="OW33" s="420"/>
      <c r="OX33" s="420"/>
      <c r="OY33" s="420"/>
      <c r="OZ33" s="420"/>
      <c r="PA33" s="420"/>
      <c r="PB33" s="426"/>
      <c r="PC33" s="426"/>
      <c r="PD33" s="426"/>
      <c r="PE33" s="426"/>
    </row>
    <row r="34" spans="1:421" ht="28.05" customHeight="1" thickBot="1">
      <c r="A34" s="236"/>
      <c r="B34" s="742" t="str">
        <f>HYPERLINK(Idiomas!D10,Idiomas!D9)</f>
        <v>▼ Descargar Excel Administrador Porra ▼</v>
      </c>
      <c r="C34" s="743"/>
      <c r="D34" s="743"/>
      <c r="E34" s="743"/>
      <c r="F34" s="743"/>
      <c r="G34" s="743"/>
      <c r="H34" s="743"/>
      <c r="I34" s="743"/>
      <c r="J34" s="744"/>
      <c r="K34" s="236"/>
      <c r="L34" s="297" t="s">
        <v>1358</v>
      </c>
      <c r="M34" s="5"/>
      <c r="N34" s="5"/>
      <c r="O34" s="5"/>
      <c r="P34" s="5"/>
      <c r="Q34" s="5"/>
      <c r="R34" s="5"/>
      <c r="S34" s="5"/>
      <c r="T34" s="5"/>
    </row>
    <row r="35" spans="1:421">
      <c r="A35" s="236"/>
      <c r="C35" s="236"/>
      <c r="D35" s="236"/>
      <c r="E35" s="236"/>
      <c r="F35" s="236"/>
      <c r="G35" s="236"/>
      <c r="H35" s="236"/>
      <c r="I35" s="236"/>
      <c r="J35" s="236"/>
      <c r="K35" s="236"/>
      <c r="L35" s="236"/>
      <c r="M35" s="235"/>
      <c r="N35" s="236"/>
      <c r="O35" s="236"/>
      <c r="P35" s="236"/>
      <c r="Q35" s="236"/>
    </row>
    <row r="36" spans="1:421" ht="28.05" customHeight="1">
      <c r="A36" s="236"/>
      <c r="D36" s="236"/>
      <c r="E36" s="236"/>
      <c r="F36" s="236"/>
      <c r="G36" s="236"/>
      <c r="H36" s="236"/>
      <c r="I36" s="236"/>
      <c r="J36" s="236"/>
      <c r="K36" s="236"/>
      <c r="L36" s="236"/>
      <c r="M36" s="235"/>
      <c r="N36" s="236"/>
      <c r="O36" s="236"/>
      <c r="P36" s="236"/>
      <c r="Q36" s="236"/>
    </row>
    <row r="37" spans="1:421" ht="15" customHeight="1">
      <c r="A37" s="236"/>
      <c r="K37" s="236"/>
      <c r="L37" s="236"/>
      <c r="M37" s="235"/>
      <c r="N37" s="236"/>
      <c r="O37" s="236"/>
      <c r="P37" s="236"/>
      <c r="Q37" s="236"/>
    </row>
    <row r="38" spans="1:421" ht="34.049999999999997" customHeight="1">
      <c r="A38" s="236"/>
      <c r="B38" s="236"/>
      <c r="D38" s="236"/>
      <c r="E38" s="236"/>
      <c r="F38" s="236"/>
      <c r="G38" s="236"/>
      <c r="H38" s="236"/>
      <c r="I38" s="236"/>
      <c r="J38" s="236"/>
      <c r="K38" s="236"/>
      <c r="M38" s="236"/>
      <c r="N38" s="236"/>
      <c r="O38" s="236"/>
      <c r="P38" s="236"/>
      <c r="Q38" s="236"/>
    </row>
    <row r="39" spans="1:421">
      <c r="A39" s="236"/>
      <c r="B39" s="236"/>
      <c r="C39" s="236"/>
      <c r="D39" s="236"/>
      <c r="E39" s="236"/>
      <c r="F39" s="236"/>
      <c r="G39" s="236"/>
      <c r="H39" s="236"/>
      <c r="I39" s="236"/>
      <c r="J39" s="236"/>
      <c r="K39" s="236"/>
      <c r="L39" s="236"/>
      <c r="M39" s="236"/>
      <c r="N39" s="236"/>
      <c r="O39" s="236"/>
      <c r="P39" s="236"/>
      <c r="Q39" s="236"/>
    </row>
    <row r="40" spans="1:421">
      <c r="A40" s="236"/>
      <c r="B40" s="236"/>
      <c r="C40" s="236"/>
      <c r="D40" s="236"/>
      <c r="E40" s="236"/>
      <c r="F40" s="236"/>
      <c r="G40" s="236"/>
      <c r="H40" s="236"/>
      <c r="I40" s="236"/>
      <c r="J40" s="236"/>
      <c r="K40" s="236"/>
      <c r="L40" s="236"/>
      <c r="M40" s="236"/>
      <c r="N40" s="236"/>
      <c r="O40" s="236"/>
      <c r="P40" s="236"/>
      <c r="Q40" s="236"/>
    </row>
    <row r="41" spans="1:421">
      <c r="A41" s="236"/>
      <c r="B41" s="236"/>
      <c r="C41" s="236"/>
      <c r="D41" s="236"/>
      <c r="E41" s="236"/>
      <c r="F41" s="236"/>
      <c r="G41" s="236"/>
      <c r="H41" s="236"/>
      <c r="I41" s="236"/>
      <c r="J41" s="236"/>
      <c r="K41" s="236"/>
      <c r="L41" s="236"/>
      <c r="M41" s="236"/>
      <c r="N41" s="236"/>
      <c r="O41" s="236"/>
      <c r="P41" s="236"/>
      <c r="Q41" s="236"/>
    </row>
    <row r="45" spans="1:421">
      <c r="B45" s="236"/>
    </row>
    <row r="8111" spans="411:417">
      <c r="OU8111" s="19"/>
      <c r="OV8111" s="19"/>
      <c r="OW8111" s="19"/>
      <c r="OX8111" s="19"/>
      <c r="OY8111" s="19"/>
      <c r="OZ8111" s="19" t="s">
        <v>1462</v>
      </c>
      <c r="PA8111" s="19"/>
    </row>
    <row r="8112" spans="411:417">
      <c r="OU8112" s="19" t="str">
        <f ca="1">IF(Home!$K$23=Idiomas!$D$919,OZ8112,
IF(AND(Home!$K$23&lt;&gt;Idiomas!$D$919,TODAY()&lt;=Horarios!$A$4),OZ8112,Idiomas!$D$920))</f>
        <v>Alemania</v>
      </c>
      <c r="OV8112" s="19" t="str">
        <f ca="1">IF(Home!$K$23=Idiomas!$D$919,PA8112,
IF(AND(Home!$K$23&lt;&gt;Idiomas!$D$919,TODAY()&lt;=Horarios!$A$4),PA8112,Idiomas!$D$920))</f>
        <v>Germany</v>
      </c>
      <c r="OW8112" s="19"/>
      <c r="OX8112" s="19"/>
      <c r="OY8112" s="19"/>
      <c r="OZ8112" s="422" t="s">
        <v>79</v>
      </c>
      <c r="PA8112" s="422" t="s">
        <v>315</v>
      </c>
    </row>
    <row r="8113" spans="411:417">
      <c r="OU8113" s="19" t="str">
        <f ca="1">IF(Home!$K$23=Idiomas!$D$919,OZ8113,
IF(AND(Home!$K$23&lt;&gt;Idiomas!$D$919,TODAY()&lt;=Horarios!$A$4),OZ8113,Idiomas!$D$920))</f>
        <v>Arabia Saudita</v>
      </c>
      <c r="OV8113" s="19" t="str">
        <f ca="1">IF(Home!$K$23=Idiomas!$D$919,PA8113,
IF(AND(Home!$K$23&lt;&gt;Idiomas!$D$919,TODAY()&lt;=Horarios!$A$4),PA8113,Idiomas!$D$920))</f>
        <v>Saudi Arabia</v>
      </c>
      <c r="OW8113" s="19"/>
      <c r="OX8113" s="19"/>
      <c r="OY8113" s="19"/>
      <c r="OZ8113" s="422" t="s">
        <v>1388</v>
      </c>
      <c r="PA8113" s="422" t="s">
        <v>1389</v>
      </c>
    </row>
    <row r="8114" spans="411:417">
      <c r="OU8114" s="19" t="str">
        <f ca="1">IF(Home!$K$23=Idiomas!$D$919,OZ8114,
IF(AND(Home!$K$23&lt;&gt;Idiomas!$D$919,TODAY()&lt;=Horarios!$A$4),OZ8114,Idiomas!$D$920))</f>
        <v>Argelia</v>
      </c>
      <c r="OV8114" s="19" t="str">
        <f ca="1">IF(Home!$K$23=Idiomas!$D$919,PA8114,
IF(AND(Home!$K$23&lt;&gt;Idiomas!$D$919,TODAY()&lt;=Horarios!$A$4),PA8114,Idiomas!$D$920))</f>
        <v>Algeria</v>
      </c>
      <c r="OW8114" s="19"/>
      <c r="OX8114" s="19"/>
      <c r="OY8114" s="19"/>
      <c r="OZ8114" s="422" t="s">
        <v>1391</v>
      </c>
      <c r="PA8114" s="422" t="s">
        <v>1392</v>
      </c>
    </row>
    <row r="8115" spans="411:417">
      <c r="OU8115" s="19" t="str">
        <f ca="1">IF(Home!$K$23=Idiomas!$D$919,OZ8115,
IF(AND(Home!$K$23&lt;&gt;Idiomas!$D$919,TODAY()&lt;=Horarios!$A$4),OZ8115,Idiomas!$D$920))</f>
        <v>Argentina</v>
      </c>
      <c r="OV8115" s="19" t="str">
        <f ca="1">IF(Home!$K$23=Idiomas!$D$919,PA8115,
IF(AND(Home!$K$23&lt;&gt;Idiomas!$D$919,TODAY()&lt;=Horarios!$A$4),PA8115,Idiomas!$D$920))</f>
        <v>Argentina</v>
      </c>
      <c r="OW8115" s="19"/>
      <c r="OX8115" s="19"/>
      <c r="OY8115" s="19"/>
      <c r="OZ8115" s="422" t="s">
        <v>1269</v>
      </c>
      <c r="PA8115" s="422" t="s">
        <v>1269</v>
      </c>
    </row>
    <row r="8116" spans="411:417">
      <c r="OU8116" s="19" t="str">
        <f ca="1">IF(Home!$K$23=Idiomas!$D$919,OZ8116,
IF(AND(Home!$K$23&lt;&gt;Idiomas!$D$919,TODAY()&lt;=Horarios!$A$4),OZ8116,Idiomas!$D$920))</f>
        <v>Australia</v>
      </c>
      <c r="OV8116" s="19" t="str">
        <f ca="1">IF(Home!$K$23=Idiomas!$D$919,PA8116,
IF(AND(Home!$K$23&lt;&gt;Idiomas!$D$919,TODAY()&lt;=Horarios!$A$4),PA8116,Idiomas!$D$920))</f>
        <v>Australia</v>
      </c>
      <c r="OW8116" s="19"/>
      <c r="OX8116" s="19"/>
      <c r="OY8116" s="19"/>
      <c r="OZ8116" s="422" t="s">
        <v>1270</v>
      </c>
      <c r="PA8116" s="422" t="s">
        <v>1270</v>
      </c>
    </row>
    <row r="8117" spans="411:417">
      <c r="OU8117" s="19" t="str">
        <f ca="1">IF(Home!$K$23=Idiomas!$D$919,OZ8117,
IF(AND(Home!$K$23&lt;&gt;Idiomas!$D$919,TODAY()&lt;=Horarios!$A$4),OZ8117,Idiomas!$D$920))</f>
        <v>Austria</v>
      </c>
      <c r="OV8117" s="19" t="str">
        <f ca="1">IF(Home!$K$23=Idiomas!$D$919,PA8117,
IF(AND(Home!$K$23&lt;&gt;Idiomas!$D$919,TODAY()&lt;=Horarios!$A$4),PA8117,Idiomas!$D$920))</f>
        <v>Austria</v>
      </c>
      <c r="OW8117" s="19"/>
      <c r="OX8117" s="19"/>
      <c r="OY8117" s="19"/>
      <c r="OZ8117" s="422" t="s">
        <v>82</v>
      </c>
      <c r="PA8117" s="422" t="s">
        <v>82</v>
      </c>
    </row>
    <row r="8118" spans="411:417">
      <c r="OU8118" s="19" t="str">
        <f ca="1">IF(Home!$K$23=Idiomas!$D$919,OZ8118,
IF(AND(Home!$K$23&lt;&gt;Idiomas!$D$919,TODAY()&lt;=Horarios!$A$4),OZ8118,Idiomas!$D$920))</f>
        <v>Bélgica</v>
      </c>
      <c r="OV8118" s="19" t="str">
        <f ca="1">IF(Home!$K$23=Idiomas!$D$919,PA8118,
IF(AND(Home!$K$23&lt;&gt;Idiomas!$D$919,TODAY()&lt;=Horarios!$A$4),PA8118,Idiomas!$D$920))</f>
        <v>Belgium</v>
      </c>
      <c r="OW8118" s="19"/>
      <c r="OX8118" s="19"/>
      <c r="OY8118" s="19"/>
      <c r="OZ8118" s="422" t="s">
        <v>112</v>
      </c>
      <c r="PA8118" s="422" t="s">
        <v>311</v>
      </c>
    </row>
    <row r="8119" spans="411:417">
      <c r="OU8119" s="19" t="str">
        <f ca="1">IF(Home!$K$23=Idiomas!$D$919,OZ8119,
IF(AND(Home!$K$23&lt;&gt;Idiomas!$D$919,TODAY()&lt;=Horarios!$A$4),OZ8119,Idiomas!$D$920))</f>
        <v>Brasil</v>
      </c>
      <c r="OV8119" s="19" t="str">
        <f ca="1">IF(Home!$K$23=Idiomas!$D$919,PA8119,
IF(AND(Home!$K$23&lt;&gt;Idiomas!$D$919,TODAY()&lt;=Horarios!$A$4),PA8119,Idiomas!$D$920))</f>
        <v>Brazil</v>
      </c>
      <c r="OW8119" s="19"/>
      <c r="OX8119" s="19"/>
      <c r="OY8119" s="19"/>
      <c r="OZ8119" s="422" t="s">
        <v>1271</v>
      </c>
      <c r="PA8119" s="422" t="s">
        <v>1287</v>
      </c>
    </row>
    <row r="8120" spans="411:417">
      <c r="OU8120" s="19" t="str">
        <f ca="1">IF(Home!$K$23=Idiomas!$D$919,OZ8120,
IF(AND(Home!$K$23&lt;&gt;Idiomas!$D$919,TODAY()&lt;=Horarios!$A$4),OZ8120,Idiomas!$D$920))</f>
        <v>Cabo Verde</v>
      </c>
      <c r="OV8120" s="19" t="str">
        <f ca="1">IF(Home!$K$23=Idiomas!$D$919,PA8120,
IF(AND(Home!$K$23&lt;&gt;Idiomas!$D$919,TODAY()&lt;=Horarios!$A$4),PA8120,Idiomas!$D$920))</f>
        <v>Cape Verde</v>
      </c>
      <c r="OW8120" s="19"/>
      <c r="OX8120" s="19"/>
      <c r="OY8120" s="19"/>
      <c r="OZ8120" s="422" t="s">
        <v>1394</v>
      </c>
      <c r="PA8120" s="422" t="s">
        <v>1395</v>
      </c>
    </row>
    <row r="8121" spans="411:417">
      <c r="OU8121" s="19" t="str">
        <f ca="1">IF(Home!$K$23=Idiomas!$D$919,OZ8121,
IF(AND(Home!$K$23&lt;&gt;Idiomas!$D$919,TODAY()&lt;=Horarios!$A$4),OZ8121,Idiomas!$D$920))</f>
        <v>Canadá</v>
      </c>
      <c r="OV8121" s="19" t="str">
        <f ca="1">IF(Home!$K$23=Idiomas!$D$919,PA8121,
IF(AND(Home!$K$23&lt;&gt;Idiomas!$D$919,TODAY()&lt;=Horarios!$A$4),PA8121,Idiomas!$D$920))</f>
        <v>Canada</v>
      </c>
      <c r="OW8121" s="19"/>
      <c r="OX8121" s="19"/>
      <c r="OY8121" s="19"/>
      <c r="OZ8121" s="422" t="s">
        <v>1272</v>
      </c>
      <c r="PA8121" s="422" t="s">
        <v>1289</v>
      </c>
    </row>
    <row r="8122" spans="411:417">
      <c r="OU8122" s="19" t="str">
        <f ca="1">IF(Home!$K$23=Idiomas!$D$919,OZ8122,
IF(AND(Home!$K$23&lt;&gt;Idiomas!$D$919,TODAY()&lt;=Horarios!$A$4),OZ8122,Idiomas!$D$920))</f>
        <v>Catar</v>
      </c>
      <c r="OV8122" s="19" t="str">
        <f ca="1">IF(Home!$K$23=Idiomas!$D$919,PA8122,
IF(AND(Home!$K$23&lt;&gt;Idiomas!$D$919,TODAY()&lt;=Horarios!$A$4),PA8122,Idiomas!$D$920))</f>
        <v>Qatar</v>
      </c>
      <c r="OW8122" s="19"/>
      <c r="OX8122" s="19"/>
      <c r="OY8122" s="19"/>
      <c r="OZ8122" s="422" t="s">
        <v>1397</v>
      </c>
      <c r="PA8122" s="422" t="s">
        <v>1398</v>
      </c>
    </row>
    <row r="8123" spans="411:417">
      <c r="OU8123" s="19" t="str">
        <f ca="1">IF(Home!$K$23=Idiomas!$D$919,OZ8123,
IF(AND(Home!$K$23&lt;&gt;Idiomas!$D$919,TODAY()&lt;=Horarios!$A$4),OZ8123,Idiomas!$D$920))</f>
        <v>Colombia</v>
      </c>
      <c r="OV8123" s="19" t="str">
        <f ca="1">IF(Home!$K$23=Idiomas!$D$919,PA8123,
IF(AND(Home!$K$23&lt;&gt;Idiomas!$D$919,TODAY()&lt;=Horarios!$A$4),PA8123,Idiomas!$D$920))</f>
        <v>Colombia</v>
      </c>
      <c r="OW8123" s="19"/>
      <c r="OX8123" s="19"/>
      <c r="OY8123" s="19"/>
      <c r="OZ8123" s="422" t="s">
        <v>1343</v>
      </c>
      <c r="PA8123" s="422" t="s">
        <v>1343</v>
      </c>
    </row>
    <row r="8124" spans="411:417">
      <c r="OU8124" s="19" t="str">
        <f ca="1">IF(Home!$K$23=Idiomas!$D$919,OZ8124,
IF(AND(Home!$K$23&lt;&gt;Idiomas!$D$919,TODAY()&lt;=Horarios!$A$4),OZ8124,Idiomas!$D$920))</f>
        <v>Corea del Sur</v>
      </c>
      <c r="OV8124" s="19" t="str">
        <f ca="1">IF(Home!$K$23=Idiomas!$D$919,PA8124,
IF(AND(Home!$K$23&lt;&gt;Idiomas!$D$919,TODAY()&lt;=Horarios!$A$4),PA8124,Idiomas!$D$920))</f>
        <v>South Korea</v>
      </c>
      <c r="OW8124" s="19"/>
      <c r="OX8124" s="19"/>
      <c r="OY8124" s="19"/>
      <c r="OZ8124" s="422" t="s">
        <v>1273</v>
      </c>
      <c r="PA8124" s="422" t="s">
        <v>1291</v>
      </c>
    </row>
    <row r="8125" spans="411:417">
      <c r="OU8125" s="19" t="str">
        <f ca="1">IF(Home!$K$23=Idiomas!$D$919,OZ8125,
IF(AND(Home!$K$23&lt;&gt;Idiomas!$D$919,TODAY()&lt;=Horarios!$A$4),OZ8125,Idiomas!$D$920))</f>
        <v>Costa de Marfil</v>
      </c>
      <c r="OV8125" s="19" t="str">
        <f ca="1">IF(Home!$K$23=Idiomas!$D$919,PA8125,
IF(AND(Home!$K$23&lt;&gt;Idiomas!$D$919,TODAY()&lt;=Horarios!$A$4),PA8125,Idiomas!$D$920))</f>
        <v>Ivory Coast</v>
      </c>
      <c r="OW8125" s="19"/>
      <c r="OX8125" s="19"/>
      <c r="OY8125" s="19"/>
      <c r="OZ8125" s="19" t="s">
        <v>1400</v>
      </c>
      <c r="PA8125" s="422" t="s">
        <v>1401</v>
      </c>
    </row>
    <row r="8126" spans="411:417">
      <c r="OU8126" s="19" t="str">
        <f ca="1">IF(Home!$K$23=Idiomas!$D$919,OZ8126,
IF(AND(Home!$K$23&lt;&gt;Idiomas!$D$919,TODAY()&lt;=Horarios!$A$4),OZ8126,Idiomas!$D$920))</f>
        <v>Croacia</v>
      </c>
      <c r="OV8126" s="19" t="str">
        <f ca="1">IF(Home!$K$23=Idiomas!$D$919,PA8126,
IF(AND(Home!$K$23&lt;&gt;Idiomas!$D$919,TODAY()&lt;=Horarios!$A$4),PA8126,Idiomas!$D$920))</f>
        <v>Croatia</v>
      </c>
      <c r="OW8126" s="19"/>
      <c r="OX8126" s="19"/>
      <c r="OY8126" s="19"/>
      <c r="OZ8126" s="422" t="s">
        <v>80</v>
      </c>
      <c r="PA8126" s="422" t="s">
        <v>314</v>
      </c>
    </row>
    <row r="8127" spans="411:417">
      <c r="OU8127" s="19" t="str">
        <f ca="1">IF(Home!$K$23=Idiomas!$D$919,OZ8127,
IF(AND(Home!$K$23&lt;&gt;Idiomas!$D$919,TODAY()&lt;=Horarios!$A$4),OZ8127,Idiomas!$D$920))</f>
        <v>Curazao</v>
      </c>
      <c r="OV8127" s="19" t="str">
        <f ca="1">IF(Home!$K$23=Idiomas!$D$919,PA8127,
IF(AND(Home!$K$23&lt;&gt;Idiomas!$D$919,TODAY()&lt;=Horarios!$A$4),PA8127,Idiomas!$D$920))</f>
        <v>Curaçao</v>
      </c>
      <c r="OW8127" s="19"/>
      <c r="OX8127" s="19"/>
      <c r="OY8127" s="19"/>
      <c r="OZ8127" s="422" t="s">
        <v>1415</v>
      </c>
      <c r="PA8127" s="422" t="s">
        <v>1420</v>
      </c>
    </row>
    <row r="8128" spans="411:417">
      <c r="OU8128" s="19" t="str">
        <f ca="1">IF(Home!$K$23=Idiomas!$D$919,OZ8128,
IF(AND(Home!$K$23&lt;&gt;Idiomas!$D$919,TODAY()&lt;=Horarios!$A$4),OZ8128,Idiomas!$D$920))</f>
        <v>Ecuador</v>
      </c>
      <c r="OV8128" s="19" t="str">
        <f ca="1">IF(Home!$K$23=Idiomas!$D$919,PA8128,
IF(AND(Home!$K$23&lt;&gt;Idiomas!$D$919,TODAY()&lt;=Horarios!$A$4),PA8128,Idiomas!$D$920))</f>
        <v>Ecuador</v>
      </c>
      <c r="OW8128" s="19"/>
      <c r="OX8128" s="19"/>
      <c r="OY8128" s="19"/>
      <c r="OZ8128" s="422" t="s">
        <v>1274</v>
      </c>
      <c r="PA8128" s="422" t="s">
        <v>1274</v>
      </c>
    </row>
    <row r="8129" spans="411:417">
      <c r="OU8129" s="19" t="str">
        <f ca="1">IF(Home!$K$23=Idiomas!$D$919,OZ8129,
IF(AND(Home!$K$23&lt;&gt;Idiomas!$D$919,TODAY()&lt;=Horarios!$A$4),OZ8129,Idiomas!$D$920))</f>
        <v>Egipto</v>
      </c>
      <c r="OV8129" s="19" t="str">
        <f ca="1">IF(Home!$K$23=Idiomas!$D$919,PA8129,
IF(AND(Home!$K$23&lt;&gt;Idiomas!$D$919,TODAY()&lt;=Horarios!$A$4),PA8129,Idiomas!$D$920))</f>
        <v>Egypt</v>
      </c>
      <c r="OW8129" s="19"/>
      <c r="OX8129" s="19"/>
      <c r="OY8129" s="19"/>
      <c r="OZ8129" s="422" t="s">
        <v>1403</v>
      </c>
      <c r="PA8129" s="422" t="s">
        <v>1404</v>
      </c>
    </row>
    <row r="8130" spans="411:417">
      <c r="OU8130" s="19" t="str">
        <f ca="1">IF(Home!$K$23=Idiomas!$D$919,OZ8130,
IF(AND(Home!$K$23&lt;&gt;Idiomas!$D$919,TODAY()&lt;=Horarios!$A$4),OZ8130,Idiomas!$D$920))</f>
        <v>Escocia</v>
      </c>
      <c r="OV8130" s="19" t="str">
        <f ca="1">IF(Home!$K$23=Idiomas!$D$919,PA8130,
IF(AND(Home!$K$23&lt;&gt;Idiomas!$D$919,TODAY()&lt;=Horarios!$A$4),PA8130,Idiomas!$D$920))</f>
        <v>Scotland</v>
      </c>
      <c r="OW8130" s="19"/>
      <c r="OX8130" s="19"/>
      <c r="OY8130" s="19"/>
      <c r="OZ8130" s="422" t="s">
        <v>143</v>
      </c>
      <c r="PA8130" s="422" t="s">
        <v>316</v>
      </c>
    </row>
    <row r="8131" spans="411:417">
      <c r="OU8131" s="19" t="str">
        <f ca="1">IF(Home!$K$23=Idiomas!$D$919,OZ8131,
IF(AND(Home!$K$23&lt;&gt;Idiomas!$D$919,TODAY()&lt;=Horarios!$A$4),OZ8131,Idiomas!$D$920))</f>
        <v>España</v>
      </c>
      <c r="OV8131" s="19" t="str">
        <f ca="1">IF(Home!$K$23=Idiomas!$D$919,PA8131,
IF(AND(Home!$K$23&lt;&gt;Idiomas!$D$919,TODAY()&lt;=Horarios!$A$4),PA8131,Idiomas!$D$920))</f>
        <v>Spain</v>
      </c>
      <c r="OW8131" s="19"/>
      <c r="OX8131" s="19"/>
      <c r="OY8131" s="19"/>
      <c r="OZ8131" s="422" t="s">
        <v>40</v>
      </c>
      <c r="PA8131" s="422" t="s">
        <v>313</v>
      </c>
    </row>
    <row r="8132" spans="411:417">
      <c r="OU8132" s="19" t="str">
        <f ca="1">IF(Home!$K$23=Idiomas!$D$919,OZ8132,
IF(AND(Home!$K$23&lt;&gt;Idiomas!$D$919,TODAY()&lt;=Horarios!$A$4),OZ8132,Idiomas!$D$920))</f>
        <v>Estados Unidos</v>
      </c>
      <c r="OV8132" s="19" t="str">
        <f ca="1">IF(Home!$K$23=Idiomas!$D$919,PA8132,
IF(AND(Home!$K$23&lt;&gt;Idiomas!$D$919,TODAY()&lt;=Horarios!$A$4),PA8132,Idiomas!$D$920))</f>
        <v>United States</v>
      </c>
      <c r="OW8132" s="19"/>
      <c r="OX8132" s="19"/>
      <c r="OY8132" s="19"/>
      <c r="OZ8132" s="422" t="s">
        <v>514</v>
      </c>
      <c r="PA8132" s="422" t="s">
        <v>515</v>
      </c>
    </row>
    <row r="8133" spans="411:417">
      <c r="OU8133" s="19" t="str">
        <f ca="1">IF(Home!$K$23=Idiomas!$D$919,OZ8133,
IF(AND(Home!$K$23&lt;&gt;Idiomas!$D$919,TODAY()&lt;=Horarios!$A$4),OZ8133,Idiomas!$D$920))</f>
        <v>Francia</v>
      </c>
      <c r="OV8133" s="19" t="str">
        <f ca="1">IF(Home!$K$23=Idiomas!$D$919,PA8133,
IF(AND(Home!$K$23&lt;&gt;Idiomas!$D$919,TODAY()&lt;=Horarios!$A$4),PA8133,Idiomas!$D$920))</f>
        <v>France</v>
      </c>
      <c r="OW8133" s="19"/>
      <c r="OX8133" s="19"/>
      <c r="OY8133" s="19"/>
      <c r="OZ8133" s="422" t="s">
        <v>76</v>
      </c>
      <c r="PA8133" s="422" t="s">
        <v>312</v>
      </c>
    </row>
    <row r="8134" spans="411:417">
      <c r="OU8134" s="19" t="str">
        <f ca="1">IF(Home!$K$23=Idiomas!$D$919,OZ8134,
IF(AND(Home!$K$23&lt;&gt;Idiomas!$D$919,TODAY()&lt;=Horarios!$A$4),OZ8134,Idiomas!$D$920))</f>
        <v>Ghana</v>
      </c>
      <c r="OV8134" s="19" t="str">
        <f ca="1">IF(Home!$K$23=Idiomas!$D$919,PA8134,
IF(AND(Home!$K$23&lt;&gt;Idiomas!$D$919,TODAY()&lt;=Horarios!$A$4),PA8134,Idiomas!$D$920))</f>
        <v>Ghana</v>
      </c>
      <c r="OW8134" s="19"/>
      <c r="OX8134" s="19"/>
      <c r="OY8134" s="19"/>
      <c r="OZ8134" s="422" t="s">
        <v>1406</v>
      </c>
      <c r="PA8134" s="422" t="s">
        <v>1406</v>
      </c>
    </row>
    <row r="8135" spans="411:417">
      <c r="OU8135" s="19" t="str">
        <f ca="1">IF(Home!$K$23=Idiomas!$D$919,OZ8135,
IF(AND(Home!$K$23&lt;&gt;Idiomas!$D$919,TODAY()&lt;=Horarios!$A$4),OZ8135,Idiomas!$D$920))</f>
        <v>Haití</v>
      </c>
      <c r="OV8135" s="19" t="str">
        <f ca="1">IF(Home!$K$23=Idiomas!$D$919,PA8135,
IF(AND(Home!$K$23&lt;&gt;Idiomas!$D$919,TODAY()&lt;=Horarios!$A$4),PA8135,Idiomas!$D$920))</f>
        <v>Haiti</v>
      </c>
      <c r="OW8135" s="19"/>
      <c r="OX8135" s="19"/>
      <c r="OY8135" s="19"/>
      <c r="OZ8135" s="422" t="s">
        <v>1414</v>
      </c>
      <c r="PA8135" s="422" t="s">
        <v>1418</v>
      </c>
    </row>
    <row r="8136" spans="411:417">
      <c r="OU8136" s="19" t="str">
        <f ca="1">IF(Home!$K$23=Idiomas!$D$919,OZ8136,
IF(AND(Home!$K$23&lt;&gt;Idiomas!$D$919,TODAY()&lt;=Horarios!$A$4),OZ8136,Idiomas!$D$920))</f>
        <v>Inglaterra</v>
      </c>
      <c r="OV8136" s="19" t="str">
        <f ca="1">IF(Home!$K$23=Idiomas!$D$919,PA8136,
IF(AND(Home!$K$23&lt;&gt;Idiomas!$D$919,TODAY()&lt;=Horarios!$A$4),PA8136,Idiomas!$D$920))</f>
        <v>England</v>
      </c>
      <c r="OW8136" s="19"/>
      <c r="OX8136" s="19"/>
      <c r="OY8136" s="19"/>
      <c r="OZ8136" s="422" t="s">
        <v>78</v>
      </c>
      <c r="PA8136" s="422" t="s">
        <v>310</v>
      </c>
    </row>
    <row r="8137" spans="411:417">
      <c r="OU8137" s="19" t="str">
        <f ca="1">IF(Home!$K$23=Idiomas!$D$919,OZ8137,
IF(AND(Home!$K$23&lt;&gt;Idiomas!$D$919,TODAY()&lt;=Horarios!$A$4),OZ8137,Idiomas!$D$920))</f>
        <v>Irán</v>
      </c>
      <c r="OV8137" s="19" t="str">
        <f ca="1">IF(Home!$K$23=Idiomas!$D$919,PA8137,
IF(AND(Home!$K$23&lt;&gt;Idiomas!$D$919,TODAY()&lt;=Horarios!$A$4),PA8137,Idiomas!$D$920))</f>
        <v>Iran</v>
      </c>
      <c r="OW8137" s="19"/>
      <c r="OX8137" s="19"/>
      <c r="OY8137" s="19"/>
      <c r="OZ8137" s="422" t="s">
        <v>1275</v>
      </c>
      <c r="PA8137" s="422" t="s">
        <v>1295</v>
      </c>
    </row>
    <row r="8138" spans="411:417">
      <c r="OU8138" s="19" t="str">
        <f ca="1">IF(Home!$K$23=Idiomas!$D$919,OZ8138,
IF(AND(Home!$K$23&lt;&gt;Idiomas!$D$919,TODAY()&lt;=Horarios!$A$4),OZ8138,Idiomas!$D$920))</f>
        <v>Japón</v>
      </c>
      <c r="OV8138" s="19" t="str">
        <f ca="1">IF(Home!$K$23=Idiomas!$D$919,PA8138,
IF(AND(Home!$K$23&lt;&gt;Idiomas!$D$919,TODAY()&lt;=Horarios!$A$4),PA8138,Idiomas!$D$920))</f>
        <v>Japan</v>
      </c>
      <c r="OW8138" s="19"/>
      <c r="OX8138" s="19"/>
      <c r="OY8138" s="19"/>
      <c r="OZ8138" s="422" t="s">
        <v>1276</v>
      </c>
      <c r="PA8138" s="422" t="s">
        <v>1297</v>
      </c>
    </row>
    <row r="8139" spans="411:417">
      <c r="OU8139" s="19" t="str">
        <f ca="1">IF(Home!$K$23=Idiomas!$D$919,OZ8139,
IF(AND(Home!$K$23&lt;&gt;Idiomas!$D$919,TODAY()&lt;=Horarios!$A$4),OZ8139,Idiomas!$D$920))</f>
        <v>Jordania</v>
      </c>
      <c r="OV8139" s="19" t="str">
        <f ca="1">IF(Home!$K$23=Idiomas!$D$919,PA8139,
IF(AND(Home!$K$23&lt;&gt;Idiomas!$D$919,TODAY()&lt;=Horarios!$A$4),PA8139,Idiomas!$D$920))</f>
        <v>Jordan</v>
      </c>
      <c r="OW8139" s="19"/>
      <c r="OX8139" s="19"/>
      <c r="OY8139" s="19"/>
      <c r="OZ8139" s="422" t="s">
        <v>1277</v>
      </c>
      <c r="PA8139" s="422" t="s">
        <v>1299</v>
      </c>
    </row>
    <row r="8140" spans="411:417">
      <c r="OU8140" s="19" t="str">
        <f ca="1">IF(Home!$K$23=Idiomas!$D$919,OZ8140,
IF(AND(Home!$K$23&lt;&gt;Idiomas!$D$919,TODAY()&lt;=Horarios!$A$4),OZ8140,Idiomas!$D$920))</f>
        <v>Marruecos</v>
      </c>
      <c r="OV8140" s="19" t="str">
        <f ca="1">IF(Home!$K$23=Idiomas!$D$919,PA8140,
IF(AND(Home!$K$23&lt;&gt;Idiomas!$D$919,TODAY()&lt;=Horarios!$A$4),PA8140,Idiomas!$D$920))</f>
        <v>Morocco</v>
      </c>
      <c r="OW8140" s="19"/>
      <c r="OX8140" s="19"/>
      <c r="OY8140" s="19"/>
      <c r="OZ8140" s="422" t="s">
        <v>1344</v>
      </c>
      <c r="PA8140" s="422" t="s">
        <v>1349</v>
      </c>
    </row>
    <row r="8141" spans="411:417">
      <c r="OU8141" s="19" t="str">
        <f ca="1">IF(Home!$K$23=Idiomas!$D$919,OZ8141,
IF(AND(Home!$K$23&lt;&gt;Idiomas!$D$919,TODAY()&lt;=Horarios!$A$4),OZ8141,Idiomas!$D$920))</f>
        <v>México</v>
      </c>
      <c r="OV8141" s="19" t="str">
        <f ca="1">IF(Home!$K$23=Idiomas!$D$919,PA8141,
IF(AND(Home!$K$23&lt;&gt;Idiomas!$D$919,TODAY()&lt;=Horarios!$A$4),PA8141,Idiomas!$D$920))</f>
        <v>Mexico</v>
      </c>
      <c r="OW8141" s="19"/>
      <c r="OX8141" s="19"/>
      <c r="OY8141" s="19"/>
      <c r="OZ8141" s="422" t="s">
        <v>1278</v>
      </c>
      <c r="PA8141" s="422" t="s">
        <v>1301</v>
      </c>
    </row>
    <row r="8142" spans="411:417">
      <c r="OU8142" s="19" t="str">
        <f ca="1">IF(Home!$K$23=Idiomas!$D$919,OZ8142,
IF(AND(Home!$K$23&lt;&gt;Idiomas!$D$919,TODAY()&lt;=Horarios!$A$4),OZ8142,Idiomas!$D$920))</f>
        <v>Noruega</v>
      </c>
      <c r="OV8142" s="19" t="str">
        <f ca="1">IF(Home!$K$23=Idiomas!$D$919,PA8142,
IF(AND(Home!$K$23&lt;&gt;Idiomas!$D$919,TODAY()&lt;=Horarios!$A$4),PA8142,Idiomas!$D$920))</f>
        <v>Norway</v>
      </c>
      <c r="OW8142" s="19"/>
      <c r="OX8142" s="19"/>
      <c r="OY8142" s="19"/>
      <c r="OZ8142" s="422" t="s">
        <v>144</v>
      </c>
      <c r="PA8142" s="422" t="s">
        <v>317</v>
      </c>
    </row>
    <row r="8143" spans="411:417">
      <c r="OU8143" s="19" t="str">
        <f ca="1">IF(Home!$K$23=Idiomas!$D$919,OZ8143,
IF(AND(Home!$K$23&lt;&gt;Idiomas!$D$919,TODAY()&lt;=Horarios!$A$4),OZ8143,Idiomas!$D$920))</f>
        <v>Nueva Zelanda</v>
      </c>
      <c r="OV8143" s="19" t="str">
        <f ca="1">IF(Home!$K$23=Idiomas!$D$919,PA8143,
IF(AND(Home!$K$23&lt;&gt;Idiomas!$D$919,TODAY()&lt;=Horarios!$A$4),PA8143,Idiomas!$D$920))</f>
        <v>New Zealand</v>
      </c>
      <c r="OW8143" s="19"/>
      <c r="OX8143" s="19"/>
      <c r="OY8143" s="19"/>
      <c r="OZ8143" s="422" t="s">
        <v>1279</v>
      </c>
      <c r="PA8143" s="422" t="s">
        <v>1303</v>
      </c>
    </row>
    <row r="8144" spans="411:417">
      <c r="OU8144" s="19" t="str">
        <f ca="1">IF(Home!$K$23=Idiomas!$D$919,OZ8144,
IF(AND(Home!$K$23&lt;&gt;Idiomas!$D$919,TODAY()&lt;=Horarios!$A$4),OZ8144,Idiomas!$D$920))</f>
        <v>Países Bajos</v>
      </c>
      <c r="OV8144" s="19" t="str">
        <f ca="1">IF(Home!$K$23=Idiomas!$D$919,PA8144,
IF(AND(Home!$K$23&lt;&gt;Idiomas!$D$919,TODAY()&lt;=Horarios!$A$4),PA8144,Idiomas!$D$920))</f>
        <v>Netherlands</v>
      </c>
      <c r="OW8144" s="19"/>
      <c r="OX8144" s="19"/>
      <c r="OY8144" s="19"/>
      <c r="OZ8144" s="422" t="s">
        <v>120</v>
      </c>
      <c r="PA8144" s="422" t="s">
        <v>309</v>
      </c>
    </row>
    <row r="8145" spans="411:417">
      <c r="OU8145" s="19" t="str">
        <f ca="1">IF(Home!$K$23=Idiomas!$D$919,OZ8145,
IF(AND(Home!$K$23&lt;&gt;Idiomas!$D$919,TODAY()&lt;=Horarios!$A$4),OZ8145,Idiomas!$D$920))</f>
        <v>Panamá</v>
      </c>
      <c r="OV8145" s="19" t="str">
        <f ca="1">IF(Home!$K$23=Idiomas!$D$919,PA8145,
IF(AND(Home!$K$23&lt;&gt;Idiomas!$D$919,TODAY()&lt;=Horarios!$A$4),PA8145,Idiomas!$D$920))</f>
        <v>Panama</v>
      </c>
      <c r="OW8145" s="19"/>
      <c r="OX8145" s="19"/>
      <c r="OY8145" s="19"/>
      <c r="OZ8145" s="422" t="s">
        <v>1413</v>
      </c>
      <c r="PA8145" s="422" t="s">
        <v>1416</v>
      </c>
    </row>
    <row r="8146" spans="411:417">
      <c r="OU8146" s="19" t="str">
        <f ca="1">IF(Home!$K$23=Idiomas!$D$919,OZ8146,
IF(AND(Home!$K$23&lt;&gt;Idiomas!$D$919,TODAY()&lt;=Horarios!$A$4),OZ8146,Idiomas!$D$920))</f>
        <v>Paraguay</v>
      </c>
      <c r="OV8146" s="19" t="str">
        <f ca="1">IF(Home!$K$23=Idiomas!$D$919,PA8146,
IF(AND(Home!$K$23&lt;&gt;Idiomas!$D$919,TODAY()&lt;=Horarios!$A$4),PA8146,Idiomas!$D$920))</f>
        <v>Paraguay</v>
      </c>
      <c r="OW8146" s="19"/>
      <c r="OX8146" s="19"/>
      <c r="OY8146" s="19"/>
      <c r="OZ8146" s="422" t="s">
        <v>1342</v>
      </c>
      <c r="PA8146" s="422" t="s">
        <v>1342</v>
      </c>
    </row>
    <row r="8147" spans="411:417">
      <c r="OU8147" s="19" t="str">
        <f ca="1">IF(Home!$K$23=Idiomas!$D$919,OZ8147,
IF(AND(Home!$K$23&lt;&gt;Idiomas!$D$919,TODAY()&lt;=Horarios!$A$4),OZ8147,Idiomas!$D$920))</f>
        <v>Portugal</v>
      </c>
      <c r="OV8147" s="19" t="str">
        <f ca="1">IF(Home!$K$23=Idiomas!$D$919,PA8147,
IF(AND(Home!$K$23&lt;&gt;Idiomas!$D$919,TODAY()&lt;=Horarios!$A$4),PA8147,Idiomas!$D$920))</f>
        <v>Portugal</v>
      </c>
      <c r="OW8147" s="19"/>
      <c r="OX8147" s="19"/>
      <c r="OY8147" s="19"/>
      <c r="OZ8147" s="422" t="s">
        <v>81</v>
      </c>
      <c r="PA8147" s="422" t="s">
        <v>81</v>
      </c>
    </row>
    <row r="8148" spans="411:417">
      <c r="OU8148" s="19" t="str">
        <f ca="1">IF(Home!$K$23=Idiomas!$D$919,OZ8148,
IF(AND(Home!$K$23&lt;&gt;Idiomas!$D$919,TODAY()&lt;=Horarios!$A$4),OZ8148,Idiomas!$D$920))</f>
        <v>Senegal</v>
      </c>
      <c r="OV8148" s="19" t="str">
        <f ca="1">IF(Home!$K$23=Idiomas!$D$919,PA8148,
IF(AND(Home!$K$23&lt;&gt;Idiomas!$D$919,TODAY()&lt;=Horarios!$A$4),PA8148,Idiomas!$D$920))</f>
        <v>Senegal</v>
      </c>
      <c r="OW8148" s="19"/>
      <c r="OX8148" s="19"/>
      <c r="OY8148" s="19"/>
      <c r="OZ8148" s="422" t="s">
        <v>1408</v>
      </c>
      <c r="PA8148" s="422" t="s">
        <v>1408</v>
      </c>
    </row>
    <row r="8149" spans="411:417">
      <c r="OU8149" s="19" t="str">
        <f ca="1">IF(Home!$K$23=Idiomas!$D$919,OZ8149,
IF(AND(Home!$K$23&lt;&gt;Idiomas!$D$919,TODAY()&lt;=Horarios!$A$4),OZ8149,Idiomas!$D$920))</f>
        <v>Sudáfrica</v>
      </c>
      <c r="OV8149" s="19" t="str">
        <f ca="1">IF(Home!$K$23=Idiomas!$D$919,PA8149,
IF(AND(Home!$K$23&lt;&gt;Idiomas!$D$919,TODAY()&lt;=Horarios!$A$4),PA8149,Idiomas!$D$920))</f>
        <v>South Africa</v>
      </c>
      <c r="OW8149" s="19"/>
      <c r="OX8149" s="19"/>
      <c r="OY8149" s="19"/>
      <c r="OZ8149" s="422" t="s">
        <v>1410</v>
      </c>
      <c r="PA8149" s="422" t="s">
        <v>1411</v>
      </c>
    </row>
    <row r="8150" spans="411:417">
      <c r="OU8150" s="19" t="str">
        <f ca="1">IF(Home!$K$23=Idiomas!$D$919,OZ8150,
IF(AND(Home!$K$23&lt;&gt;Idiomas!$D$919,TODAY()&lt;=Horarios!$A$4),OZ8150,Idiomas!$D$920))</f>
        <v>Suiza</v>
      </c>
      <c r="OV8150" s="19" t="str">
        <f ca="1">IF(Home!$K$23=Idiomas!$D$919,PA8150,
IF(AND(Home!$K$23&lt;&gt;Idiomas!$D$919,TODAY()&lt;=Horarios!$A$4),PA8150,Idiomas!$D$920))</f>
        <v>Switzerland</v>
      </c>
      <c r="OW8150" s="19"/>
      <c r="OX8150" s="19"/>
      <c r="OY8150" s="19"/>
      <c r="OZ8150" s="422" t="s">
        <v>77</v>
      </c>
      <c r="PA8150" s="422" t="s">
        <v>308</v>
      </c>
    </row>
    <row r="8151" spans="411:417">
      <c r="OU8151" s="19" t="str">
        <f ca="1">IF(Home!$K$23=Idiomas!$D$919,OZ8151,
IF(AND(Home!$K$23&lt;&gt;Idiomas!$D$919,TODAY()&lt;=Horarios!$A$4),OZ8151,Idiomas!$D$920))</f>
        <v>Túnez</v>
      </c>
      <c r="OV8151" s="19" t="str">
        <f ca="1">IF(Home!$K$23=Idiomas!$D$919,PA8151,
IF(AND(Home!$K$23&lt;&gt;Idiomas!$D$919,TODAY()&lt;=Horarios!$A$4),PA8151,Idiomas!$D$920))</f>
        <v>Tunisia</v>
      </c>
      <c r="OW8151" s="19"/>
      <c r="OX8151" s="19"/>
      <c r="OY8151" s="19"/>
      <c r="OZ8151" s="422" t="s">
        <v>1345</v>
      </c>
      <c r="PA8151" s="422" t="s">
        <v>1351</v>
      </c>
    </row>
    <row r="8152" spans="411:417">
      <c r="OU8152" s="19" t="str">
        <f ca="1">IF(Home!$K$23=Idiomas!$D$919,OZ8152,
IF(AND(Home!$K$23&lt;&gt;Idiomas!$D$919,TODAY()&lt;=Horarios!$A$4),OZ8152,Idiomas!$D$920))</f>
        <v>Uruguay</v>
      </c>
      <c r="OV8152" s="19" t="str">
        <f ca="1">IF(Home!$K$23=Idiomas!$D$919,PA8152,
IF(AND(Home!$K$23&lt;&gt;Idiomas!$D$919,TODAY()&lt;=Horarios!$A$4),PA8152,Idiomas!$D$920))</f>
        <v>Uruguay</v>
      </c>
      <c r="OW8152" s="19"/>
      <c r="OX8152" s="19"/>
      <c r="OY8152" s="19"/>
      <c r="OZ8152" s="422" t="s">
        <v>1341</v>
      </c>
      <c r="PA8152" s="422" t="s">
        <v>1341</v>
      </c>
    </row>
    <row r="8153" spans="411:417">
      <c r="OU8153" s="19" t="str">
        <f ca="1">IF(Home!$K$23=Idiomas!$D$919,OZ8153,
IF(AND(Home!$K$23&lt;&gt;Idiomas!$D$919,TODAY()&lt;=Horarios!$A$4),OZ8153,Idiomas!$D$920))</f>
        <v>Uzbekistán</v>
      </c>
      <c r="OV8153" s="19" t="str">
        <f ca="1">IF(Home!$K$23=Idiomas!$D$919,PA8153,
IF(AND(Home!$K$23&lt;&gt;Idiomas!$D$919,TODAY()&lt;=Horarios!$A$4),PA8153,Idiomas!$D$920))</f>
        <v>Uzbekistan</v>
      </c>
      <c r="OW8153" s="19"/>
      <c r="OX8153" s="19"/>
      <c r="OY8153" s="19"/>
      <c r="OZ8153" s="422" t="s">
        <v>1280</v>
      </c>
      <c r="PA8153" s="422" t="s">
        <v>1305</v>
      </c>
    </row>
    <row r="8154" spans="411:417">
      <c r="OU8154" s="19" t="str">
        <f ca="1">IF(Home!$K$23=Idiomas!$D$919,OZ8154,
IF(AND(Home!$K$23&lt;&gt;Idiomas!$D$919,TODAY()&lt;=Horarios!$A$4),OZ8154,Idiomas!$D$920))</f>
        <v>PO 1: COD/JAM/NCL</v>
      </c>
      <c r="OV8154" s="19" t="str">
        <f ca="1">IF(Home!$K$23=Idiomas!$D$919,PA8154,
IF(AND(Home!$K$23&lt;&gt;Idiomas!$D$919,TODAY()&lt;=Horarios!$A$4),PA8154,Idiomas!$D$920))</f>
        <v>PO 1: COD/JAM/NCL</v>
      </c>
      <c r="OW8154" s="19"/>
      <c r="OX8154" s="19"/>
      <c r="OY8154" s="19"/>
      <c r="OZ8154" s="19" t="s">
        <v>1463</v>
      </c>
      <c r="PA8154" s="19" t="s">
        <v>1463</v>
      </c>
    </row>
    <row r="8155" spans="411:417">
      <c r="OU8155" s="19" t="str">
        <f ca="1">IF(Home!$K$23=Idiomas!$D$919,OZ8155,
IF(AND(Home!$K$23&lt;&gt;Idiomas!$D$919,TODAY()&lt;=Horarios!$A$4),OZ8155,Idiomas!$D$920))</f>
        <v>PO 2: IRQ/BOL/SUR</v>
      </c>
      <c r="OV8155" s="19" t="str">
        <f ca="1">IF(Home!$K$23=Idiomas!$D$919,PA8155,
IF(AND(Home!$K$23&lt;&gt;Idiomas!$D$919,TODAY()&lt;=Horarios!$A$4),PA8155,Idiomas!$D$920))</f>
        <v>PO 2: IRQ/BOL/SUR</v>
      </c>
      <c r="OW8155" s="19"/>
      <c r="OX8155" s="19"/>
      <c r="OY8155" s="19"/>
      <c r="OZ8155" s="19" t="s">
        <v>1464</v>
      </c>
      <c r="PA8155" s="19" t="s">
        <v>1464</v>
      </c>
    </row>
    <row r="8156" spans="411:417">
      <c r="OU8156" s="19" t="str">
        <f ca="1">IF(Home!$K$23=Idiomas!$D$919,OZ8156,
IF(AND(Home!$K$23&lt;&gt;Idiomas!$D$919,TODAY()&lt;=Horarios!$A$4),OZ8156,Idiomas!$D$920))</f>
        <v>PO A: ITA/NIR/WAL/BIH</v>
      </c>
      <c r="OV8156" s="19" t="str">
        <f ca="1">IF(Home!$K$23=Idiomas!$D$919,PA8156,
IF(AND(Home!$K$23&lt;&gt;Idiomas!$D$919,TODAY()&lt;=Horarios!$A$4),PA8156,Idiomas!$D$920))</f>
        <v>PO A: ITA/NIR/WAL/BIH</v>
      </c>
      <c r="OW8156" s="19"/>
      <c r="OX8156" s="19"/>
      <c r="OY8156" s="19"/>
      <c r="OZ8156" s="19" t="s">
        <v>1465</v>
      </c>
      <c r="PA8156" s="19" t="s">
        <v>1465</v>
      </c>
    </row>
    <row r="8157" spans="411:417">
      <c r="OU8157" s="19" t="str">
        <f ca="1">IF(Home!$K$23=Idiomas!$D$919,OZ8157,
IF(AND(Home!$K$23&lt;&gt;Idiomas!$D$919,TODAY()&lt;=Horarios!$A$4),OZ8157,Idiomas!$D$920))</f>
        <v>PO B: UKR/SWE/POL/ALB</v>
      </c>
      <c r="OV8157" s="19" t="str">
        <f ca="1">IF(Home!$K$23=Idiomas!$D$919,PA8157,
IF(AND(Home!$K$23&lt;&gt;Idiomas!$D$919,TODAY()&lt;=Horarios!$A$4),PA8157,Idiomas!$D$920))</f>
        <v>PO B: UKR/SWE/POL/ALB</v>
      </c>
      <c r="OW8157" s="19"/>
      <c r="OX8157" s="19"/>
      <c r="OY8157" s="19"/>
      <c r="OZ8157" s="19" t="s">
        <v>1466</v>
      </c>
      <c r="PA8157" s="19" t="s">
        <v>1466</v>
      </c>
    </row>
    <row r="8158" spans="411:417">
      <c r="OU8158" s="19" t="str">
        <f ca="1">IF(Home!$K$23=Idiomas!$D$919,OZ8158,
IF(AND(Home!$K$23&lt;&gt;Idiomas!$D$919,TODAY()&lt;=Horarios!$A$4),OZ8158,Idiomas!$D$920))</f>
        <v>PO C: TUR/ROU/SVK/KOS</v>
      </c>
      <c r="OV8158" s="19" t="str">
        <f ca="1">IF(Home!$K$23=Idiomas!$D$919,PA8158,
IF(AND(Home!$K$23&lt;&gt;Idiomas!$D$919,TODAY()&lt;=Horarios!$A$4),PA8158,Idiomas!$D$920))</f>
        <v>PO C: TUR/ROU/SVK/KOS</v>
      </c>
      <c r="OW8158" s="19"/>
      <c r="OX8158" s="19"/>
      <c r="OY8158" s="19"/>
      <c r="OZ8158" s="19" t="s">
        <v>1467</v>
      </c>
      <c r="PA8158" s="19" t="s">
        <v>1467</v>
      </c>
    </row>
    <row r="8159" spans="411:417">
      <c r="OU8159" s="19" t="str">
        <f ca="1">IF(Home!$K$23=Idiomas!$D$919,OZ8159,
IF(AND(Home!$K$23&lt;&gt;Idiomas!$D$919,TODAY()&lt;=Horarios!$A$4),OZ8159,Idiomas!$D$920))</f>
        <v>PO D: DEN/MKD/CZE/IRL</v>
      </c>
      <c r="OV8159" s="19" t="str">
        <f ca="1">IF(Home!$K$23=Idiomas!$D$919,PA8159,
IF(AND(Home!$K$23&lt;&gt;Idiomas!$D$919,TODAY()&lt;=Horarios!$A$4),PA8159,Idiomas!$D$920))</f>
        <v>PO D: DEN/MKD/CZE/IRL</v>
      </c>
      <c r="OW8159" s="19"/>
      <c r="OX8159" s="19"/>
      <c r="OY8159" s="19"/>
      <c r="OZ8159" s="19" t="s">
        <v>1468</v>
      </c>
      <c r="PA8159" s="19" t="s">
        <v>1468</v>
      </c>
    </row>
  </sheetData>
  <sheetProtection algorithmName="SHA-512" hashValue="KHZtWcK8fulLxHX1KCdWqkqmB5l+CBWAhPGi15z94TLLLD70OUayFSOqY3J3iMQ5m6qMph4lXJjuv/fBY0Qjmg==" saltValue="5wn1HxiMJao6g1xKLQB6fw==" spinCount="100000" sheet="1" objects="1" scenarios="1"/>
  <mergeCells count="2">
    <mergeCell ref="B3:J12"/>
    <mergeCell ref="B34:J34"/>
  </mergeCells>
  <conditionalFormatting sqref="E19">
    <cfRule type="iconSet" priority="2">
      <iconSet iconSet="3Symbols2" showValue="0">
        <cfvo type="percent" val="0"/>
        <cfvo type="percent" val="33"/>
        <cfvo type="percent" val="67"/>
      </iconSet>
    </cfRule>
  </conditionalFormatting>
  <conditionalFormatting sqref="E21 E23 E25 E27 E29 E31 G31 G29 G27 G25 G23 G21">
    <cfRule type="iconSet" priority="911">
      <iconSet iconSet="3Symbols2" showValue="0">
        <cfvo type="percent" val="0"/>
        <cfvo type="num" val="1"/>
        <cfvo type="num" val="2"/>
      </iconSet>
    </cfRule>
  </conditionalFormatting>
  <conditionalFormatting sqref="OZ8124">
    <cfRule type="duplicateValues" dxfId="0" priority="1"/>
  </conditionalFormatting>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Nestor Lesna</cp:lastModifiedBy>
  <cp:lastPrinted>2018-12-06T18:06:35Z</cp:lastPrinted>
  <dcterms:created xsi:type="dcterms:W3CDTF">2015-10-31T09:41:54Z</dcterms:created>
  <dcterms:modified xsi:type="dcterms:W3CDTF">2026-05-21T11:58:46Z</dcterms:modified>
</cp:coreProperties>
</file>